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untrywise_Master" sheetId="1" r:id="rId1"/>
    <sheet name="Formulas" sheetId="2" r:id="rId2"/>
    <sheet name="Regionwise_Aggregate" sheetId="3" r:id="rId3"/>
    <sheet name="THE_Rules" sheetId="4" r:id="rId4"/>
    <sheet name="THE_Compliance" sheetId="5" r:id="rId5"/>
    <sheet name="Dashboard_Notes" sheetId="6" r:id="rId6"/>
  </sheets>
  <calcPr calcId="124519" fullCalcOnLoad="1"/>
</workbook>
</file>

<file path=xl/sharedStrings.xml><?xml version="1.0" encoding="utf-8"?>
<sst xmlns="http://schemas.openxmlformats.org/spreadsheetml/2006/main" count="76" uniqueCount="64">
  <si>
    <t>Country</t>
  </si>
  <si>
    <t>Region (Asia/Europe/Africa/NA/SA/Oceania)</t>
  </si>
  <si>
    <t>Total_Students</t>
  </si>
  <si>
    <t>UG_Students</t>
  </si>
  <si>
    <t>PG_Students</t>
  </si>
  <si>
    <t>PhD_Students</t>
  </si>
  <si>
    <t>Male_Students</t>
  </si>
  <si>
    <t>Female_Students</t>
  </si>
  <si>
    <t>International_FullTime</t>
  </si>
  <si>
    <t>International_Exchange</t>
  </si>
  <si>
    <t>Year</t>
  </si>
  <si>
    <t>Scholarship_Count</t>
  </si>
  <si>
    <t>Visa_Type</t>
  </si>
  <si>
    <t>Evidence_File</t>
  </si>
  <si>
    <t>Remarks</t>
  </si>
  <si>
    <t>Metric</t>
  </si>
  <si>
    <t>Formula</t>
  </si>
  <si>
    <t>Explanation</t>
  </si>
  <si>
    <t>Percentage Share of Total Students</t>
  </si>
  <si>
    <t>UG % Share</t>
  </si>
  <si>
    <t>PG % Share</t>
  </si>
  <si>
    <t>PhD % Share</t>
  </si>
  <si>
    <t>Male : Female Ratio</t>
  </si>
  <si>
    <t>International Full-Time %</t>
  </si>
  <si>
    <t>Shows contribution of each country to overall enrollment.</t>
  </si>
  <si>
    <t>Measures UG-level distribution from each country.</t>
  </si>
  <si>
    <t>Measures PG-level distribution from each country.</t>
  </si>
  <si>
    <t>Measures research-level representation.</t>
  </si>
  <si>
    <t>Indicates gender diversity among countries.</t>
  </si>
  <si>
    <t>Useful for THE International Outlook measurement.</t>
  </si>
  <si>
    <t>Region</t>
  </si>
  <si>
    <t>Total_Countries</t>
  </si>
  <si>
    <t>Rule</t>
  </si>
  <si>
    <t>Nationality must be used to classify students by country.</t>
  </si>
  <si>
    <t>Region mapping must follow UN / THE standard classification.</t>
  </si>
  <si>
    <t>Exchange students should not inflate international counts.</t>
  </si>
  <si>
    <t>Visa information must match student records.</t>
  </si>
  <si>
    <t>Gender distribution required for diversity analysis.</t>
  </si>
  <si>
    <t>UG/PG/PhD segmentation must match MIS data.</t>
  </si>
  <si>
    <t>Ensures alignment with THE methodology.</t>
  </si>
  <si>
    <t>Standard region mapping allows comparable reporting.</t>
  </si>
  <si>
    <t>Exchange students are excluded from THE counts unless full-term.</t>
  </si>
  <si>
    <t>Visa validation prevents incorrect classification.</t>
  </si>
  <si>
    <t>Used for demographic diversity indicators.</t>
  </si>
  <si>
    <t>Ensures consistency with academic reporting frameworks.</t>
  </si>
  <si>
    <t>Requirement</t>
  </si>
  <si>
    <t>Evidence_Required</t>
  </si>
  <si>
    <t>Status</t>
  </si>
  <si>
    <t>Nationality verified for all entries</t>
  </si>
  <si>
    <t>Region classification completed</t>
  </si>
  <si>
    <t>UG/PG/PhD segmentation validated</t>
  </si>
  <si>
    <t>Visa/Passport data verified</t>
  </si>
  <si>
    <t>Exchange student filtering applied</t>
  </si>
  <si>
    <t>Notes</t>
  </si>
  <si>
    <t>Recommended Visualizations:</t>
  </si>
  <si>
    <t>• Country-wise student distribution bar chart</t>
  </si>
  <si>
    <t>• Region-wise heatmap</t>
  </si>
  <si>
    <t>• UG/PG/PhD stacked comparison</t>
  </si>
  <si>
    <t>• Gender distribution per country</t>
  </si>
  <si>
    <t>Insights:</t>
  </si>
  <si>
    <t>• Helps track internationalization trends.</t>
  </si>
  <si>
    <t>• Useful for THE International Outlook reporting.</t>
  </si>
  <si>
    <t>• Supports marketing and recruitment strategies.</t>
  </si>
  <si>
    <t>• Helps identify strong and emerging recruitment regions.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</si>
</sst>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pans="1:3">
      <c r="A1" s="1" t="s">
        <v>15</v>
      </c>
      <c r="B1" s="1" t="s">
        <v>16</v>
      </c>
      <c r="C1" s="1" t="s">
        <v>17</v>
      </c>
    </row>
    <row r="2" spans="1:3">
      <c r="A2" t="s">
        <v>18</v>
      </c>
      <c r="B2">
        <f>Total_Students / SUM(Total_Students_All_Countries)</f>
        <v>0</v>
      </c>
      <c r="C2" t="s">
        <v>24</v>
      </c>
    </row>
    <row r="3" spans="1:3">
      <c r="A3" t="s">
        <v>19</v>
      </c>
      <c r="B3">
        <f>UG_Students / Total_Students</f>
        <v>0</v>
      </c>
      <c r="C3" t="s">
        <v>25</v>
      </c>
    </row>
    <row r="4" spans="1:3">
      <c r="A4" t="s">
        <v>20</v>
      </c>
      <c r="B4">
        <f>PG_Students / Total_Students</f>
        <v>0</v>
      </c>
      <c r="C4" t="s">
        <v>26</v>
      </c>
    </row>
    <row r="5" spans="1:3">
      <c r="A5" t="s">
        <v>21</v>
      </c>
      <c r="B5">
        <f>PhD_Students / Total_Students</f>
        <v>0</v>
      </c>
      <c r="C5" t="s">
        <v>27</v>
      </c>
    </row>
    <row r="6" spans="1:3">
      <c r="A6" t="s">
        <v>22</v>
      </c>
      <c r="B6">
        <f>Male_Students / Female_Students</f>
        <v>0</v>
      </c>
      <c r="C6" t="s">
        <v>28</v>
      </c>
    </row>
    <row r="7" spans="1:3">
      <c r="A7" t="s">
        <v>23</v>
      </c>
      <c r="B7">
        <f>International_FullTime / Total_Students</f>
        <v>0</v>
      </c>
      <c r="C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"/>
  <sheetViews>
    <sheetView workbookViewId="0"/>
  </sheetViews>
  <sheetFormatPr defaultRowHeight="15"/>
  <sheetData>
    <row r="1" spans="1:12">
      <c r="A1" s="1" t="s">
        <v>30</v>
      </c>
      <c r="B1" s="1" t="s">
        <v>31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11</v>
      </c>
      <c r="L1" s="1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32</v>
      </c>
      <c r="B1" s="1" t="s">
        <v>17</v>
      </c>
    </row>
    <row r="2" spans="1:2">
      <c r="A2" t="s">
        <v>33</v>
      </c>
      <c r="B2" t="s">
        <v>39</v>
      </c>
    </row>
    <row r="3" spans="1:2">
      <c r="A3" t="s">
        <v>34</v>
      </c>
      <c r="B3" t="s">
        <v>40</v>
      </c>
    </row>
    <row r="4" spans="1:2">
      <c r="A4" t="s">
        <v>35</v>
      </c>
      <c r="B4" t="s">
        <v>41</v>
      </c>
    </row>
    <row r="5" spans="1:2">
      <c r="A5" t="s">
        <v>36</v>
      </c>
      <c r="B5" t="s">
        <v>42</v>
      </c>
    </row>
    <row r="6" spans="1:2">
      <c r="A6" t="s">
        <v>37</v>
      </c>
      <c r="B6" t="s">
        <v>43</v>
      </c>
    </row>
    <row r="7" spans="1:2">
      <c r="A7" t="s">
        <v>38</v>
      </c>
      <c r="B7" t="s">
        <v>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45</v>
      </c>
      <c r="B1" s="1" t="s">
        <v>46</v>
      </c>
      <c r="C1" s="1" t="s">
        <v>47</v>
      </c>
      <c r="D1" s="1" t="s">
        <v>14</v>
      </c>
    </row>
    <row r="2" spans="1:4">
      <c r="A2" t="s">
        <v>48</v>
      </c>
    </row>
    <row r="3" spans="1:4">
      <c r="A3" t="s">
        <v>49</v>
      </c>
    </row>
    <row r="4" spans="1:4">
      <c r="A4" t="s">
        <v>50</v>
      </c>
    </row>
    <row r="5" spans="1:4">
      <c r="A5" t="s">
        <v>51</v>
      </c>
    </row>
    <row r="6" spans="1:4">
      <c r="A6" t="s">
        <v>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12"/>
  <sheetViews>
    <sheetView workbookViewId="0"/>
  </sheetViews>
  <sheetFormatPr defaultRowHeight="15"/>
  <sheetData>
    <row r="1" spans="1:1">
      <c r="A1" s="1" t="s">
        <v>53</v>
      </c>
    </row>
    <row r="2" spans="1:1">
      <c r="A2" t="s">
        <v>54</v>
      </c>
    </row>
    <row r="3" spans="1:1">
      <c r="A3" t="s">
        <v>55</v>
      </c>
    </row>
    <row r="4" spans="1:1">
      <c r="A4" t="s">
        <v>56</v>
      </c>
    </row>
    <row r="5" spans="1:1">
      <c r="A5" t="s">
        <v>57</v>
      </c>
    </row>
    <row r="6" spans="1:1">
      <c r="A6" t="s">
        <v>58</v>
      </c>
    </row>
    <row r="8" spans="1:1">
      <c r="A8" t="s">
        <v>59</v>
      </c>
    </row>
    <row r="9" spans="1:1">
      <c r="A9" t="s">
        <v>60</v>
      </c>
    </row>
    <row r="10" spans="1:1">
      <c r="A10" t="s">
        <v>61</v>
      </c>
    </row>
    <row r="11" spans="1:1">
      <c r="A11" t="s">
        <v>62</v>
      </c>
    </row>
    <row r="12" spans="1:1">
      <c r="A12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Countrywise_Master</vt:lpstr>
      <vt:lpstr>Formulas</vt:lpstr>
      <vt:lpstr>Regionwise_Aggregate</vt:lpstr>
      <vt:lpstr>THE_Rules</vt:lpstr>
      <vt:lpstr>THE_Compliance</vt:lpstr>
      <vt:lpstr>Dashboard_Notes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2025-12-07T04:07:48Z</dcterms:created>
  <dcterms:modified xsi:type="dcterms:W3CDTF">2025-12-07T04:07:48Z</dcterms:modified>
</cp:coreProperties>
</file>