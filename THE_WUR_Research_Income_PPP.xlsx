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Research Income" sheetId="2" state="visible" r:id="rId4"/>
    <sheet name="2. PPP &amp; per-FTE Calc" sheetId="3" state="visible" r:id="rId5"/>
    <sheet name="3. Staff FTE" sheetId="4" state="visible" r:id="rId6"/>
    <sheet name="4. Dept-Level Income" sheetId="5" state="visible" r:id="rId7"/>
    <sheet name="5. Grant Pipeline" sheetId="6" state="visible" r:id="rId8"/>
    <sheet name="6. Income Rules" sheetId="7" state="visible" r:id="rId9"/>
    <sheet name="7. Action Plan" sheetId="8" state="visible" r:id="rId10"/>
    <sheet name="8. Benchmarking" sheetId="9" state="visible" r:id="rId11"/>
    <sheet name="9. Risk Assessmen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<sst xmlns="http://schemas.openxmlformats.org/spreadsheetml/2006/main" count="363" uniqueCount="282">
  <si>
    <t xml:space="preserve">THE WUR — Research Environment (29%) → Research Income PPP-Adjusted (5.5%)</t>
  </si>
  <si>
    <t xml:space="preserve">Measures Competitiveness in Securing Research Funding | PPP-Adjusted per Staff FTE | 5.5% of WUR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</si>
  <si>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</si>
  <si>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</si>
  <si>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</si>
  <si>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</si>
  <si>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Research Income (PPP-Adjusted)</t>
  </si>
  <si>
    <t xml:space="preserve">Total externally-sourced research income normalized by academic staff FTE and adjusted for Purchasing Power Parity. Unlike Institutional Income (2.5% in Teaching pillar) which includes ALL revenue, this indicator counts ONLY research-related income — grants, contracts, and sponsored projects. Signals the institution's ability to compete for and win research funding from external sources.</t>
  </si>
  <si>
    <t xml:space="preserve">5.5% of WUR</t>
  </si>
  <si>
    <t xml:space="preserve">Research Income (Numerator)</t>
  </si>
  <si>
    <t xml:space="preserve">ONLY externally-sourced research funding: competitive government grants (DST, SERB, DBT, ICMR, CSIR, NSF, ERC, etc.), industry-sponsored R&amp;D contracts, international research collaborations, foundation/philanthropy grants for research, and commissioned research. EXCLUDES: internal university allocations, tuition fees, block grants not earmarked for research, endowment income, consultancy revenue, and institutional overheads.</t>
  </si>
  <si>
    <t xml:space="preserve">Numerator</t>
  </si>
  <si>
    <t xml:space="preserve">Academic Staff FTE (Denominator)</t>
  </si>
  <si>
    <t xml:space="preserve">Same THE-compliant FTE definition used across all pillars. Professors, associate/assistant professors, lecturers, research fellows with teaching. Excludes admin, technical, support, research-only staff. MUST match the same FTE used in Teaching sub-indicators (SSR, Doctorates/Staff, Income).</t>
  </si>
  <si>
    <t xml:space="preserve">Denominator</t>
  </si>
  <si>
    <t xml:space="preserve">PPP Adjustment</t>
  </si>
  <si>
    <t xml:space="preserve">World Bank PPP conversion factors applied to convert local-currency research income to internationally comparable PPP-adjusted USD. Essential for fair comparison: ₹1 crore in India buys more research capacity than $130K in the USA.</t>
  </si>
  <si>
    <t xml:space="preserve">Normalization</t>
  </si>
  <si>
    <t xml:space="preserve">Scoring Logic</t>
  </si>
  <si>
    <t xml:space="preserve">(Research Income PPP-USD) ÷ Academic Staff FTE → z-scored across all ranked universities. Higher income per staff = higher score. This metric rewards competitive grant-winning capability, not just institutional wealth.</t>
  </si>
  <si>
    <t xml:space="preserve">Z-scoring</t>
  </si>
  <si>
    <t xml:space="preserve">Context: Research Environment</t>
  </si>
  <si>
    <t xml:space="preserve">Research Environment (29%) = Research Reputation (18%) + Research Income PPP (5.5%) + Research Productivity (5.5%). Research income at 5.5% is directly controllable through active grant-seeking. Difficulty: 🟡 Moderate (1–3 years) — depends on grant pipeline development.</t>
  </si>
  <si>
    <t xml:space="preserve">5.5% of 29%</t>
  </si>
  <si>
    <t xml:space="preserve">Key Difference: Research Income (5.5%) vs Institutional Income (2.5%)</t>
  </si>
  <si>
    <t xml:space="preserve">Feature</t>
  </si>
  <si>
    <t xml:space="preserve">Research Income (5.5% — Research Env.)</t>
  </si>
  <si>
    <t xml:space="preserve">Institutional Income (2.5% — Teaching)</t>
  </si>
  <si>
    <t xml:space="preserve">Scope</t>
  </si>
  <si>
    <t xml:space="preserve">ONLY externally-sourced research funding</t>
  </si>
  <si>
    <t xml:space="preserve">ALL institutional revenue (fees, grants, endowment, etc.)</t>
  </si>
  <si>
    <t xml:space="preserve">Pillar</t>
  </si>
  <si>
    <t xml:space="preserve">Research Environment (29%)</t>
  </si>
  <si>
    <t xml:space="preserve">Teaching (29.5%)</t>
  </si>
  <si>
    <t xml:space="preserve">Signal</t>
  </si>
  <si>
    <t xml:space="preserve">Competitive research grant-winning ability</t>
  </si>
  <si>
    <t xml:space="preserve">Overall financial health / investment capacity</t>
  </si>
  <si>
    <t xml:space="preserve">Excludes</t>
  </si>
  <si>
    <t xml:space="preserve">Tuition, block grants, consultancy, internal allocation</t>
  </si>
  <si>
    <t xml:space="preserve">Capital grants, asset sales, endowment principal</t>
  </si>
  <si>
    <t xml:space="preserve">Includes</t>
  </si>
  <si>
    <t xml:space="preserve">Govt grants, industry R&amp;D, intl collab, foundation grants</t>
  </si>
  <si>
    <t xml:space="preserve">Govt grants, tuition, industry, endowment, philanthropy, all ops</t>
  </si>
  <si>
    <t xml:space="preserve">PPP-Adjusted</t>
  </si>
  <si>
    <t xml:space="preserve">Yes</t>
  </si>
  <si>
    <t xml:space="preserve">Normalized by</t>
  </si>
  <si>
    <t xml:space="preserve">Academic Staff FTE</t>
  </si>
  <si>
    <t xml:space="preserve">Improvement Strategies</t>
  </si>
  <si>
    <t xml:space="preserve">• Train faculty on competitive grant proposal writing (DST, SERB, DBT, ERC, NSF).</t>
  </si>
  <si>
    <t xml:space="preserve">• Establish a Grant Support Office providing pre-award and post-award support.</t>
  </si>
  <si>
    <t xml:space="preserve">• Build industry-sponsored R&amp;D partnerships and co-funded projects.</t>
  </si>
  <si>
    <t xml:space="preserve">• Pursue international research collaborations with funded project components.</t>
  </si>
  <si>
    <t xml:space="preserve">• Target foundation grants (Wellcome Trust, BMGF, Ford Foundation) for specific research areas.</t>
  </si>
  <si>
    <t xml:space="preserve">• Difficulty: 🟡 Moderate (1–3 years). Active grant-seeking yields results within 1–2 grant cycles.</t>
  </si>
  <si>
    <t xml:space="preserve">Research Income — Externally-Sourced Funding by Category (Most Recent Year)</t>
  </si>
  <si>
    <t xml:space="preserve">ONLY external research funding | Govt grants + industry R&amp;D + intl collab + foundation grants | NOT tuition/consultancy</t>
  </si>
  <si>
    <t xml:space="preserve">S.No.</t>
  </si>
  <si>
    <t xml:space="preserve">University Name</t>
  </si>
  <si>
    <t xml:space="preserve">Country</t>
  </si>
  <si>
    <t xml:space="preserve">Govt Competitive Grants (DST/SERB/DBT/ICMR/CSIR etc.)</t>
  </si>
  <si>
    <t xml:space="preserve">Industry-Sponsored R&amp;D Contracts</t>
  </si>
  <si>
    <t xml:space="preserve">International Research Collaborations</t>
  </si>
  <si>
    <t xml:space="preserve">Foundation / Philanthropy Research Grants</t>
  </si>
  <si>
    <t xml:space="preserve">Commissioned / Contract Research (Other)</t>
  </si>
  <si>
    <t xml:space="preserve">Total Research Income (Local Currency)</t>
  </si>
  <si>
    <t xml:space="preserve">Reporting Year</t>
  </si>
  <si>
    <t xml:space="preserve">5-Year Research Income History</t>
  </si>
  <si>
    <t xml:space="preserve">Year 1 (Local Currency)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</si>
  <si>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</si>
  <si>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</si>
  <si>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</si>
  <si>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</si>
  <si>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Total</t>
  </si>
  <si>
    <t xml:space="preserve">CAGR (%)</t>
  </si>
  <si>
    <t xml:space="preserve">Research Income — PPP Conversion &amp; per-FTE Calculation</t>
  </si>
  <si>
    <t xml:space="preserve">Local Currency → PPP-USD → divided by Staff FTE = Research Income per Staff (PPP-USD)</t>
  </si>
  <si>
    <t xml:space="preserve">Research Income (Local Currency)</t>
  </si>
  <si>
    <t xml:space="preserve">PPP Factor (World Bank)</t>
  </si>
  <si>
    <t xml:space="preserve">Research Income (PPP-USD)</t>
  </si>
  <si>
    <t xml:space="preserve">Research Income per Staff (PPP-USD)</t>
  </si>
  <si>
    <t xml:space="preserve">Z-Score</t>
  </si>
  <si>
    <t xml:space="preserve">Normalized Score (0–100)</t>
  </si>
  <si>
    <t xml:space="preserve">Summary Statistics</t>
  </si>
  <si>
    <t xml:space="preserve">Avg Research Income per Staff (PPP-USD)</t>
  </si>
  <si>
    <t xml:space="preserve">Highest</t>
  </si>
  <si>
    <t xml:space="preserve">Lowest</t>
  </si>
  <si>
    <t xml:space="preserve">Median</t>
  </si>
  <si>
    <t xml:space="preserve">Total Research Income (All Univ, PPP-USD)</t>
  </si>
  <si>
    <t xml:space="preserve">Academic Staff FTE — Must Match All Other Indicators</t>
  </si>
  <si>
    <t xml:space="preserve">SAME FTE used for SSR (4.5%), Doctorates/Staff (5.5%), Inst. Income (2.5%), AND Research Income (5.5%)</t>
  </si>
  <si>
    <t xml:space="preserve">Professors (FTE)</t>
  </si>
  <si>
    <t xml:space="preserve">Assoc. Prof (FTE)</t>
  </si>
  <si>
    <t xml:space="preserve">Asst. Prof (FTE)</t>
  </si>
  <si>
    <t xml:space="preserve">Lecturers (FTE)</t>
  </si>
  <si>
    <t xml:space="preserve">Res. Fellows (Teaching) FTE</t>
  </si>
  <si>
    <t xml:space="preserve">Other Teaching FTE</t>
  </si>
  <si>
    <t xml:space="preserve">Total Academic Staff FTE</t>
  </si>
  <si>
    <t xml:space="preserve">Department-Level Research Income — Identifying Strengths &amp; Gaps</t>
  </si>
  <si>
    <t xml:space="preserve">Granular view: which departments win the most grants | Prioritize support where income is lowest</t>
  </si>
  <si>
    <t xml:space="preserve">Department / School</t>
  </si>
  <si>
    <t xml:space="preserve">Faculty / College</t>
  </si>
  <si>
    <t xml:space="preserve">Govt Grants</t>
  </si>
  <si>
    <t xml:space="preserve">Industry R&amp;D</t>
  </si>
  <si>
    <t xml:space="preserve">Intl Collab</t>
  </si>
  <si>
    <t xml:space="preserve">Total Research Income</t>
  </si>
  <si>
    <t xml:space="preserve">Staff FTE</t>
  </si>
  <si>
    <t xml:space="preserve">Income per Staff (Local Currency)</t>
  </si>
  <si>
    <t xml:space="preserve">Grant Proposal Pipeline — Submitted, Awarded, Success Rate</t>
  </si>
  <si>
    <t xml:space="preserve">Tracks competitive grant-winning performance | Success rate = key indicator of research competitiveness</t>
  </si>
  <si>
    <t xml:space="preserve">Proposals Submitted (Year)</t>
  </si>
  <si>
    <t xml:space="preserve">Proposals Awarded</t>
  </si>
  <si>
    <t xml:space="preserve">Success Rate (%)</t>
  </si>
  <si>
    <t xml:space="preserve">Total Value Awarded (Local Currency)</t>
  </si>
  <si>
    <t xml:space="preserve">Avg Grant Size</t>
  </si>
  <si>
    <t xml:space="preserve">Grant Pipeline by Funding Agency</t>
  </si>
  <si>
    <t xml:space="preserve">Funding Agency</t>
  </si>
  <si>
    <t xml:space="preserve">Type (Govt/Industry/Intl/Foundation)</t>
  </si>
  <si>
    <t xml:space="preserve">Proposals Submitted</t>
  </si>
  <si>
    <t xml:space="preserve">Value Awarded</t>
  </si>
  <si>
    <t xml:space="preserve">Research Income — What Counts &amp; What Doesn't (THE Definition)</t>
  </si>
  <si>
    <t xml:space="preserve">CRITICAL: This is RESEARCH income only — NOT total institutional income</t>
  </si>
  <si>
    <t xml:space="preserve">Category</t>
  </si>
  <si>
    <t xml:space="preserve">Revenue Item</t>
  </si>
  <si>
    <t xml:space="preserve">Include / Exclude</t>
  </si>
  <si>
    <t xml:space="preserve">Notes</t>
  </si>
  <si>
    <t xml:space="preserve">Research</t>
  </si>
  <si>
    <t xml:space="preserve">Competitive govt research grants (DST, SERB, DBT, ICMR, CSIR, MHRD-research)</t>
  </si>
  <si>
    <t xml:space="preserve">Include</t>
  </si>
  <si>
    <t xml:space="preserve">Core research funding</t>
  </si>
  <si>
    <t xml:space="preserve">International research grants (EU, UNDP, World Bank, bilateral R&amp;D)</t>
  </si>
  <si>
    <t xml:space="preserve">Externally sourced</t>
  </si>
  <si>
    <t xml:space="preserve">Industry-sponsored R&amp;D contracts</t>
  </si>
  <si>
    <t xml:space="preserve">Commissioned research for industry</t>
  </si>
  <si>
    <t xml:space="preserve">Foundation / philanthropy grants FOR RESEARCH</t>
  </si>
  <si>
    <t xml:space="preserve">Wellcome, BMGF, Ford — research-specific</t>
  </si>
  <si>
    <t xml:space="preserve">Commissioned / contract research (other external)</t>
  </si>
  <si>
    <t xml:space="preserve">Third-party funded research</t>
  </si>
  <si>
    <t xml:space="preserve">Research component of block grants (if separately identified)</t>
  </si>
  <si>
    <t xml:space="preserve">Only the earmarked research portion</t>
  </si>
  <si>
    <t xml:space="preserve">NOT Research</t>
  </si>
  <si>
    <t xml:space="preserve">Government block grant (general / unrestricted)</t>
  </si>
  <si>
    <t xml:space="preserve">Exclude</t>
  </si>
  <si>
    <t xml:space="preserve">Goes to Institutional Income (2.5%)</t>
  </si>
  <si>
    <t xml:space="preserve">Tuition fees</t>
  </si>
  <si>
    <t xml:space="preserve">Not research income</t>
  </si>
  <si>
    <t xml:space="preserve">Consultancy / technical services revenue</t>
  </si>
  <si>
    <t xml:space="preserve">Applied services, not new knowledge creation</t>
  </si>
  <si>
    <t xml:space="preserve">Internal university research allocations</t>
  </si>
  <si>
    <t xml:space="preserve">Not externally sourced</t>
  </si>
  <si>
    <t xml:space="preserve">Endowment / investment returns</t>
  </si>
  <si>
    <t xml:space="preserve">Philanthropy for non-research purposes (scholarships, buildings)</t>
  </si>
  <si>
    <t xml:space="preserve">Not research</t>
  </si>
  <si>
    <t xml:space="preserve">Hospital / clinical revenue</t>
  </si>
  <si>
    <t xml:space="preserve">Capital grants for buildings / equipment</t>
  </si>
  <si>
    <t xml:space="preserve">One-time, not recurring research income</t>
  </si>
  <si>
    <t xml:space="preserve">CSR funds for non-research activities</t>
  </si>
  <si>
    <t xml:space="preserve">Ambiguous</t>
  </si>
  <si>
    <t xml:space="preserve">CSR funds explicitly for research projects</t>
  </si>
  <si>
    <t xml:space="preserve">If formally allocated to research with project scope</t>
  </si>
  <si>
    <t xml:space="preserve">Equipment grants WITH research deliverables</t>
  </si>
  <si>
    <t xml:space="preserve">If research output required as condition</t>
  </si>
  <si>
    <t xml:space="preserve">Fellowship stipends for PhD students</t>
  </si>
  <si>
    <t xml:space="preserve">Conditional</t>
  </si>
  <si>
    <t xml:space="preserve">Include if part of a research grant; exclude if standalone scholarship</t>
  </si>
  <si>
    <t xml:space="preserve">Research Income Growth — Strategic Action Plan</t>
  </si>
  <si>
    <t xml:space="preserve">Action Item</t>
  </si>
  <si>
    <t xml:space="preserve">Phase</t>
  </si>
  <si>
    <t xml:space="preserve">Status</t>
  </si>
  <si>
    <t xml:space="preserve">Target Date</t>
  </si>
  <si>
    <t xml:space="preserve">Remarks</t>
  </si>
  <si>
    <t xml:space="preserve">Establish Grant Support Office (pre-award + post-award)</t>
  </si>
  <si>
    <t xml:space="preserve">1 (0–6mo)</t>
  </si>
  <si>
    <t xml:space="preserve">Train faculty on competitive proposal writing (DST/SERB/DBT/ERC/NSF)</t>
  </si>
  <si>
    <t xml:space="preserve">Audit current grant portfolio and identify growth areas</t>
  </si>
  <si>
    <t xml:space="preserve">Build database of funding opportunities with deadline calendar</t>
  </si>
  <si>
    <t xml:space="preserve">Target 5+ new industry-sponsored R&amp;D contracts per year</t>
  </si>
  <si>
    <t xml:space="preserve">2 (6–18mo)</t>
  </si>
  <si>
    <t xml:space="preserve">Pursue 3+ international research collaboration grants</t>
  </si>
  <si>
    <t xml:space="preserve">Apply to foundation grants (Wellcome, BMGF, Ford) in focus areas</t>
  </si>
  <si>
    <t xml:space="preserve">Establish grant-writing mentorship: senior faculty coaching juniors</t>
  </si>
  <si>
    <t xml:space="preserve">Set departmental research income targets linked to faculty appraisal</t>
  </si>
  <si>
    <t xml:space="preserve">Create incentive structure: research income rewards / recognition</t>
  </si>
  <si>
    <t xml:space="preserve">Grow research income by 25–40% from Year 1 baseline (PPP-adjusted)</t>
  </si>
  <si>
    <t xml:space="preserve">3 (18–36mo)</t>
  </si>
  <si>
    <t xml:space="preserve">Achieve grant success rate &gt;30% across all agencies</t>
  </si>
  <si>
    <t xml:space="preserve">Diversify across 4+ funding source categories</t>
  </si>
  <si>
    <t xml:space="preserve">Progress</t>
  </si>
  <si>
    <t xml:space="preserve">Completed</t>
  </si>
  <si>
    <t xml:space="preserve">In Progress</t>
  </si>
  <si>
    <t xml:space="preserve">Completion (%)</t>
  </si>
  <si>
    <t xml:space="preserve">Benchmarking — Research Income (PPP per FTE)</t>
  </si>
  <si>
    <t xml:space="preserve">University / Benchmark</t>
  </si>
  <si>
    <t xml:space="preserve">Income/FTE</t>
  </si>
  <si>
    <t xml:space="preserve">Score (0–100)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</si>
  <si>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</si>
  <si>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</si>
  <si>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</si>
  <si>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</si>
  <si>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</si>
  <si>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</si>
  <si>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</si>
  <si>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</si>
  <si>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</si>
  <si>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 Income — Risk Assessment</t>
  </si>
  <si>
    <t xml:space="preserve">Risk</t>
  </si>
  <si>
    <t xml:space="preserve">Level</t>
  </si>
  <si>
    <t xml:space="preserve">Impact</t>
  </si>
  <si>
    <t xml:space="preserve">Mitigation</t>
  </si>
  <si>
    <t xml:space="preserve">Owner</t>
  </si>
  <si>
    <t xml:space="preserve">Low grant success rate</t>
  </si>
  <si>
    <t xml:space="preserve">🟡 Medium</t>
  </si>
  <si>
    <t xml:space="preserve">Few awards despite proposals; income stagnates</t>
  </si>
  <si>
    <t xml:space="preserve">Proposal writing training; internal peer review before submission; target aligned agencies</t>
  </si>
  <si>
    <t xml:space="preserve">Over-reliance on one funding source</t>
  </si>
  <si>
    <t xml:space="preserve">Vulnerable to agency budget cuts</t>
  </si>
  <si>
    <t xml:space="preserve">Diversify across govt, industry, intl, foundation sources</t>
  </si>
  <si>
    <t xml:space="preserve">Consultancy income counted as research</t>
  </si>
  <si>
    <t xml:space="preserve">🔴 High</t>
  </si>
  <si>
    <t xml:space="preserve">Non-research revenue inflates numerator; audit risk</t>
  </si>
  <si>
    <t xml:space="preserve">Strictly separate consultancy from sponsored research in finance system</t>
  </si>
  <si>
    <t xml:space="preserve">Block grants counted as research income</t>
  </si>
  <si>
    <t xml:space="preserve">Unrestricted grants not eligible; audit penalty</t>
  </si>
  <si>
    <t xml:space="preserve">Only count earmarked research portions with project deliverables</t>
  </si>
  <si>
    <t xml:space="preserve">Incorrect PPP factor</t>
  </si>
  <si>
    <t xml:space="preserve">Income inflated/deflated vs peers</t>
  </si>
  <si>
    <t xml:space="preserve">Verify World Bank PPP for exact year; document source</t>
  </si>
  <si>
    <t xml:space="preserve">Staff FTE mismatch across indicators</t>
  </si>
  <si>
    <t xml:space="preserve">Different FTE denominators across pillars</t>
  </si>
  <si>
    <t xml:space="preserve">Use SAME FTE for ALL indicators: SSR, Doctorates/Staff, Inst Income, Research Income</t>
  </si>
  <si>
    <t xml:space="preserve">Faculty not applying for grants</t>
  </si>
  <si>
    <t xml:space="preserve">Low proposal volume; missed opportunities</t>
  </si>
  <si>
    <t xml:space="preserve">Incentives, protected time for proposals, grant-writing support</t>
  </si>
  <si>
    <t xml:space="preserve">Budget constraints limiting research investment</t>
  </si>
  <si>
    <t xml:space="preserve">Cannot provide matching funds required by some agencies</t>
  </si>
  <si>
    <t xml:space="preserve">Phased investment; identify agencies without matching requirements</t>
  </si>
  <si>
    <t xml:space="preserve">Research Income (PPP) — Data Quality &amp; Audit Checklist</t>
  </si>
  <si>
    <t xml:space="preserve">Validation checks for this indicator (5.5%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</si>
  <si>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</si>
  <si>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</si>
  <si>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</si>
  <si>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</si>
  <si>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</si>
  <si>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Research-only income verification</t>
  </si>
  <si>
    <t xml:space="preserve">ALL items counted are externally-sourced RESEARCH funding; no tuition, consultancy, block grants, endowment</t>
  </si>
  <si>
    <t xml:space="preserve">Audited accounts linkage</t>
  </si>
  <si>
    <t xml:space="preserve">Research income figures traceable to specific line items in audited financial statements</t>
  </si>
  <si>
    <t xml:space="preserve">Consultancy income excluded</t>
  </si>
  <si>
    <t xml:space="preserve">Consultancy / technical services revenue NOT included in research income</t>
  </si>
  <si>
    <t xml:space="preserve">Block grant separation</t>
  </si>
  <si>
    <t xml:space="preserve">General block grants excluded; only earmarked research portions with deliverables included</t>
  </si>
  <si>
    <t xml:space="preserve">Internal allocations excluded</t>
  </si>
  <si>
    <t xml:space="preserve">University's own internal research budget allocations NOT counted</t>
  </si>
  <si>
    <t xml:space="preserve">PPP rate accuracy</t>
  </si>
  <si>
    <t xml:space="preserve">World Bank PPP conversion factor matches published rate for exact submission year</t>
  </si>
  <si>
    <t xml:space="preserve">PPP source documented</t>
  </si>
  <si>
    <t xml:space="preserve">Year, source, and specific PPP rate documented in submission</t>
  </si>
  <si>
    <t xml:space="preserve">Academic Staff FTE consistency</t>
  </si>
  <si>
    <t xml:space="preserve">SAME Staff FTE used here AND in SSR (4.5%), Doctorates/Staff (5.5%), Inst Income (2.5%)</t>
  </si>
  <si>
    <t xml:space="preserve">FTE THE-compliant</t>
  </si>
  <si>
    <t xml:space="preserve">Staff FTE per THE definition; research-only, admin, technical staff excluded</t>
  </si>
  <si>
    <t xml:space="preserve">Income per FTE calculation</t>
  </si>
  <si>
    <t xml:space="preserve">Research Income PPP-USD ÷ Staff FTE verified independently by 2 reviewers</t>
  </si>
  <si>
    <t xml:space="preserve">Source breakdown reconciliation</t>
  </si>
  <si>
    <t xml:space="preserve">Sum of 5 source categories = total research income (within ±1% tolerance)</t>
  </si>
  <si>
    <t xml:space="preserve">Fiscal year consistency</t>
  </si>
  <si>
    <t xml:space="preserve">Same fiscal year definition used across all indicators and all years</t>
  </si>
  <si>
    <t xml:space="preserve">Year-on-year consistency</t>
  </si>
  <si>
    <t xml:space="preserve">Current research income compared with previous year; &gt;25% changes documented</t>
  </si>
  <si>
    <t xml:space="preserve">Grant pipeline cross-check</t>
  </si>
  <si>
    <t xml:space="preserve">Total awarded value consistent with research income figure (timing differences documented)</t>
  </si>
  <si>
    <t xml:space="preserve">Department reconciliation</t>
  </si>
  <si>
    <t xml:space="preserve">Sum of department-level income = university total</t>
  </si>
  <si>
    <t xml:space="preserve">CSR/ambiguous income classification</t>
  </si>
  <si>
    <t xml:space="preserve">CSR funds and equipment grants classified per documented criteria (research deliverables required)</t>
  </si>
  <si>
    <t xml:space="preserve">Fellowship/stipend treatment</t>
  </si>
  <si>
    <t xml:space="preserve">PhD fellowships counted only if part of a research grant (not standalone scholarships)</t>
  </si>
  <si>
    <t xml:space="preserve">Outlier detection</t>
  </si>
  <si>
    <t xml:space="preserve">Income per FTE &gt;3 SD from mean flagged for verification</t>
  </si>
  <si>
    <t xml:space="preserve">THE Portal field mapping</t>
  </si>
  <si>
    <t xml:space="preserve">Research income and PPP rate correctly mapped to THE submission fields</t>
  </si>
  <si>
    <t xml:space="preserve">Reproducibility test</t>
  </si>
  <si>
    <t xml:space="preserve">Income per FTE independently reproducible from audited accounts + HR records within ±2%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</si>
</sst>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"/>
    <numFmt numFmtId="167" formatCode="#,##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F8F9D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C8102E"/>
        <bgColor rgb="FF8B0000"/>
      </patternFill>
    </fill>
    <fill>
      <patternFill patternType="solid">
        <fgColor rgb="FFFFF5D9"/>
        <bgColor rgb="FFF2F2F2"/>
      </patternFill>
    </fill>
    <fill>
      <patternFill patternType="solid">
        <fgColor rgb="FF1A2E4F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E2EFDA"/>
        <bgColor rgb="FFF2F2F2"/>
      </patternFill>
    </fill>
    <fill>
      <patternFill patternType="solid">
        <fgColor rgb="FF548235"/>
        <bgColor rgb="FF808080"/>
      </patternFill>
    </fill>
    <fill>
      <patternFill patternType="solid">
        <fgColor rgb="FF3F51B5"/>
        <bgColor rgb="FF666699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FCE4D6"/>
        <bgColor rgb="FFFFF5D9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0" customFormat="false" ht="84.75" hidden="false" customHeight="true" outlineLevel="0" collapsed="false">
      <c r="A10" s="8" t="n">
        <v>6</v>
      </c>
      <c r="B10" s="9" t="s">
        <v>21</v>
      </c>
      <c r="C10" s="10" t="s">
        <v>22</v>
      </c>
      <c r="D10" s="11" t="s">
        <v>23</v>
      </c>
    </row>
    <row r="12" customFormat="false" ht="25.5" hidden="false" customHeight="true" outlineLevel="0" collapsed="false">
      <c r="A12" s="12" t="s">
        <v>24</v>
      </c>
      <c r="B12" s="12"/>
      <c r="C12" s="12"/>
      <c r="D12" s="12"/>
    </row>
    <row r="13" customFormat="false" ht="35.05" hidden="false" customHeight="false" outlineLevel="0" collapsed="false">
      <c r="A13" s="13" t="s">
        <v>2</v>
      </c>
      <c r="B13" s="13" t="s">
        <v>25</v>
      </c>
      <c r="C13" s="13" t="s">
        <v>26</v>
      </c>
      <c r="D13" s="13" t="s">
        <v>27</v>
      </c>
    </row>
    <row r="14" customFormat="false" ht="30" hidden="false" customHeight="true" outlineLevel="0" collapsed="false">
      <c r="A14" s="14" t="n">
        <v>1</v>
      </c>
      <c r="B14" s="15" t="s">
        <v>28</v>
      </c>
      <c r="C14" s="16" t="s">
        <v>29</v>
      </c>
      <c r="D14" s="16" t="s">
        <v>30</v>
      </c>
    </row>
    <row r="15" customFormat="false" ht="30" hidden="false" customHeight="true" outlineLevel="0" collapsed="false">
      <c r="A15" s="4" t="n">
        <v>2</v>
      </c>
      <c r="B15" s="5" t="s">
        <v>31</v>
      </c>
      <c r="C15" s="6" t="s">
        <v>32</v>
      </c>
      <c r="D15" s="6" t="s">
        <v>33</v>
      </c>
    </row>
    <row r="16" customFormat="false" ht="30" hidden="false" customHeight="true" outlineLevel="0" collapsed="false">
      <c r="A16" s="14" t="n">
        <v>3</v>
      </c>
      <c r="B16" s="15" t="s">
        <v>34</v>
      </c>
      <c r="C16" s="16" t="s">
        <v>35</v>
      </c>
      <c r="D16" s="16" t="s">
        <v>36</v>
      </c>
    </row>
    <row r="17" customFormat="false" ht="30" hidden="false" customHeight="true" outlineLevel="0" collapsed="false">
      <c r="A17" s="4" t="n">
        <v>4</v>
      </c>
      <c r="B17" s="5" t="s">
        <v>37</v>
      </c>
      <c r="C17" s="6" t="s">
        <v>38</v>
      </c>
      <c r="D17" s="6" t="s">
        <v>39</v>
      </c>
    </row>
    <row r="18" customFormat="false" ht="30" hidden="false" customHeight="true" outlineLevel="0" collapsed="false">
      <c r="A18" s="14" t="n">
        <v>5</v>
      </c>
      <c r="B18" s="15" t="s">
        <v>40</v>
      </c>
      <c r="C18" s="16" t="s">
        <v>41</v>
      </c>
      <c r="D18" s="16" t="s">
        <v>42</v>
      </c>
    </row>
    <row r="19" customFormat="false" ht="30" hidden="false" customHeight="true" outlineLevel="0" collapsed="false">
      <c r="A19" s="4" t="n">
        <v>6</v>
      </c>
      <c r="B19" s="5" t="s">
        <v>43</v>
      </c>
      <c r="C19" s="6" t="s">
        <v>44</v>
      </c>
      <c r="D19" s="6" t="s">
        <v>44</v>
      </c>
    </row>
    <row r="20" customFormat="false" ht="30" hidden="false" customHeight="true" outlineLevel="0" collapsed="false">
      <c r="A20" s="14" t="n">
        <v>7</v>
      </c>
      <c r="B20" s="15" t="s">
        <v>45</v>
      </c>
      <c r="C20" s="16" t="s">
        <v>46</v>
      </c>
      <c r="D20" s="16" t="s">
        <v>46</v>
      </c>
    </row>
    <row r="22" customFormat="false" ht="25.5" hidden="false" customHeight="true" outlineLevel="0" collapsed="false">
      <c r="A22" s="17" t="s">
        <v>47</v>
      </c>
      <c r="B22" s="17"/>
      <c r="C22" s="17"/>
      <c r="D22" s="17"/>
    </row>
    <row r="23" customFormat="false" ht="15" hidden="false" customHeight="true" outlineLevel="0" collapsed="false">
      <c r="A23" s="18" t="s">
        <v>48</v>
      </c>
      <c r="B23" s="18"/>
      <c r="C23" s="18"/>
      <c r="D23" s="18"/>
    </row>
    <row r="24" customFormat="false" ht="15" hidden="false" customHeight="true" outlineLevel="0" collapsed="false">
      <c r="A24" s="18" t="s">
        <v>49</v>
      </c>
      <c r="B24" s="18"/>
      <c r="C24" s="18"/>
      <c r="D24" s="18"/>
    </row>
    <row r="25" customFormat="false" ht="15" hidden="false" customHeight="true" outlineLevel="0" collapsed="false">
      <c r="A25" s="18" t="s">
        <v>50</v>
      </c>
      <c r="B25" s="18"/>
      <c r="C25" s="18"/>
      <c r="D25" s="18"/>
    </row>
    <row r="26" customFormat="false" ht="15" hidden="false" customHeight="true" outlineLevel="0" collapsed="false">
      <c r="A26" s="18" t="s">
        <v>51</v>
      </c>
      <c r="B26" s="18"/>
      <c r="C26" s="18"/>
      <c r="D26" s="18"/>
    </row>
    <row r="27" customFormat="false" ht="15" hidden="false" customHeight="true" outlineLevel="0" collapsed="false">
      <c r="A27" s="18" t="s">
        <v>52</v>
      </c>
      <c r="B27" s="18"/>
      <c r="C27" s="18"/>
      <c r="D27" s="18"/>
    </row>
    <row r="28" customFormat="false" ht="15" hidden="false" customHeight="true" outlineLevel="0" collapsed="false">
      <c r="A28" s="18" t="s">
        <v>53</v>
      </c>
      <c r="B28" s="18"/>
      <c r="C28" s="18"/>
      <c r="D28" s="18"/>
    </row>
  </sheetData>
  <mergeCells count="10">
    <mergeCell ref="A1:D1"/>
    <mergeCell ref="A2:D2"/>
    <mergeCell ref="A12:D12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20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25.5" hidden="false" customHeight="true" outlineLevel="0" collapsed="false">
      <c r="A2" s="12" t="s">
        <v>55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46.25" hidden="false" customHeight="false" outlineLevel="0" collapsed="false">
      <c r="A3" s="13" t="s">
        <v>56</v>
      </c>
      <c r="B3" s="13" t="s">
        <v>57</v>
      </c>
      <c r="C3" s="13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  <c r="I3" s="13" t="s">
        <v>64</v>
      </c>
      <c r="J3" s="13" t="s">
        <v>65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20"/>
      <c r="H4" s="20"/>
      <c r="I4" s="21" t="n">
        <f aca="false">SUM(D4:H4)</f>
        <v>0</v>
      </c>
      <c r="J4" s="20"/>
    </row>
    <row r="5" customFormat="false" ht="15" hidden="false" customHeight="false" outlineLevel="0" collapsed="false">
      <c r="A5" s="4" t="n">
        <v>2</v>
      </c>
      <c r="B5" s="22"/>
      <c r="C5" s="22"/>
      <c r="D5" s="22"/>
      <c r="E5" s="22"/>
      <c r="F5" s="22"/>
      <c r="G5" s="22"/>
      <c r="H5" s="22"/>
      <c r="I5" s="23" t="n">
        <f aca="false">SUM(D5:H5)</f>
        <v>0</v>
      </c>
      <c r="J5" s="22"/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20"/>
      <c r="H6" s="20"/>
      <c r="I6" s="21" t="n">
        <f aca="false">SUM(D6:H6)</f>
        <v>0</v>
      </c>
      <c r="J6" s="20"/>
    </row>
    <row r="7" customFormat="false" ht="15" hidden="false" customHeight="false" outlineLevel="0" collapsed="false">
      <c r="A7" s="4" t="n">
        <v>4</v>
      </c>
      <c r="B7" s="22"/>
      <c r="C7" s="22"/>
      <c r="D7" s="22"/>
      <c r="E7" s="22"/>
      <c r="F7" s="22"/>
      <c r="G7" s="22"/>
      <c r="H7" s="22"/>
      <c r="I7" s="23" t="n">
        <f aca="false">SUM(D7:H7)</f>
        <v>0</v>
      </c>
      <c r="J7" s="22"/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20"/>
      <c r="H8" s="20"/>
      <c r="I8" s="21" t="n">
        <f aca="false">SUM(D8:H8)</f>
        <v>0</v>
      </c>
      <c r="J8" s="20"/>
    </row>
    <row r="9" customFormat="false" ht="15" hidden="false" customHeight="false" outlineLevel="0" collapsed="false">
      <c r="A9" s="4" t="n">
        <v>6</v>
      </c>
      <c r="B9" s="22"/>
      <c r="C9" s="22"/>
      <c r="D9" s="22"/>
      <c r="E9" s="22"/>
      <c r="F9" s="22"/>
      <c r="G9" s="22"/>
      <c r="H9" s="22"/>
      <c r="I9" s="23" t="n">
        <f aca="false">SUM(D9:H9)</f>
        <v>0</v>
      </c>
      <c r="J9" s="22"/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20"/>
      <c r="H10" s="20"/>
      <c r="I10" s="21" t="n">
        <f aca="false">SUM(D10:H10)</f>
        <v>0</v>
      </c>
      <c r="J10" s="20"/>
    </row>
    <row r="11" customFormat="false" ht="15" hidden="false" customHeight="false" outlineLevel="0" collapsed="false">
      <c r="A11" s="4" t="n">
        <v>8</v>
      </c>
      <c r="B11" s="22"/>
      <c r="C11" s="22"/>
      <c r="D11" s="22"/>
      <c r="E11" s="22"/>
      <c r="F11" s="22"/>
      <c r="G11" s="22"/>
      <c r="H11" s="22"/>
      <c r="I11" s="23" t="n">
        <f aca="false">SUM(D11:H11)</f>
        <v>0</v>
      </c>
      <c r="J11" s="22"/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20"/>
      <c r="H12" s="20"/>
      <c r="I12" s="21" t="n">
        <f aca="false">SUM(D12:H12)</f>
        <v>0</v>
      </c>
      <c r="J12" s="20"/>
    </row>
    <row r="13" customFormat="false" ht="15" hidden="false" customHeight="false" outlineLevel="0" collapsed="false">
      <c r="A13" s="4" t="n">
        <v>10</v>
      </c>
      <c r="B13" s="22"/>
      <c r="C13" s="22"/>
      <c r="D13" s="22"/>
      <c r="E13" s="22"/>
      <c r="F13" s="22"/>
      <c r="G13" s="22"/>
      <c r="H13" s="22"/>
      <c r="I13" s="23" t="n">
        <f aca="false">SUM(D13:H13)</f>
        <v>0</v>
      </c>
      <c r="J13" s="22"/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20"/>
      <c r="H14" s="20"/>
      <c r="I14" s="21" t="n">
        <f aca="false">SUM(D14:H14)</f>
        <v>0</v>
      </c>
      <c r="J14" s="20"/>
    </row>
    <row r="15" customFormat="false" ht="15" hidden="false" customHeight="false" outlineLevel="0" collapsed="false">
      <c r="A15" s="4" t="n">
        <v>12</v>
      </c>
      <c r="B15" s="22"/>
      <c r="C15" s="22"/>
      <c r="D15" s="22"/>
      <c r="E15" s="22"/>
      <c r="F15" s="22"/>
      <c r="G15" s="22"/>
      <c r="H15" s="22"/>
      <c r="I15" s="23" t="n">
        <f aca="false">SUM(D15:H15)</f>
        <v>0</v>
      </c>
      <c r="J15" s="22"/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20"/>
      <c r="H16" s="20"/>
      <c r="I16" s="21" t="n">
        <f aca="false">SUM(D16:H16)</f>
        <v>0</v>
      </c>
      <c r="J16" s="20"/>
    </row>
    <row r="17" customFormat="false" ht="15" hidden="false" customHeight="false" outlineLevel="0" collapsed="false">
      <c r="A17" s="4" t="n">
        <v>14</v>
      </c>
      <c r="B17" s="22"/>
      <c r="C17" s="22"/>
      <c r="D17" s="22"/>
      <c r="E17" s="22"/>
      <c r="F17" s="22"/>
      <c r="G17" s="22"/>
      <c r="H17" s="22"/>
      <c r="I17" s="23" t="n">
        <f aca="false">SUM(D17:H17)</f>
        <v>0</v>
      </c>
      <c r="J17" s="22"/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20"/>
      <c r="H18" s="20"/>
      <c r="I18" s="21" t="n">
        <f aca="false">SUM(D18:H18)</f>
        <v>0</v>
      </c>
      <c r="J18" s="20"/>
    </row>
    <row r="19" customFormat="false" ht="15" hidden="false" customHeight="false" outlineLevel="0" collapsed="false">
      <c r="A19" s="4" t="n">
        <v>16</v>
      </c>
      <c r="B19" s="22"/>
      <c r="C19" s="22"/>
      <c r="D19" s="22"/>
      <c r="E19" s="22"/>
      <c r="F19" s="22"/>
      <c r="G19" s="22"/>
      <c r="H19" s="22"/>
      <c r="I19" s="23" t="n">
        <f aca="false">SUM(D19:H19)</f>
        <v>0</v>
      </c>
      <c r="J19" s="22"/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20"/>
      <c r="H20" s="20"/>
      <c r="I20" s="21" t="n">
        <f aca="false">SUM(D20:H20)</f>
        <v>0</v>
      </c>
      <c r="J20" s="20"/>
    </row>
    <row r="21" customFormat="false" ht="15" hidden="false" customHeight="false" outlineLevel="0" collapsed="false">
      <c r="A21" s="4" t="n">
        <v>18</v>
      </c>
      <c r="B21" s="22"/>
      <c r="C21" s="22"/>
      <c r="D21" s="22"/>
      <c r="E21" s="22"/>
      <c r="F21" s="22"/>
      <c r="G21" s="22"/>
      <c r="H21" s="22"/>
      <c r="I21" s="23" t="n">
        <f aca="false">SUM(D21:H21)</f>
        <v>0</v>
      </c>
      <c r="J21" s="22"/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20"/>
      <c r="H22" s="20"/>
      <c r="I22" s="21" t="n">
        <f aca="false">SUM(D22:H22)</f>
        <v>0</v>
      </c>
      <c r="J22" s="20"/>
    </row>
    <row r="23" customFormat="false" ht="15" hidden="false" customHeight="false" outlineLevel="0" collapsed="false">
      <c r="A23" s="4" t="n">
        <v>20</v>
      </c>
      <c r="B23" s="22"/>
      <c r="C23" s="22"/>
      <c r="D23" s="22"/>
      <c r="E23" s="22"/>
      <c r="F23" s="22"/>
      <c r="G23" s="22"/>
      <c r="H23" s="22"/>
      <c r="I23" s="23" t="n">
        <f aca="false">SUM(D23:H23)</f>
        <v>0</v>
      </c>
      <c r="J23" s="22"/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20"/>
      <c r="H24" s="20"/>
      <c r="I24" s="21" t="n">
        <f aca="false">SUM(D24:H24)</f>
        <v>0</v>
      </c>
      <c r="J24" s="20"/>
    </row>
    <row r="25" customFormat="false" ht="15" hidden="false" customHeight="false" outlineLevel="0" collapsed="false">
      <c r="A25" s="4" t="n">
        <v>22</v>
      </c>
      <c r="B25" s="22"/>
      <c r="C25" s="22"/>
      <c r="D25" s="22"/>
      <c r="E25" s="22"/>
      <c r="F25" s="22"/>
      <c r="G25" s="22"/>
      <c r="H25" s="22"/>
      <c r="I25" s="23" t="n">
        <f aca="false">SUM(D25:H25)</f>
        <v>0</v>
      </c>
      <c r="J25" s="22"/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20"/>
      <c r="H26" s="20"/>
      <c r="I26" s="21" t="n">
        <f aca="false">SUM(D26:H26)</f>
        <v>0</v>
      </c>
      <c r="J26" s="20"/>
    </row>
    <row r="27" customFormat="false" ht="15" hidden="false" customHeight="false" outlineLevel="0" collapsed="false">
      <c r="A27" s="4" t="n">
        <v>24</v>
      </c>
      <c r="B27" s="22"/>
      <c r="C27" s="22"/>
      <c r="D27" s="22"/>
      <c r="E27" s="22"/>
      <c r="F27" s="22"/>
      <c r="G27" s="22"/>
      <c r="H27" s="22"/>
      <c r="I27" s="23" t="n">
        <f aca="false">SUM(D27:H27)</f>
        <v>0</v>
      </c>
      <c r="J27" s="22"/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20"/>
      <c r="H28" s="20"/>
      <c r="I28" s="21" t="n">
        <f aca="false">SUM(D28:H28)</f>
        <v>0</v>
      </c>
      <c r="J28" s="20"/>
    </row>
    <row r="29" customFormat="false" ht="15" hidden="false" customHeight="false" outlineLevel="0" collapsed="false">
      <c r="A29" s="4" t="n">
        <v>26</v>
      </c>
      <c r="B29" s="22"/>
      <c r="C29" s="22"/>
      <c r="D29" s="22"/>
      <c r="E29" s="22"/>
      <c r="F29" s="22"/>
      <c r="G29" s="22"/>
      <c r="H29" s="22"/>
      <c r="I29" s="23" t="n">
        <f aca="false">SUM(D29:H29)</f>
        <v>0</v>
      </c>
      <c r="J29" s="22"/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20"/>
      <c r="H30" s="20"/>
      <c r="I30" s="21" t="n">
        <f aca="false">SUM(D30:H30)</f>
        <v>0</v>
      </c>
      <c r="J30" s="20"/>
    </row>
    <row r="31" customFormat="false" ht="15" hidden="false" customHeight="false" outlineLevel="0" collapsed="false">
      <c r="A31" s="4" t="n">
        <v>28</v>
      </c>
      <c r="B31" s="22"/>
      <c r="C31" s="22"/>
      <c r="D31" s="22"/>
      <c r="E31" s="22"/>
      <c r="F31" s="22"/>
      <c r="G31" s="22"/>
      <c r="H31" s="22"/>
      <c r="I31" s="23" t="n">
        <f aca="false">SUM(D31:H31)</f>
        <v>0</v>
      </c>
      <c r="J31" s="22"/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20"/>
      <c r="H32" s="20"/>
      <c r="I32" s="21" t="n">
        <f aca="false">SUM(D32:H32)</f>
        <v>0</v>
      </c>
      <c r="J32" s="20"/>
    </row>
    <row r="33" customFormat="false" ht="15" hidden="false" customHeight="false" outlineLevel="0" collapsed="false">
      <c r="A33" s="4" t="n">
        <v>30</v>
      </c>
      <c r="B33" s="22"/>
      <c r="C33" s="22"/>
      <c r="D33" s="22"/>
      <c r="E33" s="22"/>
      <c r="F33" s="22"/>
      <c r="G33" s="22"/>
      <c r="H33" s="22"/>
      <c r="I33" s="23" t="n">
        <f aca="false">SUM(D33:H33)</f>
        <v>0</v>
      </c>
      <c r="J33" s="22"/>
    </row>
    <row r="35" customFormat="false" ht="25.5" hidden="false" customHeight="true" outlineLevel="0" collapsed="false">
      <c r="A35" s="24" t="s">
        <v>66</v>
      </c>
      <c r="B35" s="24"/>
      <c r="C35" s="24"/>
      <c r="D35" s="24"/>
      <c r="E35" s="24"/>
      <c r="F35" s="24"/>
      <c r="G35" s="24"/>
      <c r="H35" s="24"/>
      <c r="I35" s="24"/>
      <c r="J35" s="24"/>
    </row>
    <row r="36" customFormat="false" ht="23.85" hidden="false" customHeight="false" outlineLevel="0" collapsed="false">
      <c r="A36" s="25" t="s">
        <v>56</v>
      </c>
      <c r="B36" s="25" t="s">
        <v>57</v>
      </c>
      <c r="C36" s="25" t="s">
        <v>58</v>
      </c>
      <c r="D36" s="25" t="s">
        <v>67</v>
      </c>
      <c r="E36" s="25" t="s">
        <v>68</v>
      </c>
      <c r="F36" s="25" t="s">
        <v>69</v>
      </c>
      <c r="G36" s="25" t="s">
        <v>70</v>
      </c>
      <c r="H36" s="25" t="s">
        <v>71</v>
      </c>
      <c r="I36" s="25" t="s">
        <v>72</v>
      </c>
      <c r="J36" s="25" t="s">
        <v>73</v>
      </c>
    </row>
    <row r="37" customFormat="false" ht="15" hidden="false" customHeight="false" outlineLevel="0" collapsed="false">
      <c r="A37" s="4" t="n">
        <v>1</v>
      </c>
      <c r="B37" s="22"/>
      <c r="C37" s="22"/>
      <c r="D37" s="22"/>
      <c r="E37" s="22"/>
      <c r="F37" s="22"/>
      <c r="G37" s="22"/>
      <c r="H37" s="22"/>
      <c r="I37" s="26" t="n">
        <f aca="false">SUM(D37:H37)</f>
        <v>0</v>
      </c>
      <c r="J37" s="27" t="n">
        <f aca="false">IFERROR(IF(AND(D37&gt;0,H37&gt;0),(H37/D37)^(1/4)-1,0)*100,0)</f>
        <v>0</v>
      </c>
    </row>
    <row r="38" customFormat="false" ht="15" hidden="false" customHeight="false" outlineLevel="0" collapsed="false">
      <c r="A38" s="8" t="n">
        <v>2</v>
      </c>
      <c r="B38" s="20"/>
      <c r="C38" s="20"/>
      <c r="D38" s="20"/>
      <c r="E38" s="20"/>
      <c r="F38" s="20"/>
      <c r="G38" s="20"/>
      <c r="H38" s="20"/>
      <c r="I38" s="28" t="n">
        <f aca="false">SUM(D38:H38)</f>
        <v>0</v>
      </c>
      <c r="J38" s="29" t="n">
        <f aca="false">IFERROR(IF(AND(D38&gt;0,H38&gt;0),(H38/D38)^(1/4)-1,0)*100,0)</f>
        <v>0</v>
      </c>
    </row>
    <row r="39" customFormat="false" ht="15" hidden="false" customHeight="false" outlineLevel="0" collapsed="false">
      <c r="A39" s="4" t="n">
        <v>3</v>
      </c>
      <c r="B39" s="22"/>
      <c r="C39" s="22"/>
      <c r="D39" s="22"/>
      <c r="E39" s="22"/>
      <c r="F39" s="22"/>
      <c r="G39" s="22"/>
      <c r="H39" s="22"/>
      <c r="I39" s="26" t="n">
        <f aca="false">SUM(D39:H39)</f>
        <v>0</v>
      </c>
      <c r="J39" s="27" t="n">
        <f aca="false">IFERROR(IF(AND(D39&gt;0,H39&gt;0),(H39/D39)^(1/4)-1,0)*100,0)</f>
        <v>0</v>
      </c>
    </row>
    <row r="40" customFormat="false" ht="15" hidden="false" customHeight="false" outlineLevel="0" collapsed="false">
      <c r="A40" s="8" t="n">
        <v>4</v>
      </c>
      <c r="B40" s="20"/>
      <c r="C40" s="20"/>
      <c r="D40" s="20"/>
      <c r="E40" s="20"/>
      <c r="F40" s="20"/>
      <c r="G40" s="20"/>
      <c r="H40" s="20"/>
      <c r="I40" s="28" t="n">
        <f aca="false">SUM(D40:H40)</f>
        <v>0</v>
      </c>
      <c r="J40" s="29" t="n">
        <f aca="false">IFERROR(IF(AND(D40&gt;0,H40&gt;0),(H40/D40)^(1/4)-1,0)*100,0)</f>
        <v>0</v>
      </c>
    </row>
    <row r="41" customFormat="false" ht="15" hidden="false" customHeight="false" outlineLevel="0" collapsed="false">
      <c r="A41" s="4" t="n">
        <v>5</v>
      </c>
      <c r="B41" s="22"/>
      <c r="C41" s="22"/>
      <c r="D41" s="22"/>
      <c r="E41" s="22"/>
      <c r="F41" s="22"/>
      <c r="G41" s="22"/>
      <c r="H41" s="22"/>
      <c r="I41" s="26" t="n">
        <f aca="false">SUM(D41:H41)</f>
        <v>0</v>
      </c>
      <c r="J41" s="27" t="n">
        <f aca="false">IFERROR(IF(AND(D41&gt;0,H41&gt;0),(H41/D41)^(1/4)-1,0)*100,0)</f>
        <v>0</v>
      </c>
    </row>
    <row r="42" customFormat="false" ht="15" hidden="false" customHeight="false" outlineLevel="0" collapsed="false">
      <c r="A42" s="8" t="n">
        <v>6</v>
      </c>
      <c r="B42" s="20"/>
      <c r="C42" s="20"/>
      <c r="D42" s="20"/>
      <c r="E42" s="20"/>
      <c r="F42" s="20"/>
      <c r="G42" s="20"/>
      <c r="H42" s="20"/>
      <c r="I42" s="28" t="n">
        <f aca="false">SUM(D42:H42)</f>
        <v>0</v>
      </c>
      <c r="J42" s="29" t="n">
        <f aca="false">IFERROR(IF(AND(D42&gt;0,H42&gt;0),(H42/D42)^(1/4)-1,0)*100,0)</f>
        <v>0</v>
      </c>
    </row>
    <row r="43" customFormat="false" ht="15" hidden="false" customHeight="false" outlineLevel="0" collapsed="false">
      <c r="A43" s="4" t="n">
        <v>7</v>
      </c>
      <c r="B43" s="22"/>
      <c r="C43" s="22"/>
      <c r="D43" s="22"/>
      <c r="E43" s="22"/>
      <c r="F43" s="22"/>
      <c r="G43" s="22"/>
      <c r="H43" s="22"/>
      <c r="I43" s="26" t="n">
        <f aca="false">SUM(D43:H43)</f>
        <v>0</v>
      </c>
      <c r="J43" s="27" t="n">
        <f aca="false">IFERROR(IF(AND(D43&gt;0,H43&gt;0),(H43/D43)^(1/4)-1,0)*100,0)</f>
        <v>0</v>
      </c>
    </row>
    <row r="44" customFormat="false" ht="15" hidden="false" customHeight="false" outlineLevel="0" collapsed="false">
      <c r="A44" s="8" t="n">
        <v>8</v>
      </c>
      <c r="B44" s="20"/>
      <c r="C44" s="20"/>
      <c r="D44" s="20"/>
      <c r="E44" s="20"/>
      <c r="F44" s="20"/>
      <c r="G44" s="20"/>
      <c r="H44" s="20"/>
      <c r="I44" s="28" t="n">
        <f aca="false">SUM(D44:H44)</f>
        <v>0</v>
      </c>
      <c r="J44" s="29" t="n">
        <f aca="false">IFERROR(IF(AND(D44&gt;0,H44&gt;0),(H44/D44)^(1/4)-1,0)*100,0)</f>
        <v>0</v>
      </c>
    </row>
    <row r="45" customFormat="false" ht="15" hidden="false" customHeight="false" outlineLevel="0" collapsed="false">
      <c r="A45" s="4" t="n">
        <v>9</v>
      </c>
      <c r="B45" s="22"/>
      <c r="C45" s="22"/>
      <c r="D45" s="22"/>
      <c r="E45" s="22"/>
      <c r="F45" s="22"/>
      <c r="G45" s="22"/>
      <c r="H45" s="22"/>
      <c r="I45" s="26" t="n">
        <f aca="false">SUM(D45:H45)</f>
        <v>0</v>
      </c>
      <c r="J45" s="27" t="n">
        <f aca="false">IFERROR(IF(AND(D45&gt;0,H45&gt;0),(H45/D45)^(1/4)-1,0)*100,0)</f>
        <v>0</v>
      </c>
    </row>
    <row r="46" customFormat="false" ht="15" hidden="false" customHeight="false" outlineLevel="0" collapsed="false">
      <c r="A46" s="8" t="n">
        <v>10</v>
      </c>
      <c r="B46" s="20"/>
      <c r="C46" s="20"/>
      <c r="D46" s="20"/>
      <c r="E46" s="20"/>
      <c r="F46" s="20"/>
      <c r="G46" s="20"/>
      <c r="H46" s="20"/>
      <c r="I46" s="28" t="n">
        <f aca="false">SUM(D46:H46)</f>
        <v>0</v>
      </c>
      <c r="J46" s="29" t="n">
        <f aca="false">IFERROR(IF(AND(D46&gt;0,H46&gt;0),(H46/D46)^(1/4)-1,0)*100,0)</f>
        <v>0</v>
      </c>
    </row>
    <row r="47" customFormat="false" ht="15" hidden="false" customHeight="false" outlineLevel="0" collapsed="false">
      <c r="A47" s="4" t="n">
        <v>11</v>
      </c>
      <c r="B47" s="22"/>
      <c r="C47" s="22"/>
      <c r="D47" s="22"/>
      <c r="E47" s="22"/>
      <c r="F47" s="22"/>
      <c r="G47" s="22"/>
      <c r="H47" s="22"/>
      <c r="I47" s="26" t="n">
        <f aca="false">SUM(D47:H47)</f>
        <v>0</v>
      </c>
      <c r="J47" s="27" t="n">
        <f aca="false">IFERROR(IF(AND(D47&gt;0,H47&gt;0),(H47/D47)^(1/4)-1,0)*100,0)</f>
        <v>0</v>
      </c>
    </row>
    <row r="48" customFormat="false" ht="15" hidden="false" customHeight="false" outlineLevel="0" collapsed="false">
      <c r="A48" s="8" t="n">
        <v>12</v>
      </c>
      <c r="B48" s="20"/>
      <c r="C48" s="20"/>
      <c r="D48" s="20"/>
      <c r="E48" s="20"/>
      <c r="F48" s="20"/>
      <c r="G48" s="20"/>
      <c r="H48" s="20"/>
      <c r="I48" s="28" t="n">
        <f aca="false">SUM(D48:H48)</f>
        <v>0</v>
      </c>
      <c r="J48" s="29" t="n">
        <f aca="false">IFERROR(IF(AND(D48&gt;0,H48&gt;0),(H48/D48)^(1/4)-1,0)*100,0)</f>
        <v>0</v>
      </c>
    </row>
    <row r="49" customFormat="false" ht="15" hidden="false" customHeight="false" outlineLevel="0" collapsed="false">
      <c r="A49" s="4" t="n">
        <v>13</v>
      </c>
      <c r="B49" s="22"/>
      <c r="C49" s="22"/>
      <c r="D49" s="22"/>
      <c r="E49" s="22"/>
      <c r="F49" s="22"/>
      <c r="G49" s="22"/>
      <c r="H49" s="22"/>
      <c r="I49" s="26" t="n">
        <f aca="false">SUM(D49:H49)</f>
        <v>0</v>
      </c>
      <c r="J49" s="27" t="n">
        <f aca="false">IFERROR(IF(AND(D49&gt;0,H49&gt;0),(H49/D49)^(1/4)-1,0)*100,0)</f>
        <v>0</v>
      </c>
    </row>
    <row r="50" customFormat="false" ht="15" hidden="false" customHeight="false" outlineLevel="0" collapsed="false">
      <c r="A50" s="8" t="n">
        <v>14</v>
      </c>
      <c r="B50" s="20"/>
      <c r="C50" s="20"/>
      <c r="D50" s="20"/>
      <c r="E50" s="20"/>
      <c r="F50" s="20"/>
      <c r="G50" s="20"/>
      <c r="H50" s="20"/>
      <c r="I50" s="28" t="n">
        <f aca="false">SUM(D50:H50)</f>
        <v>0</v>
      </c>
      <c r="J50" s="29" t="n">
        <f aca="false">IFERROR(IF(AND(D50&gt;0,H50&gt;0),(H50/D50)^(1/4)-1,0)*100,0)</f>
        <v>0</v>
      </c>
    </row>
    <row r="51" customFormat="false" ht="15" hidden="false" customHeight="false" outlineLevel="0" collapsed="false">
      <c r="A51" s="4" t="n">
        <v>15</v>
      </c>
      <c r="B51" s="22"/>
      <c r="C51" s="22"/>
      <c r="D51" s="22"/>
      <c r="E51" s="22"/>
      <c r="F51" s="22"/>
      <c r="G51" s="22"/>
      <c r="H51" s="22"/>
      <c r="I51" s="26" t="n">
        <f aca="false">SUM(D51:H51)</f>
        <v>0</v>
      </c>
      <c r="J51" s="27" t="n">
        <f aca="false">IFERROR(IF(AND(D51&gt;0,H51&gt;0),(H51/D51)^(1/4)-1,0)*100,0)</f>
        <v>0</v>
      </c>
    </row>
    <row r="52" customFormat="false" ht="15" hidden="false" customHeight="false" outlineLevel="0" collapsed="false">
      <c r="A52" s="8" t="n">
        <v>16</v>
      </c>
      <c r="B52" s="20"/>
      <c r="C52" s="20"/>
      <c r="D52" s="20"/>
      <c r="E52" s="20"/>
      <c r="F52" s="20"/>
      <c r="G52" s="20"/>
      <c r="H52" s="20"/>
      <c r="I52" s="28" t="n">
        <f aca="false">SUM(D52:H52)</f>
        <v>0</v>
      </c>
      <c r="J52" s="29" t="n">
        <f aca="false">IFERROR(IF(AND(D52&gt;0,H52&gt;0),(H52/D52)^(1/4)-1,0)*100,0)</f>
        <v>0</v>
      </c>
    </row>
    <row r="53" customFormat="false" ht="15" hidden="false" customHeight="false" outlineLevel="0" collapsed="false">
      <c r="A53" s="4" t="n">
        <v>17</v>
      </c>
      <c r="B53" s="22"/>
      <c r="C53" s="22"/>
      <c r="D53" s="22"/>
      <c r="E53" s="22"/>
      <c r="F53" s="22"/>
      <c r="G53" s="22"/>
      <c r="H53" s="22"/>
      <c r="I53" s="26" t="n">
        <f aca="false">SUM(D53:H53)</f>
        <v>0</v>
      </c>
      <c r="J53" s="27" t="n">
        <f aca="false">IFERROR(IF(AND(D53&gt;0,H53&gt;0),(H53/D53)^(1/4)-1,0)*100,0)</f>
        <v>0</v>
      </c>
    </row>
    <row r="54" customFormat="false" ht="15" hidden="false" customHeight="false" outlineLevel="0" collapsed="false">
      <c r="A54" s="8" t="n">
        <v>18</v>
      </c>
      <c r="B54" s="20"/>
      <c r="C54" s="20"/>
      <c r="D54" s="20"/>
      <c r="E54" s="20"/>
      <c r="F54" s="20"/>
      <c r="G54" s="20"/>
      <c r="H54" s="20"/>
      <c r="I54" s="28" t="n">
        <f aca="false">SUM(D54:H54)</f>
        <v>0</v>
      </c>
      <c r="J54" s="29" t="n">
        <f aca="false">IFERROR(IF(AND(D54&gt;0,H54&gt;0),(H54/D54)^(1/4)-1,0)*100,0)</f>
        <v>0</v>
      </c>
    </row>
    <row r="55" customFormat="false" ht="15" hidden="false" customHeight="false" outlineLevel="0" collapsed="false">
      <c r="A55" s="4" t="n">
        <v>19</v>
      </c>
      <c r="B55" s="22"/>
      <c r="C55" s="22"/>
      <c r="D55" s="22"/>
      <c r="E55" s="22"/>
      <c r="F55" s="22"/>
      <c r="G55" s="22"/>
      <c r="H55" s="22"/>
      <c r="I55" s="26" t="n">
        <f aca="false">SUM(D55:H55)</f>
        <v>0</v>
      </c>
      <c r="J55" s="27" t="n">
        <f aca="false">IFERROR(IF(AND(D55&gt;0,H55&gt;0),(H55/D55)^(1/4)-1,0)*100,0)</f>
        <v>0</v>
      </c>
    </row>
    <row r="56" customFormat="false" ht="15" hidden="false" customHeight="false" outlineLevel="0" collapsed="false">
      <c r="A56" s="8" t="n">
        <v>20</v>
      </c>
      <c r="B56" s="20"/>
      <c r="C56" s="20"/>
      <c r="D56" s="20"/>
      <c r="E56" s="20"/>
      <c r="F56" s="20"/>
      <c r="G56" s="20"/>
      <c r="H56" s="20"/>
      <c r="I56" s="28" t="n">
        <f aca="false">SUM(D56:H56)</f>
        <v>0</v>
      </c>
      <c r="J56" s="29" t="n">
        <f aca="false">IFERROR(IF(AND(D56&gt;0,H56&gt;0),(H56/D56)^(1/4)-1,0)*100,0)</f>
        <v>0</v>
      </c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0" t="s">
        <v>74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25.5" hidden="false" customHeight="true" outlineLevel="0" collapsed="false">
      <c r="A2" s="31" t="s">
        <v>75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23.85" hidden="false" customHeight="false" outlineLevel="0" collapsed="false">
      <c r="A3" s="32" t="s">
        <v>56</v>
      </c>
      <c r="B3" s="32" t="s">
        <v>57</v>
      </c>
      <c r="C3" s="32" t="s">
        <v>58</v>
      </c>
      <c r="D3" s="32" t="s">
        <v>76</v>
      </c>
      <c r="E3" s="32" t="s">
        <v>77</v>
      </c>
      <c r="F3" s="32" t="s">
        <v>78</v>
      </c>
      <c r="G3" s="32" t="s">
        <v>46</v>
      </c>
      <c r="H3" s="32" t="s">
        <v>79</v>
      </c>
      <c r="I3" s="32" t="s">
        <v>80</v>
      </c>
      <c r="J3" s="32" t="s">
        <v>81</v>
      </c>
    </row>
    <row r="4" customFormat="false" ht="15" hidden="false" customHeight="false" outlineLevel="0" collapsed="false">
      <c r="A4" s="8" t="n">
        <v>1</v>
      </c>
      <c r="B4" s="20"/>
      <c r="C4" s="20"/>
      <c r="D4" s="21" t="n">
        <f aca="false">'1. Research Income'!I4</f>
        <v>0</v>
      </c>
      <c r="E4" s="20"/>
      <c r="F4" s="33" t="n">
        <f aca="false">IF(E4&gt;0,D4/E4,0)</f>
        <v>0</v>
      </c>
      <c r="G4" s="8" t="n">
        <f aca="false">'3. Staff FTE'!J4</f>
        <v>0</v>
      </c>
      <c r="H4" s="33" t="n">
        <f aca="false">IF(G4&gt;0,F4/G4,0)</f>
        <v>0</v>
      </c>
      <c r="I4" s="34" t="n">
        <f aca="false">IFERROR((H4-AVERAGE($H$4:$H$33))/STDEV($H$4:$H$33),0)</f>
        <v>0</v>
      </c>
      <c r="J4" s="29" t="n">
        <f aca="false">IFERROR(IF(MAX($H$4:$H$33)-MIN($H$4:$H$33)&gt;0,(H4-MIN($H$4:$H$33))/(MAX($H$4:$H$33)-MIN($H$4:$H$33))*100,0),0)</f>
        <v>0</v>
      </c>
    </row>
    <row r="5" customFormat="false" ht="15" hidden="false" customHeight="false" outlineLevel="0" collapsed="false">
      <c r="A5" s="4" t="n">
        <v>2</v>
      </c>
      <c r="B5" s="22"/>
      <c r="C5" s="22"/>
      <c r="D5" s="23" t="n">
        <f aca="false">'1. Research Income'!I5</f>
        <v>0</v>
      </c>
      <c r="E5" s="22"/>
      <c r="F5" s="35" t="n">
        <f aca="false">IF(E5&gt;0,D5/E5,0)</f>
        <v>0</v>
      </c>
      <c r="G5" s="4" t="n">
        <f aca="false">'3. Staff FTE'!J5</f>
        <v>0</v>
      </c>
      <c r="H5" s="35" t="n">
        <f aca="false">IF(G5&gt;0,F5/G5,0)</f>
        <v>0</v>
      </c>
      <c r="I5" s="36" t="n">
        <f aca="false">IFERROR((H5-AVERAGE($H$4:$H$33))/STDEV($H$4:$H$33),0)</f>
        <v>0</v>
      </c>
      <c r="J5" s="27" t="n">
        <f aca="false">IFERROR(IF(MAX($H$4:$H$33)-MIN($H$4:$H$33)&gt;0,(H5-MIN($H$4:$H$33))/(MAX($H$4:$H$33)-MIN($H$4:$H$33))*100,0),0)</f>
        <v>0</v>
      </c>
    </row>
    <row r="6" customFormat="false" ht="15" hidden="false" customHeight="false" outlineLevel="0" collapsed="false">
      <c r="A6" s="8" t="n">
        <v>3</v>
      </c>
      <c r="B6" s="20"/>
      <c r="C6" s="20"/>
      <c r="D6" s="21" t="n">
        <f aca="false">'1. Research Income'!I6</f>
        <v>0</v>
      </c>
      <c r="E6" s="20"/>
      <c r="F6" s="33" t="n">
        <f aca="false">IF(E6&gt;0,D6/E6,0)</f>
        <v>0</v>
      </c>
      <c r="G6" s="8" t="n">
        <f aca="false">'3. Staff FTE'!J6</f>
        <v>0</v>
      </c>
      <c r="H6" s="33" t="n">
        <f aca="false">IF(G6&gt;0,F6/G6,0)</f>
        <v>0</v>
      </c>
      <c r="I6" s="34" t="n">
        <f aca="false">IFERROR((H6-AVERAGE($H$4:$H$33))/STDEV($H$4:$H$33),0)</f>
        <v>0</v>
      </c>
      <c r="J6" s="29" t="n">
        <f aca="false">IFERROR(IF(MAX($H$4:$H$33)-MIN($H$4:$H$33)&gt;0,(H6-MIN($H$4:$H$33))/(MAX($H$4:$H$33)-MIN($H$4:$H$33))*100,0),0)</f>
        <v>0</v>
      </c>
    </row>
    <row r="7" customFormat="false" ht="15" hidden="false" customHeight="false" outlineLevel="0" collapsed="false">
      <c r="A7" s="4" t="n">
        <v>4</v>
      </c>
      <c r="B7" s="22"/>
      <c r="C7" s="22"/>
      <c r="D7" s="23" t="n">
        <f aca="false">'1. Research Income'!I7</f>
        <v>0</v>
      </c>
      <c r="E7" s="22"/>
      <c r="F7" s="35" t="n">
        <f aca="false">IF(E7&gt;0,D7/E7,0)</f>
        <v>0</v>
      </c>
      <c r="G7" s="4" t="n">
        <f aca="false">'3. Staff FTE'!J7</f>
        <v>0</v>
      </c>
      <c r="H7" s="35" t="n">
        <f aca="false">IF(G7&gt;0,F7/G7,0)</f>
        <v>0</v>
      </c>
      <c r="I7" s="36" t="n">
        <f aca="false">IFERROR((H7-AVERAGE($H$4:$H$33))/STDEV($H$4:$H$33),0)</f>
        <v>0</v>
      </c>
      <c r="J7" s="27" t="n">
        <f aca="false">IFERROR(IF(MAX($H$4:$H$33)-MIN($H$4:$H$33)&gt;0,(H7-MIN($H$4:$H$33))/(MAX($H$4:$H$33)-MIN($H$4:$H$33))*100,0),0)</f>
        <v>0</v>
      </c>
    </row>
    <row r="8" customFormat="false" ht="15" hidden="false" customHeight="false" outlineLevel="0" collapsed="false">
      <c r="A8" s="8" t="n">
        <v>5</v>
      </c>
      <c r="B8" s="20"/>
      <c r="C8" s="20"/>
      <c r="D8" s="21" t="n">
        <f aca="false">'1. Research Income'!I8</f>
        <v>0</v>
      </c>
      <c r="E8" s="20"/>
      <c r="F8" s="33" t="n">
        <f aca="false">IF(E8&gt;0,D8/E8,0)</f>
        <v>0</v>
      </c>
      <c r="G8" s="8" t="n">
        <f aca="false">'3. Staff FTE'!J8</f>
        <v>0</v>
      </c>
      <c r="H8" s="33" t="n">
        <f aca="false">IF(G8&gt;0,F8/G8,0)</f>
        <v>0</v>
      </c>
      <c r="I8" s="34" t="n">
        <f aca="false">IFERROR((H8-AVERAGE($H$4:$H$33))/STDEV($H$4:$H$33),0)</f>
        <v>0</v>
      </c>
      <c r="J8" s="29" t="n">
        <f aca="false">IFERROR(IF(MAX($H$4:$H$33)-MIN($H$4:$H$33)&gt;0,(H8-MIN($H$4:$H$33))/(MAX($H$4:$H$33)-MIN($H$4:$H$33))*100,0),0)</f>
        <v>0</v>
      </c>
    </row>
    <row r="9" customFormat="false" ht="15" hidden="false" customHeight="false" outlineLevel="0" collapsed="false">
      <c r="A9" s="4" t="n">
        <v>6</v>
      </c>
      <c r="B9" s="22"/>
      <c r="C9" s="22"/>
      <c r="D9" s="23" t="n">
        <f aca="false">'1. Research Income'!I9</f>
        <v>0</v>
      </c>
      <c r="E9" s="22"/>
      <c r="F9" s="35" t="n">
        <f aca="false">IF(E9&gt;0,D9/E9,0)</f>
        <v>0</v>
      </c>
      <c r="G9" s="4" t="n">
        <f aca="false">'3. Staff FTE'!J9</f>
        <v>0</v>
      </c>
      <c r="H9" s="35" t="n">
        <f aca="false">IF(G9&gt;0,F9/G9,0)</f>
        <v>0</v>
      </c>
      <c r="I9" s="36" t="n">
        <f aca="false">IFERROR((H9-AVERAGE($H$4:$H$33))/STDEV($H$4:$H$33),0)</f>
        <v>0</v>
      </c>
      <c r="J9" s="27" t="n">
        <f aca="false">IFERROR(IF(MAX($H$4:$H$33)-MIN($H$4:$H$33)&gt;0,(H9-MIN($H$4:$H$33))/(MAX($H$4:$H$33)-MIN($H$4:$H$33))*100,0),0)</f>
        <v>0</v>
      </c>
    </row>
    <row r="10" customFormat="false" ht="15" hidden="false" customHeight="false" outlineLevel="0" collapsed="false">
      <c r="A10" s="8" t="n">
        <v>7</v>
      </c>
      <c r="B10" s="20"/>
      <c r="C10" s="20"/>
      <c r="D10" s="21" t="n">
        <f aca="false">'1. Research Income'!I10</f>
        <v>0</v>
      </c>
      <c r="E10" s="20"/>
      <c r="F10" s="33" t="n">
        <f aca="false">IF(E10&gt;0,D10/E10,0)</f>
        <v>0</v>
      </c>
      <c r="G10" s="8" t="n">
        <f aca="false">'3. Staff FTE'!J10</f>
        <v>0</v>
      </c>
      <c r="H10" s="33" t="n">
        <f aca="false">IF(G10&gt;0,F10/G10,0)</f>
        <v>0</v>
      </c>
      <c r="I10" s="34" t="n">
        <f aca="false">IFERROR((H10-AVERAGE($H$4:$H$33))/STDEV($H$4:$H$33),0)</f>
        <v>0</v>
      </c>
      <c r="J10" s="29" t="n">
        <f aca="false">IFERROR(IF(MAX($H$4:$H$33)-MIN($H$4:$H$33)&gt;0,(H10-MIN($H$4:$H$33))/(MAX($H$4:$H$33)-MIN($H$4:$H$33))*100,0),0)</f>
        <v>0</v>
      </c>
    </row>
    <row r="11" customFormat="false" ht="15" hidden="false" customHeight="false" outlineLevel="0" collapsed="false">
      <c r="A11" s="4" t="n">
        <v>8</v>
      </c>
      <c r="B11" s="22"/>
      <c r="C11" s="22"/>
      <c r="D11" s="23" t="n">
        <f aca="false">'1. Research Income'!I11</f>
        <v>0</v>
      </c>
      <c r="E11" s="22"/>
      <c r="F11" s="35" t="n">
        <f aca="false">IF(E11&gt;0,D11/E11,0)</f>
        <v>0</v>
      </c>
      <c r="G11" s="4" t="n">
        <f aca="false">'3. Staff FTE'!J11</f>
        <v>0</v>
      </c>
      <c r="H11" s="35" t="n">
        <f aca="false">IF(G11&gt;0,F11/G11,0)</f>
        <v>0</v>
      </c>
      <c r="I11" s="36" t="n">
        <f aca="false">IFERROR((H11-AVERAGE($H$4:$H$33))/STDEV($H$4:$H$33),0)</f>
        <v>0</v>
      </c>
      <c r="J11" s="27" t="n">
        <f aca="false">IFERROR(IF(MAX($H$4:$H$33)-MIN($H$4:$H$33)&gt;0,(H11-MIN($H$4:$H$33))/(MAX($H$4:$H$33)-MIN($H$4:$H$33))*100,0),0)</f>
        <v>0</v>
      </c>
    </row>
    <row r="12" customFormat="false" ht="15" hidden="false" customHeight="false" outlineLevel="0" collapsed="false">
      <c r="A12" s="8" t="n">
        <v>9</v>
      </c>
      <c r="B12" s="20"/>
      <c r="C12" s="20"/>
      <c r="D12" s="21" t="n">
        <f aca="false">'1. Research Income'!I12</f>
        <v>0</v>
      </c>
      <c r="E12" s="20"/>
      <c r="F12" s="33" t="n">
        <f aca="false">IF(E12&gt;0,D12/E12,0)</f>
        <v>0</v>
      </c>
      <c r="G12" s="8" t="n">
        <f aca="false">'3. Staff FTE'!J12</f>
        <v>0</v>
      </c>
      <c r="H12" s="33" t="n">
        <f aca="false">IF(G12&gt;0,F12/G12,0)</f>
        <v>0</v>
      </c>
      <c r="I12" s="34" t="n">
        <f aca="false">IFERROR((H12-AVERAGE($H$4:$H$33))/STDEV($H$4:$H$33),0)</f>
        <v>0</v>
      </c>
      <c r="J12" s="29" t="n">
        <f aca="false">IFERROR(IF(MAX($H$4:$H$33)-MIN($H$4:$H$33)&gt;0,(H12-MIN($H$4:$H$33))/(MAX($H$4:$H$33)-MIN($H$4:$H$33))*100,0),0)</f>
        <v>0</v>
      </c>
    </row>
    <row r="13" customFormat="false" ht="15" hidden="false" customHeight="false" outlineLevel="0" collapsed="false">
      <c r="A13" s="4" t="n">
        <v>10</v>
      </c>
      <c r="B13" s="22"/>
      <c r="C13" s="22"/>
      <c r="D13" s="23" t="n">
        <f aca="false">'1. Research Income'!I13</f>
        <v>0</v>
      </c>
      <c r="E13" s="22"/>
      <c r="F13" s="35" t="n">
        <f aca="false">IF(E13&gt;0,D13/E13,0)</f>
        <v>0</v>
      </c>
      <c r="G13" s="4" t="n">
        <f aca="false">'3. Staff FTE'!J13</f>
        <v>0</v>
      </c>
      <c r="H13" s="35" t="n">
        <f aca="false">IF(G13&gt;0,F13/G13,0)</f>
        <v>0</v>
      </c>
      <c r="I13" s="36" t="n">
        <f aca="false">IFERROR((H13-AVERAGE($H$4:$H$33))/STDEV($H$4:$H$33),0)</f>
        <v>0</v>
      </c>
      <c r="J13" s="27" t="n">
        <f aca="false">IFERROR(IF(MAX($H$4:$H$33)-MIN($H$4:$H$33)&gt;0,(H13-MIN($H$4:$H$33))/(MAX($H$4:$H$33)-MIN($H$4:$H$33))*100,0),0)</f>
        <v>0</v>
      </c>
    </row>
    <row r="14" customFormat="false" ht="15" hidden="false" customHeight="false" outlineLevel="0" collapsed="false">
      <c r="A14" s="8" t="n">
        <v>11</v>
      </c>
      <c r="B14" s="20"/>
      <c r="C14" s="20"/>
      <c r="D14" s="21" t="n">
        <f aca="false">'1. Research Income'!I14</f>
        <v>0</v>
      </c>
      <c r="E14" s="20"/>
      <c r="F14" s="33" t="n">
        <f aca="false">IF(E14&gt;0,D14/E14,0)</f>
        <v>0</v>
      </c>
      <c r="G14" s="8" t="n">
        <f aca="false">'3. Staff FTE'!J14</f>
        <v>0</v>
      </c>
      <c r="H14" s="33" t="n">
        <f aca="false">IF(G14&gt;0,F14/G14,0)</f>
        <v>0</v>
      </c>
      <c r="I14" s="34" t="n">
        <f aca="false">IFERROR((H14-AVERAGE($H$4:$H$33))/STDEV($H$4:$H$33),0)</f>
        <v>0</v>
      </c>
      <c r="J14" s="29" t="n">
        <f aca="false">IFERROR(IF(MAX($H$4:$H$33)-MIN($H$4:$H$33)&gt;0,(H14-MIN($H$4:$H$33))/(MAX($H$4:$H$33)-MIN($H$4:$H$33))*100,0),0)</f>
        <v>0</v>
      </c>
    </row>
    <row r="15" customFormat="false" ht="15" hidden="false" customHeight="false" outlineLevel="0" collapsed="false">
      <c r="A15" s="4" t="n">
        <v>12</v>
      </c>
      <c r="B15" s="22"/>
      <c r="C15" s="22"/>
      <c r="D15" s="23" t="n">
        <f aca="false">'1. Research Income'!I15</f>
        <v>0</v>
      </c>
      <c r="E15" s="22"/>
      <c r="F15" s="35" t="n">
        <f aca="false">IF(E15&gt;0,D15/E15,0)</f>
        <v>0</v>
      </c>
      <c r="G15" s="4" t="n">
        <f aca="false">'3. Staff FTE'!J15</f>
        <v>0</v>
      </c>
      <c r="H15" s="35" t="n">
        <f aca="false">IF(G15&gt;0,F15/G15,0)</f>
        <v>0</v>
      </c>
      <c r="I15" s="36" t="n">
        <f aca="false">IFERROR((H15-AVERAGE($H$4:$H$33))/STDEV($H$4:$H$33),0)</f>
        <v>0</v>
      </c>
      <c r="J15" s="27" t="n">
        <f aca="false">IFERROR(IF(MAX($H$4:$H$33)-MIN($H$4:$H$33)&gt;0,(H15-MIN($H$4:$H$33))/(MAX($H$4:$H$33)-MIN($H$4:$H$33))*100,0),0)</f>
        <v>0</v>
      </c>
    </row>
    <row r="16" customFormat="false" ht="15" hidden="false" customHeight="false" outlineLevel="0" collapsed="false">
      <c r="A16" s="8" t="n">
        <v>13</v>
      </c>
      <c r="B16" s="20"/>
      <c r="C16" s="20"/>
      <c r="D16" s="21" t="n">
        <f aca="false">'1. Research Income'!I16</f>
        <v>0</v>
      </c>
      <c r="E16" s="20"/>
      <c r="F16" s="33" t="n">
        <f aca="false">IF(E16&gt;0,D16/E16,0)</f>
        <v>0</v>
      </c>
      <c r="G16" s="8" t="n">
        <f aca="false">'3. Staff FTE'!J16</f>
        <v>0</v>
      </c>
      <c r="H16" s="33" t="n">
        <f aca="false">IF(G16&gt;0,F16/G16,0)</f>
        <v>0</v>
      </c>
      <c r="I16" s="34" t="n">
        <f aca="false">IFERROR((H16-AVERAGE($H$4:$H$33))/STDEV($H$4:$H$33),0)</f>
        <v>0</v>
      </c>
      <c r="J16" s="29" t="n">
        <f aca="false">IFERROR(IF(MAX($H$4:$H$33)-MIN($H$4:$H$33)&gt;0,(H16-MIN($H$4:$H$33))/(MAX($H$4:$H$33)-MIN($H$4:$H$33))*100,0),0)</f>
        <v>0</v>
      </c>
    </row>
    <row r="17" customFormat="false" ht="15" hidden="false" customHeight="false" outlineLevel="0" collapsed="false">
      <c r="A17" s="4" t="n">
        <v>14</v>
      </c>
      <c r="B17" s="22"/>
      <c r="C17" s="22"/>
      <c r="D17" s="23" t="n">
        <f aca="false">'1. Research Income'!I17</f>
        <v>0</v>
      </c>
      <c r="E17" s="22"/>
      <c r="F17" s="35" t="n">
        <f aca="false">IF(E17&gt;0,D17/E17,0)</f>
        <v>0</v>
      </c>
      <c r="G17" s="4" t="n">
        <f aca="false">'3. Staff FTE'!J17</f>
        <v>0</v>
      </c>
      <c r="H17" s="35" t="n">
        <f aca="false">IF(G17&gt;0,F17/G17,0)</f>
        <v>0</v>
      </c>
      <c r="I17" s="36" t="n">
        <f aca="false">IFERROR((H17-AVERAGE($H$4:$H$33))/STDEV($H$4:$H$33),0)</f>
        <v>0</v>
      </c>
      <c r="J17" s="27" t="n">
        <f aca="false">IFERROR(IF(MAX($H$4:$H$33)-MIN($H$4:$H$33)&gt;0,(H17-MIN($H$4:$H$33))/(MAX($H$4:$H$33)-MIN($H$4:$H$33))*100,0),0)</f>
        <v>0</v>
      </c>
    </row>
    <row r="18" customFormat="false" ht="15" hidden="false" customHeight="false" outlineLevel="0" collapsed="false">
      <c r="A18" s="8" t="n">
        <v>15</v>
      </c>
      <c r="B18" s="20"/>
      <c r="C18" s="20"/>
      <c r="D18" s="21" t="n">
        <f aca="false">'1. Research Income'!I18</f>
        <v>0</v>
      </c>
      <c r="E18" s="20"/>
      <c r="F18" s="33" t="n">
        <f aca="false">IF(E18&gt;0,D18/E18,0)</f>
        <v>0</v>
      </c>
      <c r="G18" s="8" t="n">
        <f aca="false">'3. Staff FTE'!J18</f>
        <v>0</v>
      </c>
      <c r="H18" s="33" t="n">
        <f aca="false">IF(G18&gt;0,F18/G18,0)</f>
        <v>0</v>
      </c>
      <c r="I18" s="34" t="n">
        <f aca="false">IFERROR((H18-AVERAGE($H$4:$H$33))/STDEV($H$4:$H$33),0)</f>
        <v>0</v>
      </c>
      <c r="J18" s="29" t="n">
        <f aca="false">IFERROR(IF(MAX($H$4:$H$33)-MIN($H$4:$H$33)&gt;0,(H18-MIN($H$4:$H$33))/(MAX($H$4:$H$33)-MIN($H$4:$H$33))*100,0),0)</f>
        <v>0</v>
      </c>
    </row>
    <row r="19" customFormat="false" ht="15" hidden="false" customHeight="false" outlineLevel="0" collapsed="false">
      <c r="A19" s="4" t="n">
        <v>16</v>
      </c>
      <c r="B19" s="22"/>
      <c r="C19" s="22"/>
      <c r="D19" s="23" t="n">
        <f aca="false">'1. Research Income'!I19</f>
        <v>0</v>
      </c>
      <c r="E19" s="22"/>
      <c r="F19" s="35" t="n">
        <f aca="false">IF(E19&gt;0,D19/E19,0)</f>
        <v>0</v>
      </c>
      <c r="G19" s="4" t="n">
        <f aca="false">'3. Staff FTE'!J19</f>
        <v>0</v>
      </c>
      <c r="H19" s="35" t="n">
        <f aca="false">IF(G19&gt;0,F19/G19,0)</f>
        <v>0</v>
      </c>
      <c r="I19" s="36" t="n">
        <f aca="false">IFERROR((H19-AVERAGE($H$4:$H$33))/STDEV($H$4:$H$33),0)</f>
        <v>0</v>
      </c>
      <c r="J19" s="27" t="n">
        <f aca="false">IFERROR(IF(MAX($H$4:$H$33)-MIN($H$4:$H$33)&gt;0,(H19-MIN($H$4:$H$33))/(MAX($H$4:$H$33)-MIN($H$4:$H$33))*100,0),0)</f>
        <v>0</v>
      </c>
    </row>
    <row r="20" customFormat="false" ht="15" hidden="false" customHeight="false" outlineLevel="0" collapsed="false">
      <c r="A20" s="8" t="n">
        <v>17</v>
      </c>
      <c r="B20" s="20"/>
      <c r="C20" s="20"/>
      <c r="D20" s="21" t="n">
        <f aca="false">'1. Research Income'!I20</f>
        <v>0</v>
      </c>
      <c r="E20" s="20"/>
      <c r="F20" s="33" t="n">
        <f aca="false">IF(E20&gt;0,D20/E20,0)</f>
        <v>0</v>
      </c>
      <c r="G20" s="8" t="n">
        <f aca="false">'3. Staff FTE'!J20</f>
        <v>0</v>
      </c>
      <c r="H20" s="33" t="n">
        <f aca="false">IF(G20&gt;0,F20/G20,0)</f>
        <v>0</v>
      </c>
      <c r="I20" s="34" t="n">
        <f aca="false">IFERROR((H20-AVERAGE($H$4:$H$33))/STDEV($H$4:$H$33),0)</f>
        <v>0</v>
      </c>
      <c r="J20" s="29" t="n">
        <f aca="false">IFERROR(IF(MAX($H$4:$H$33)-MIN($H$4:$H$33)&gt;0,(H20-MIN($H$4:$H$33))/(MAX($H$4:$H$33)-MIN($H$4:$H$33))*100,0),0)</f>
        <v>0</v>
      </c>
    </row>
    <row r="21" customFormat="false" ht="15" hidden="false" customHeight="false" outlineLevel="0" collapsed="false">
      <c r="A21" s="4" t="n">
        <v>18</v>
      </c>
      <c r="B21" s="22"/>
      <c r="C21" s="22"/>
      <c r="D21" s="23" t="n">
        <f aca="false">'1. Research Income'!I21</f>
        <v>0</v>
      </c>
      <c r="E21" s="22"/>
      <c r="F21" s="35" t="n">
        <f aca="false">IF(E21&gt;0,D21/E21,0)</f>
        <v>0</v>
      </c>
      <c r="G21" s="4" t="n">
        <f aca="false">'3. Staff FTE'!J21</f>
        <v>0</v>
      </c>
      <c r="H21" s="35" t="n">
        <f aca="false">IF(G21&gt;0,F21/G21,0)</f>
        <v>0</v>
      </c>
      <c r="I21" s="36" t="n">
        <f aca="false">IFERROR((H21-AVERAGE($H$4:$H$33))/STDEV($H$4:$H$33),0)</f>
        <v>0</v>
      </c>
      <c r="J21" s="27" t="n">
        <f aca="false">IFERROR(IF(MAX($H$4:$H$33)-MIN($H$4:$H$33)&gt;0,(H21-MIN($H$4:$H$33))/(MAX($H$4:$H$33)-MIN($H$4:$H$33))*100,0),0)</f>
        <v>0</v>
      </c>
    </row>
    <row r="22" customFormat="false" ht="15" hidden="false" customHeight="false" outlineLevel="0" collapsed="false">
      <c r="A22" s="8" t="n">
        <v>19</v>
      </c>
      <c r="B22" s="20"/>
      <c r="C22" s="20"/>
      <c r="D22" s="21" t="n">
        <f aca="false">'1. Research Income'!I22</f>
        <v>0</v>
      </c>
      <c r="E22" s="20"/>
      <c r="F22" s="33" t="n">
        <f aca="false">IF(E22&gt;0,D22/E22,0)</f>
        <v>0</v>
      </c>
      <c r="G22" s="8" t="n">
        <f aca="false">'3. Staff FTE'!J22</f>
        <v>0</v>
      </c>
      <c r="H22" s="33" t="n">
        <f aca="false">IF(G22&gt;0,F22/G22,0)</f>
        <v>0</v>
      </c>
      <c r="I22" s="34" t="n">
        <f aca="false">IFERROR((H22-AVERAGE($H$4:$H$33))/STDEV($H$4:$H$33),0)</f>
        <v>0</v>
      </c>
      <c r="J22" s="29" t="n">
        <f aca="false">IFERROR(IF(MAX($H$4:$H$33)-MIN($H$4:$H$33)&gt;0,(H22-MIN($H$4:$H$33))/(MAX($H$4:$H$33)-MIN($H$4:$H$33))*100,0),0)</f>
        <v>0</v>
      </c>
    </row>
    <row r="23" customFormat="false" ht="15" hidden="false" customHeight="false" outlineLevel="0" collapsed="false">
      <c r="A23" s="4" t="n">
        <v>20</v>
      </c>
      <c r="B23" s="22"/>
      <c r="C23" s="22"/>
      <c r="D23" s="23" t="n">
        <f aca="false">'1. Research Income'!I23</f>
        <v>0</v>
      </c>
      <c r="E23" s="22"/>
      <c r="F23" s="35" t="n">
        <f aca="false">IF(E23&gt;0,D23/E23,0)</f>
        <v>0</v>
      </c>
      <c r="G23" s="4" t="n">
        <f aca="false">'3. Staff FTE'!J23</f>
        <v>0</v>
      </c>
      <c r="H23" s="35" t="n">
        <f aca="false">IF(G23&gt;0,F23/G23,0)</f>
        <v>0</v>
      </c>
      <c r="I23" s="36" t="n">
        <f aca="false">IFERROR((H23-AVERAGE($H$4:$H$33))/STDEV($H$4:$H$33),0)</f>
        <v>0</v>
      </c>
      <c r="J23" s="27" t="n">
        <f aca="false">IFERROR(IF(MAX($H$4:$H$33)-MIN($H$4:$H$33)&gt;0,(H23-MIN($H$4:$H$33))/(MAX($H$4:$H$33)-MIN($H$4:$H$33))*100,0),0)</f>
        <v>0</v>
      </c>
    </row>
    <row r="24" customFormat="false" ht="15" hidden="false" customHeight="false" outlineLevel="0" collapsed="false">
      <c r="A24" s="8" t="n">
        <v>21</v>
      </c>
      <c r="B24" s="20"/>
      <c r="C24" s="20"/>
      <c r="D24" s="21" t="n">
        <f aca="false">'1. Research Income'!I24</f>
        <v>0</v>
      </c>
      <c r="E24" s="20"/>
      <c r="F24" s="33" t="n">
        <f aca="false">IF(E24&gt;0,D24/E24,0)</f>
        <v>0</v>
      </c>
      <c r="G24" s="8" t="n">
        <f aca="false">'3. Staff FTE'!J24</f>
        <v>0</v>
      </c>
      <c r="H24" s="33" t="n">
        <f aca="false">IF(G24&gt;0,F24/G24,0)</f>
        <v>0</v>
      </c>
      <c r="I24" s="34" t="n">
        <f aca="false">IFERROR((H24-AVERAGE($H$4:$H$33))/STDEV($H$4:$H$33),0)</f>
        <v>0</v>
      </c>
      <c r="J24" s="29" t="n">
        <f aca="false">IFERROR(IF(MAX($H$4:$H$33)-MIN($H$4:$H$33)&gt;0,(H24-MIN($H$4:$H$33))/(MAX($H$4:$H$33)-MIN($H$4:$H$33))*100,0),0)</f>
        <v>0</v>
      </c>
    </row>
    <row r="25" customFormat="false" ht="15" hidden="false" customHeight="false" outlineLevel="0" collapsed="false">
      <c r="A25" s="4" t="n">
        <v>22</v>
      </c>
      <c r="B25" s="22"/>
      <c r="C25" s="22"/>
      <c r="D25" s="23" t="n">
        <f aca="false">'1. Research Income'!I25</f>
        <v>0</v>
      </c>
      <c r="E25" s="22"/>
      <c r="F25" s="35" t="n">
        <f aca="false">IF(E25&gt;0,D25/E25,0)</f>
        <v>0</v>
      </c>
      <c r="G25" s="4" t="n">
        <f aca="false">'3. Staff FTE'!J25</f>
        <v>0</v>
      </c>
      <c r="H25" s="35" t="n">
        <f aca="false">IF(G25&gt;0,F25/G25,0)</f>
        <v>0</v>
      </c>
      <c r="I25" s="36" t="n">
        <f aca="false">IFERROR((H25-AVERAGE($H$4:$H$33))/STDEV($H$4:$H$33),0)</f>
        <v>0</v>
      </c>
      <c r="J25" s="27" t="n">
        <f aca="false">IFERROR(IF(MAX($H$4:$H$33)-MIN($H$4:$H$33)&gt;0,(H25-MIN($H$4:$H$33))/(MAX($H$4:$H$33)-MIN($H$4:$H$33))*100,0),0)</f>
        <v>0</v>
      </c>
    </row>
    <row r="26" customFormat="false" ht="15" hidden="false" customHeight="false" outlineLevel="0" collapsed="false">
      <c r="A26" s="8" t="n">
        <v>23</v>
      </c>
      <c r="B26" s="20"/>
      <c r="C26" s="20"/>
      <c r="D26" s="21" t="n">
        <f aca="false">'1. Research Income'!I26</f>
        <v>0</v>
      </c>
      <c r="E26" s="20"/>
      <c r="F26" s="33" t="n">
        <f aca="false">IF(E26&gt;0,D26/E26,0)</f>
        <v>0</v>
      </c>
      <c r="G26" s="8" t="n">
        <f aca="false">'3. Staff FTE'!J26</f>
        <v>0</v>
      </c>
      <c r="H26" s="33" t="n">
        <f aca="false">IF(G26&gt;0,F26/G26,0)</f>
        <v>0</v>
      </c>
      <c r="I26" s="34" t="n">
        <f aca="false">IFERROR((H26-AVERAGE($H$4:$H$33))/STDEV($H$4:$H$33),0)</f>
        <v>0</v>
      </c>
      <c r="J26" s="29" t="n">
        <f aca="false">IFERROR(IF(MAX($H$4:$H$33)-MIN($H$4:$H$33)&gt;0,(H26-MIN($H$4:$H$33))/(MAX($H$4:$H$33)-MIN($H$4:$H$33))*100,0),0)</f>
        <v>0</v>
      </c>
    </row>
    <row r="27" customFormat="false" ht="15" hidden="false" customHeight="false" outlineLevel="0" collapsed="false">
      <c r="A27" s="4" t="n">
        <v>24</v>
      </c>
      <c r="B27" s="22"/>
      <c r="C27" s="22"/>
      <c r="D27" s="23" t="n">
        <f aca="false">'1. Research Income'!I27</f>
        <v>0</v>
      </c>
      <c r="E27" s="22"/>
      <c r="F27" s="35" t="n">
        <f aca="false">IF(E27&gt;0,D27/E27,0)</f>
        <v>0</v>
      </c>
      <c r="G27" s="4" t="n">
        <f aca="false">'3. Staff FTE'!J27</f>
        <v>0</v>
      </c>
      <c r="H27" s="35" t="n">
        <f aca="false">IF(G27&gt;0,F27/G27,0)</f>
        <v>0</v>
      </c>
      <c r="I27" s="36" t="n">
        <f aca="false">IFERROR((H27-AVERAGE($H$4:$H$33))/STDEV($H$4:$H$33),0)</f>
        <v>0</v>
      </c>
      <c r="J27" s="27" t="n">
        <f aca="false">IFERROR(IF(MAX($H$4:$H$33)-MIN($H$4:$H$33)&gt;0,(H27-MIN($H$4:$H$33))/(MAX($H$4:$H$33)-MIN($H$4:$H$33))*100,0),0)</f>
        <v>0</v>
      </c>
    </row>
    <row r="28" customFormat="false" ht="15" hidden="false" customHeight="false" outlineLevel="0" collapsed="false">
      <c r="A28" s="8" t="n">
        <v>25</v>
      </c>
      <c r="B28" s="20"/>
      <c r="C28" s="20"/>
      <c r="D28" s="21" t="n">
        <f aca="false">'1. Research Income'!I28</f>
        <v>0</v>
      </c>
      <c r="E28" s="20"/>
      <c r="F28" s="33" t="n">
        <f aca="false">IF(E28&gt;0,D28/E28,0)</f>
        <v>0</v>
      </c>
      <c r="G28" s="8" t="n">
        <f aca="false">'3. Staff FTE'!J28</f>
        <v>0</v>
      </c>
      <c r="H28" s="33" t="n">
        <f aca="false">IF(G28&gt;0,F28/G28,0)</f>
        <v>0</v>
      </c>
      <c r="I28" s="34" t="n">
        <f aca="false">IFERROR((H28-AVERAGE($H$4:$H$33))/STDEV($H$4:$H$33),0)</f>
        <v>0</v>
      </c>
      <c r="J28" s="29" t="n">
        <f aca="false">IFERROR(IF(MAX($H$4:$H$33)-MIN($H$4:$H$33)&gt;0,(H28-MIN($H$4:$H$33))/(MAX($H$4:$H$33)-MIN($H$4:$H$33))*100,0),0)</f>
        <v>0</v>
      </c>
    </row>
    <row r="29" customFormat="false" ht="15" hidden="false" customHeight="false" outlineLevel="0" collapsed="false">
      <c r="A29" s="4" t="n">
        <v>26</v>
      </c>
      <c r="B29" s="22"/>
      <c r="C29" s="22"/>
      <c r="D29" s="23" t="n">
        <f aca="false">'1. Research Income'!I29</f>
        <v>0</v>
      </c>
      <c r="E29" s="22"/>
      <c r="F29" s="35" t="n">
        <f aca="false">IF(E29&gt;0,D29/E29,0)</f>
        <v>0</v>
      </c>
      <c r="G29" s="4" t="n">
        <f aca="false">'3. Staff FTE'!J29</f>
        <v>0</v>
      </c>
      <c r="H29" s="35" t="n">
        <f aca="false">IF(G29&gt;0,F29/G29,0)</f>
        <v>0</v>
      </c>
      <c r="I29" s="36" t="n">
        <f aca="false">IFERROR((H29-AVERAGE($H$4:$H$33))/STDEV($H$4:$H$33),0)</f>
        <v>0</v>
      </c>
      <c r="J29" s="27" t="n">
        <f aca="false">IFERROR(IF(MAX($H$4:$H$33)-MIN($H$4:$H$33)&gt;0,(H29-MIN($H$4:$H$33))/(MAX($H$4:$H$33)-MIN($H$4:$H$33))*100,0),0)</f>
        <v>0</v>
      </c>
    </row>
    <row r="30" customFormat="false" ht="15" hidden="false" customHeight="false" outlineLevel="0" collapsed="false">
      <c r="A30" s="8" t="n">
        <v>27</v>
      </c>
      <c r="B30" s="20"/>
      <c r="C30" s="20"/>
      <c r="D30" s="21" t="n">
        <f aca="false">'1. Research Income'!I30</f>
        <v>0</v>
      </c>
      <c r="E30" s="20"/>
      <c r="F30" s="33" t="n">
        <f aca="false">IF(E30&gt;0,D30/E30,0)</f>
        <v>0</v>
      </c>
      <c r="G30" s="8" t="n">
        <f aca="false">'3. Staff FTE'!J30</f>
        <v>0</v>
      </c>
      <c r="H30" s="33" t="n">
        <f aca="false">IF(G30&gt;0,F30/G30,0)</f>
        <v>0</v>
      </c>
      <c r="I30" s="34" t="n">
        <f aca="false">IFERROR((H30-AVERAGE($H$4:$H$33))/STDEV($H$4:$H$33),0)</f>
        <v>0</v>
      </c>
      <c r="J30" s="29" t="n">
        <f aca="false">IFERROR(IF(MAX($H$4:$H$33)-MIN($H$4:$H$33)&gt;0,(H30-MIN($H$4:$H$33))/(MAX($H$4:$H$33)-MIN($H$4:$H$33))*100,0),0)</f>
        <v>0</v>
      </c>
    </row>
    <row r="31" customFormat="false" ht="15" hidden="false" customHeight="false" outlineLevel="0" collapsed="false">
      <c r="A31" s="4" t="n">
        <v>28</v>
      </c>
      <c r="B31" s="22"/>
      <c r="C31" s="22"/>
      <c r="D31" s="23" t="n">
        <f aca="false">'1. Research Income'!I31</f>
        <v>0</v>
      </c>
      <c r="E31" s="22"/>
      <c r="F31" s="35" t="n">
        <f aca="false">IF(E31&gt;0,D31/E31,0)</f>
        <v>0</v>
      </c>
      <c r="G31" s="4" t="n">
        <f aca="false">'3. Staff FTE'!J31</f>
        <v>0</v>
      </c>
      <c r="H31" s="35" t="n">
        <f aca="false">IF(G31&gt;0,F31/G31,0)</f>
        <v>0</v>
      </c>
      <c r="I31" s="36" t="n">
        <f aca="false">IFERROR((H31-AVERAGE($H$4:$H$33))/STDEV($H$4:$H$33),0)</f>
        <v>0</v>
      </c>
      <c r="J31" s="27" t="n">
        <f aca="false">IFERROR(IF(MAX($H$4:$H$33)-MIN($H$4:$H$33)&gt;0,(H31-MIN($H$4:$H$33))/(MAX($H$4:$H$33)-MIN($H$4:$H$33))*100,0),0)</f>
        <v>0</v>
      </c>
    </row>
    <row r="32" customFormat="false" ht="15" hidden="false" customHeight="false" outlineLevel="0" collapsed="false">
      <c r="A32" s="8" t="n">
        <v>29</v>
      </c>
      <c r="B32" s="20"/>
      <c r="C32" s="20"/>
      <c r="D32" s="21" t="n">
        <f aca="false">'1. Research Income'!I32</f>
        <v>0</v>
      </c>
      <c r="E32" s="20"/>
      <c r="F32" s="33" t="n">
        <f aca="false">IF(E32&gt;0,D32/E32,0)</f>
        <v>0</v>
      </c>
      <c r="G32" s="8" t="n">
        <f aca="false">'3. Staff FTE'!J32</f>
        <v>0</v>
      </c>
      <c r="H32" s="33" t="n">
        <f aca="false">IF(G32&gt;0,F32/G32,0)</f>
        <v>0</v>
      </c>
      <c r="I32" s="34" t="n">
        <f aca="false">IFERROR((H32-AVERAGE($H$4:$H$33))/STDEV($H$4:$H$33),0)</f>
        <v>0</v>
      </c>
      <c r="J32" s="29" t="n">
        <f aca="false">IFERROR(IF(MAX($H$4:$H$33)-MIN($H$4:$H$33)&gt;0,(H32-MIN($H$4:$H$33))/(MAX($H$4:$H$33)-MIN($H$4:$H$33))*100,0),0)</f>
        <v>0</v>
      </c>
    </row>
    <row r="33" customFormat="false" ht="15" hidden="false" customHeight="false" outlineLevel="0" collapsed="false">
      <c r="A33" s="4" t="n">
        <v>30</v>
      </c>
      <c r="B33" s="22"/>
      <c r="C33" s="22"/>
      <c r="D33" s="23" t="n">
        <f aca="false">'1. Research Income'!I33</f>
        <v>0</v>
      </c>
      <c r="E33" s="22"/>
      <c r="F33" s="35" t="n">
        <f aca="false">IF(E33&gt;0,D33/E33,0)</f>
        <v>0</v>
      </c>
      <c r="G33" s="4" t="n">
        <f aca="false">'3. Staff FTE'!J33</f>
        <v>0</v>
      </c>
      <c r="H33" s="35" t="n">
        <f aca="false">IF(G33&gt;0,F33/G33,0)</f>
        <v>0</v>
      </c>
      <c r="I33" s="36" t="n">
        <f aca="false">IFERROR((H33-AVERAGE($H$4:$H$33))/STDEV($H$4:$H$33),0)</f>
        <v>0</v>
      </c>
      <c r="J33" s="27" t="n">
        <f aca="false">IFERROR(IF(MAX($H$4:$H$33)-MIN($H$4:$H$33)&gt;0,(H33-MIN($H$4:$H$33))/(MAX($H$4:$H$33)-MIN($H$4:$H$33))*100,0),0)</f>
        <v>0</v>
      </c>
    </row>
    <row r="35" customFormat="false" ht="25.5" hidden="false" customHeight="true" outlineLevel="0" collapsed="false">
      <c r="A35" s="17" t="s">
        <v>82</v>
      </c>
      <c r="B35" s="17"/>
      <c r="C35" s="17"/>
      <c r="D35" s="17"/>
      <c r="E35" s="17"/>
      <c r="F35" s="17"/>
      <c r="G35" s="17"/>
      <c r="H35" s="17"/>
      <c r="I35" s="17"/>
      <c r="J35" s="17"/>
    </row>
    <row r="36" customFormat="false" ht="15" hidden="false" customHeight="true" outlineLevel="0" collapsed="false">
      <c r="A36" s="37" t="s">
        <v>83</v>
      </c>
      <c r="B36" s="37"/>
      <c r="C36" s="37"/>
      <c r="D36" s="37"/>
      <c r="E36" s="37"/>
      <c r="F36" s="38" t="n">
        <f aca="false">IF(COUNTA(H4:H33)&gt;0,AVERAGE(H4:H33),0)</f>
        <v>0</v>
      </c>
      <c r="G36" s="39"/>
      <c r="H36" s="39"/>
      <c r="I36" s="39"/>
      <c r="J36" s="39"/>
    </row>
    <row r="37" customFormat="false" ht="15" hidden="false" customHeight="true" outlineLevel="0" collapsed="false">
      <c r="A37" s="37" t="s">
        <v>84</v>
      </c>
      <c r="B37" s="37"/>
      <c r="C37" s="37"/>
      <c r="D37" s="37"/>
      <c r="E37" s="37"/>
      <c r="F37" s="38" t="n">
        <f aca="false">MAX(H4:H33)</f>
        <v>0</v>
      </c>
      <c r="G37" s="39"/>
      <c r="H37" s="39"/>
      <c r="I37" s="39"/>
      <c r="J37" s="39"/>
    </row>
    <row r="38" customFormat="false" ht="15" hidden="false" customHeight="true" outlineLevel="0" collapsed="false">
      <c r="A38" s="37" t="s">
        <v>85</v>
      </c>
      <c r="B38" s="37"/>
      <c r="C38" s="37"/>
      <c r="D38" s="37"/>
      <c r="E38" s="37"/>
      <c r="F38" s="38" t="n">
        <f aca="false">MIN(H4:H33)</f>
        <v>0</v>
      </c>
      <c r="G38" s="39"/>
      <c r="H38" s="39"/>
      <c r="I38" s="39"/>
      <c r="J38" s="39"/>
    </row>
    <row r="39" customFormat="false" ht="15" hidden="false" customHeight="true" outlineLevel="0" collapsed="false">
      <c r="A39" s="37" t="s">
        <v>86</v>
      </c>
      <c r="B39" s="37"/>
      <c r="C39" s="37"/>
      <c r="D39" s="37"/>
      <c r="E39" s="37"/>
      <c r="F39" s="38" t="n">
        <f aca="false">MEDIAN(H4:H33)</f>
        <v>0</v>
      </c>
      <c r="G39" s="39"/>
      <c r="H39" s="39"/>
      <c r="I39" s="39"/>
      <c r="J39" s="39"/>
    </row>
    <row r="40" customFormat="false" ht="15" hidden="false" customHeight="true" outlineLevel="0" collapsed="false">
      <c r="A40" s="37" t="s">
        <v>87</v>
      </c>
      <c r="B40" s="37"/>
      <c r="C40" s="37"/>
      <c r="D40" s="37"/>
      <c r="E40" s="37"/>
      <c r="F40" s="38" t="n">
        <f aca="false">SUM(F4:F33)</f>
        <v>0</v>
      </c>
      <c r="G40" s="39"/>
      <c r="H40" s="39"/>
      <c r="I40" s="39"/>
      <c r="J40" s="39"/>
    </row>
  </sheetData>
  <mergeCells count="8">
    <mergeCell ref="A1:J1"/>
    <mergeCell ref="A2:J2"/>
    <mergeCell ref="A35:J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0" t="s">
        <v>88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25.5" hidden="false" customHeight="true" outlineLevel="0" collapsed="false">
      <c r="A2" s="41" t="s">
        <v>89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23.85" hidden="false" customHeight="false" outlineLevel="0" collapsed="false">
      <c r="A3" s="42" t="s">
        <v>56</v>
      </c>
      <c r="B3" s="42" t="s">
        <v>57</v>
      </c>
      <c r="C3" s="42" t="s">
        <v>58</v>
      </c>
      <c r="D3" s="42" t="s">
        <v>90</v>
      </c>
      <c r="E3" s="42" t="s">
        <v>91</v>
      </c>
      <c r="F3" s="42" t="s">
        <v>92</v>
      </c>
      <c r="G3" s="42" t="s">
        <v>93</v>
      </c>
      <c r="H3" s="42" t="s">
        <v>94</v>
      </c>
      <c r="I3" s="42" t="s">
        <v>95</v>
      </c>
      <c r="J3" s="42" t="s">
        <v>96</v>
      </c>
      <c r="K3" s="42" t="s">
        <v>65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20"/>
      <c r="H4" s="20"/>
      <c r="I4" s="20"/>
      <c r="J4" s="8" t="n">
        <f aca="false">SUM(D4:I4)</f>
        <v>0</v>
      </c>
      <c r="K4" s="20"/>
    </row>
    <row r="5" customFormat="false" ht="15" hidden="false" customHeight="false" outlineLevel="0" collapsed="false">
      <c r="A5" s="4" t="n">
        <v>2</v>
      </c>
      <c r="B5" s="22"/>
      <c r="C5" s="22"/>
      <c r="D5" s="22"/>
      <c r="E5" s="22"/>
      <c r="F5" s="22"/>
      <c r="G5" s="22"/>
      <c r="H5" s="22"/>
      <c r="I5" s="22"/>
      <c r="J5" s="4" t="n">
        <f aca="false">SUM(D5:I5)</f>
        <v>0</v>
      </c>
      <c r="K5" s="22"/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20"/>
      <c r="H6" s="20"/>
      <c r="I6" s="20"/>
      <c r="J6" s="8" t="n">
        <f aca="false">SUM(D6:I6)</f>
        <v>0</v>
      </c>
      <c r="K6" s="20"/>
    </row>
    <row r="7" customFormat="false" ht="15" hidden="false" customHeight="false" outlineLevel="0" collapsed="false">
      <c r="A7" s="4" t="n">
        <v>4</v>
      </c>
      <c r="B7" s="22"/>
      <c r="C7" s="22"/>
      <c r="D7" s="22"/>
      <c r="E7" s="22"/>
      <c r="F7" s="22"/>
      <c r="G7" s="22"/>
      <c r="H7" s="22"/>
      <c r="I7" s="22"/>
      <c r="J7" s="4" t="n">
        <f aca="false">SUM(D7:I7)</f>
        <v>0</v>
      </c>
      <c r="K7" s="22"/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20"/>
      <c r="H8" s="20"/>
      <c r="I8" s="20"/>
      <c r="J8" s="8" t="n">
        <f aca="false">SUM(D8:I8)</f>
        <v>0</v>
      </c>
      <c r="K8" s="20"/>
    </row>
    <row r="9" customFormat="false" ht="15" hidden="false" customHeight="false" outlineLevel="0" collapsed="false">
      <c r="A9" s="4" t="n">
        <v>6</v>
      </c>
      <c r="B9" s="22"/>
      <c r="C9" s="22"/>
      <c r="D9" s="22"/>
      <c r="E9" s="22"/>
      <c r="F9" s="22"/>
      <c r="G9" s="22"/>
      <c r="H9" s="22"/>
      <c r="I9" s="22"/>
      <c r="J9" s="4" t="n">
        <f aca="false">SUM(D9:I9)</f>
        <v>0</v>
      </c>
      <c r="K9" s="22"/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20"/>
      <c r="H10" s="20"/>
      <c r="I10" s="20"/>
      <c r="J10" s="8" t="n">
        <f aca="false">SUM(D10:I10)</f>
        <v>0</v>
      </c>
      <c r="K10" s="20"/>
    </row>
    <row r="11" customFormat="false" ht="15" hidden="false" customHeight="false" outlineLevel="0" collapsed="false">
      <c r="A11" s="4" t="n">
        <v>8</v>
      </c>
      <c r="B11" s="22"/>
      <c r="C11" s="22"/>
      <c r="D11" s="22"/>
      <c r="E11" s="22"/>
      <c r="F11" s="22"/>
      <c r="G11" s="22"/>
      <c r="H11" s="22"/>
      <c r="I11" s="22"/>
      <c r="J11" s="4" t="n">
        <f aca="false">SUM(D11:I11)</f>
        <v>0</v>
      </c>
      <c r="K11" s="22"/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20"/>
      <c r="H12" s="20"/>
      <c r="I12" s="20"/>
      <c r="J12" s="8" t="n">
        <f aca="false">SUM(D12:I12)</f>
        <v>0</v>
      </c>
      <c r="K12" s="20"/>
    </row>
    <row r="13" customFormat="false" ht="15" hidden="false" customHeight="false" outlineLevel="0" collapsed="false">
      <c r="A13" s="4" t="n">
        <v>10</v>
      </c>
      <c r="B13" s="22"/>
      <c r="C13" s="22"/>
      <c r="D13" s="22"/>
      <c r="E13" s="22"/>
      <c r="F13" s="22"/>
      <c r="G13" s="22"/>
      <c r="H13" s="22"/>
      <c r="I13" s="22"/>
      <c r="J13" s="4" t="n">
        <f aca="false">SUM(D13:I13)</f>
        <v>0</v>
      </c>
      <c r="K13" s="22"/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20"/>
      <c r="H14" s="20"/>
      <c r="I14" s="20"/>
      <c r="J14" s="8" t="n">
        <f aca="false">SUM(D14:I14)</f>
        <v>0</v>
      </c>
      <c r="K14" s="20"/>
    </row>
    <row r="15" customFormat="false" ht="15" hidden="false" customHeight="false" outlineLevel="0" collapsed="false">
      <c r="A15" s="4" t="n">
        <v>12</v>
      </c>
      <c r="B15" s="22"/>
      <c r="C15" s="22"/>
      <c r="D15" s="22"/>
      <c r="E15" s="22"/>
      <c r="F15" s="22"/>
      <c r="G15" s="22"/>
      <c r="H15" s="22"/>
      <c r="I15" s="22"/>
      <c r="J15" s="4" t="n">
        <f aca="false">SUM(D15:I15)</f>
        <v>0</v>
      </c>
      <c r="K15" s="22"/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20"/>
      <c r="H16" s="20"/>
      <c r="I16" s="20"/>
      <c r="J16" s="8" t="n">
        <f aca="false">SUM(D16:I16)</f>
        <v>0</v>
      </c>
      <c r="K16" s="20"/>
    </row>
    <row r="17" customFormat="false" ht="15" hidden="false" customHeight="false" outlineLevel="0" collapsed="false">
      <c r="A17" s="4" t="n">
        <v>14</v>
      </c>
      <c r="B17" s="22"/>
      <c r="C17" s="22"/>
      <c r="D17" s="22"/>
      <c r="E17" s="22"/>
      <c r="F17" s="22"/>
      <c r="G17" s="22"/>
      <c r="H17" s="22"/>
      <c r="I17" s="22"/>
      <c r="J17" s="4" t="n">
        <f aca="false">SUM(D17:I17)</f>
        <v>0</v>
      </c>
      <c r="K17" s="22"/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20"/>
      <c r="H18" s="20"/>
      <c r="I18" s="20"/>
      <c r="J18" s="8" t="n">
        <f aca="false">SUM(D18:I18)</f>
        <v>0</v>
      </c>
      <c r="K18" s="20"/>
    </row>
    <row r="19" customFormat="false" ht="15" hidden="false" customHeight="false" outlineLevel="0" collapsed="false">
      <c r="A19" s="4" t="n">
        <v>16</v>
      </c>
      <c r="B19" s="22"/>
      <c r="C19" s="22"/>
      <c r="D19" s="22"/>
      <c r="E19" s="22"/>
      <c r="F19" s="22"/>
      <c r="G19" s="22"/>
      <c r="H19" s="22"/>
      <c r="I19" s="22"/>
      <c r="J19" s="4" t="n">
        <f aca="false">SUM(D19:I19)</f>
        <v>0</v>
      </c>
      <c r="K19" s="22"/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20"/>
      <c r="H20" s="20"/>
      <c r="I20" s="20"/>
      <c r="J20" s="8" t="n">
        <f aca="false">SUM(D20:I20)</f>
        <v>0</v>
      </c>
      <c r="K20" s="20"/>
    </row>
    <row r="21" customFormat="false" ht="15" hidden="false" customHeight="false" outlineLevel="0" collapsed="false">
      <c r="A21" s="4" t="n">
        <v>18</v>
      </c>
      <c r="B21" s="22"/>
      <c r="C21" s="22"/>
      <c r="D21" s="22"/>
      <c r="E21" s="22"/>
      <c r="F21" s="22"/>
      <c r="G21" s="22"/>
      <c r="H21" s="22"/>
      <c r="I21" s="22"/>
      <c r="J21" s="4" t="n">
        <f aca="false">SUM(D21:I21)</f>
        <v>0</v>
      </c>
      <c r="K21" s="22"/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20"/>
      <c r="H22" s="20"/>
      <c r="I22" s="20"/>
      <c r="J22" s="8" t="n">
        <f aca="false">SUM(D22:I22)</f>
        <v>0</v>
      </c>
      <c r="K22" s="20"/>
    </row>
    <row r="23" customFormat="false" ht="15" hidden="false" customHeight="false" outlineLevel="0" collapsed="false">
      <c r="A23" s="4" t="n">
        <v>20</v>
      </c>
      <c r="B23" s="22"/>
      <c r="C23" s="22"/>
      <c r="D23" s="22"/>
      <c r="E23" s="22"/>
      <c r="F23" s="22"/>
      <c r="G23" s="22"/>
      <c r="H23" s="22"/>
      <c r="I23" s="22"/>
      <c r="J23" s="4" t="n">
        <f aca="false">SUM(D23:I23)</f>
        <v>0</v>
      </c>
      <c r="K23" s="22"/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20"/>
      <c r="H24" s="20"/>
      <c r="I24" s="20"/>
      <c r="J24" s="8" t="n">
        <f aca="false">SUM(D24:I24)</f>
        <v>0</v>
      </c>
      <c r="K24" s="20"/>
    </row>
    <row r="25" customFormat="false" ht="15" hidden="false" customHeight="false" outlineLevel="0" collapsed="false">
      <c r="A25" s="4" t="n">
        <v>22</v>
      </c>
      <c r="B25" s="22"/>
      <c r="C25" s="22"/>
      <c r="D25" s="22"/>
      <c r="E25" s="22"/>
      <c r="F25" s="22"/>
      <c r="G25" s="22"/>
      <c r="H25" s="22"/>
      <c r="I25" s="22"/>
      <c r="J25" s="4" t="n">
        <f aca="false">SUM(D25:I25)</f>
        <v>0</v>
      </c>
      <c r="K25" s="22"/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20"/>
      <c r="H26" s="20"/>
      <c r="I26" s="20"/>
      <c r="J26" s="8" t="n">
        <f aca="false">SUM(D26:I26)</f>
        <v>0</v>
      </c>
      <c r="K26" s="20"/>
    </row>
    <row r="27" customFormat="false" ht="15" hidden="false" customHeight="false" outlineLevel="0" collapsed="false">
      <c r="A27" s="4" t="n">
        <v>24</v>
      </c>
      <c r="B27" s="22"/>
      <c r="C27" s="22"/>
      <c r="D27" s="22"/>
      <c r="E27" s="22"/>
      <c r="F27" s="22"/>
      <c r="G27" s="22"/>
      <c r="H27" s="22"/>
      <c r="I27" s="22"/>
      <c r="J27" s="4" t="n">
        <f aca="false">SUM(D27:I27)</f>
        <v>0</v>
      </c>
      <c r="K27" s="22"/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20"/>
      <c r="H28" s="20"/>
      <c r="I28" s="20"/>
      <c r="J28" s="8" t="n">
        <f aca="false">SUM(D28:I28)</f>
        <v>0</v>
      </c>
      <c r="K28" s="20"/>
    </row>
    <row r="29" customFormat="false" ht="15" hidden="false" customHeight="false" outlineLevel="0" collapsed="false">
      <c r="A29" s="4" t="n">
        <v>26</v>
      </c>
      <c r="B29" s="22"/>
      <c r="C29" s="22"/>
      <c r="D29" s="22"/>
      <c r="E29" s="22"/>
      <c r="F29" s="22"/>
      <c r="G29" s="22"/>
      <c r="H29" s="22"/>
      <c r="I29" s="22"/>
      <c r="J29" s="4" t="n">
        <f aca="false">SUM(D29:I29)</f>
        <v>0</v>
      </c>
      <c r="K29" s="22"/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20"/>
      <c r="H30" s="20"/>
      <c r="I30" s="20"/>
      <c r="J30" s="8" t="n">
        <f aca="false">SUM(D30:I30)</f>
        <v>0</v>
      </c>
      <c r="K30" s="20"/>
    </row>
    <row r="31" customFormat="false" ht="15" hidden="false" customHeight="false" outlineLevel="0" collapsed="false">
      <c r="A31" s="4" t="n">
        <v>28</v>
      </c>
      <c r="B31" s="22"/>
      <c r="C31" s="22"/>
      <c r="D31" s="22"/>
      <c r="E31" s="22"/>
      <c r="F31" s="22"/>
      <c r="G31" s="22"/>
      <c r="H31" s="22"/>
      <c r="I31" s="22"/>
      <c r="J31" s="4" t="n">
        <f aca="false">SUM(D31:I31)</f>
        <v>0</v>
      </c>
      <c r="K31" s="22"/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20"/>
      <c r="H32" s="20"/>
      <c r="I32" s="20"/>
      <c r="J32" s="8" t="n">
        <f aca="false">SUM(D32:I32)</f>
        <v>0</v>
      </c>
      <c r="K32" s="20"/>
    </row>
    <row r="33" customFormat="false" ht="15" hidden="false" customHeight="false" outlineLevel="0" collapsed="false">
      <c r="A33" s="4" t="n">
        <v>30</v>
      </c>
      <c r="B33" s="22"/>
      <c r="C33" s="22"/>
      <c r="D33" s="22"/>
      <c r="E33" s="22"/>
      <c r="F33" s="22"/>
      <c r="G33" s="22"/>
      <c r="H33" s="22"/>
      <c r="I33" s="22"/>
      <c r="J33" s="4" t="n">
        <f aca="false">SUM(D33:I33)</f>
        <v>0</v>
      </c>
      <c r="K33" s="22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7" min="4" style="0" width="2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3" t="s">
        <v>97</v>
      </c>
      <c r="B1" s="43"/>
      <c r="C1" s="43"/>
      <c r="D1" s="43"/>
      <c r="E1" s="43"/>
      <c r="F1" s="43"/>
      <c r="G1" s="43"/>
      <c r="H1" s="43"/>
      <c r="I1" s="43"/>
    </row>
    <row r="2" customFormat="false" ht="25.5" hidden="false" customHeight="true" outlineLevel="0" collapsed="false">
      <c r="A2" s="44" t="s">
        <v>98</v>
      </c>
      <c r="B2" s="44"/>
      <c r="C2" s="44"/>
      <c r="D2" s="44"/>
      <c r="E2" s="44"/>
      <c r="F2" s="44"/>
      <c r="G2" s="44"/>
      <c r="H2" s="44"/>
      <c r="I2" s="44"/>
    </row>
    <row r="3" customFormat="false" ht="35.05" hidden="false" customHeight="false" outlineLevel="0" collapsed="false">
      <c r="A3" s="45" t="s">
        <v>56</v>
      </c>
      <c r="B3" s="45" t="s">
        <v>99</v>
      </c>
      <c r="C3" s="45" t="s">
        <v>100</v>
      </c>
      <c r="D3" s="45" t="s">
        <v>101</v>
      </c>
      <c r="E3" s="45" t="s">
        <v>102</v>
      </c>
      <c r="F3" s="45" t="s">
        <v>103</v>
      </c>
      <c r="G3" s="45" t="s">
        <v>104</v>
      </c>
      <c r="H3" s="45" t="s">
        <v>105</v>
      </c>
      <c r="I3" s="45" t="s">
        <v>106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33" t="n">
        <f aca="false">SUM(D4:F4)</f>
        <v>0</v>
      </c>
      <c r="H4" s="20"/>
      <c r="I4" s="33" t="n">
        <f aca="false">IF(H4&gt;0,G4/H4,0)</f>
        <v>0</v>
      </c>
    </row>
    <row r="5" customFormat="false" ht="15" hidden="false" customHeight="false" outlineLevel="0" collapsed="false">
      <c r="A5" s="4" t="n">
        <v>2</v>
      </c>
      <c r="B5" s="22"/>
      <c r="C5" s="22"/>
      <c r="D5" s="22"/>
      <c r="E5" s="22"/>
      <c r="F5" s="22"/>
      <c r="G5" s="35" t="n">
        <f aca="false">SUM(D5:F5)</f>
        <v>0</v>
      </c>
      <c r="H5" s="22"/>
      <c r="I5" s="35" t="n">
        <f aca="false">IF(H5&gt;0,G5/H5,0)</f>
        <v>0</v>
      </c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33" t="n">
        <f aca="false">SUM(D6:F6)</f>
        <v>0</v>
      </c>
      <c r="H6" s="20"/>
      <c r="I6" s="33" t="n">
        <f aca="false">IF(H6&gt;0,G6/H6,0)</f>
        <v>0</v>
      </c>
    </row>
    <row r="7" customFormat="false" ht="15" hidden="false" customHeight="false" outlineLevel="0" collapsed="false">
      <c r="A7" s="4" t="n">
        <v>4</v>
      </c>
      <c r="B7" s="22"/>
      <c r="C7" s="22"/>
      <c r="D7" s="22"/>
      <c r="E7" s="22"/>
      <c r="F7" s="22"/>
      <c r="G7" s="35" t="n">
        <f aca="false">SUM(D7:F7)</f>
        <v>0</v>
      </c>
      <c r="H7" s="22"/>
      <c r="I7" s="35" t="n">
        <f aca="false">IF(H7&gt;0,G7/H7,0)</f>
        <v>0</v>
      </c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33" t="n">
        <f aca="false">SUM(D8:F8)</f>
        <v>0</v>
      </c>
      <c r="H8" s="20"/>
      <c r="I8" s="33" t="n">
        <f aca="false">IF(H8&gt;0,G8/H8,0)</f>
        <v>0</v>
      </c>
    </row>
    <row r="9" customFormat="false" ht="15" hidden="false" customHeight="false" outlineLevel="0" collapsed="false">
      <c r="A9" s="4" t="n">
        <v>6</v>
      </c>
      <c r="B9" s="22"/>
      <c r="C9" s="22"/>
      <c r="D9" s="22"/>
      <c r="E9" s="22"/>
      <c r="F9" s="22"/>
      <c r="G9" s="35" t="n">
        <f aca="false">SUM(D9:F9)</f>
        <v>0</v>
      </c>
      <c r="H9" s="22"/>
      <c r="I9" s="35" t="n">
        <f aca="false">IF(H9&gt;0,G9/H9,0)</f>
        <v>0</v>
      </c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33" t="n">
        <f aca="false">SUM(D10:F10)</f>
        <v>0</v>
      </c>
      <c r="H10" s="20"/>
      <c r="I10" s="33" t="n">
        <f aca="false">IF(H10&gt;0,G10/H10,0)</f>
        <v>0</v>
      </c>
    </row>
    <row r="11" customFormat="false" ht="15" hidden="false" customHeight="false" outlineLevel="0" collapsed="false">
      <c r="A11" s="4" t="n">
        <v>8</v>
      </c>
      <c r="B11" s="22"/>
      <c r="C11" s="22"/>
      <c r="D11" s="22"/>
      <c r="E11" s="22"/>
      <c r="F11" s="22"/>
      <c r="G11" s="35" t="n">
        <f aca="false">SUM(D11:F11)</f>
        <v>0</v>
      </c>
      <c r="H11" s="22"/>
      <c r="I11" s="35" t="n">
        <f aca="false">IF(H11&gt;0,G11/H11,0)</f>
        <v>0</v>
      </c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33" t="n">
        <f aca="false">SUM(D12:F12)</f>
        <v>0</v>
      </c>
      <c r="H12" s="20"/>
      <c r="I12" s="33" t="n">
        <f aca="false">IF(H12&gt;0,G12/H12,0)</f>
        <v>0</v>
      </c>
    </row>
    <row r="13" customFormat="false" ht="15" hidden="false" customHeight="false" outlineLevel="0" collapsed="false">
      <c r="A13" s="4" t="n">
        <v>10</v>
      </c>
      <c r="B13" s="22"/>
      <c r="C13" s="22"/>
      <c r="D13" s="22"/>
      <c r="E13" s="22"/>
      <c r="F13" s="22"/>
      <c r="G13" s="35" t="n">
        <f aca="false">SUM(D13:F13)</f>
        <v>0</v>
      </c>
      <c r="H13" s="22"/>
      <c r="I13" s="35" t="n">
        <f aca="false">IF(H13&gt;0,G13/H13,0)</f>
        <v>0</v>
      </c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33" t="n">
        <f aca="false">SUM(D14:F14)</f>
        <v>0</v>
      </c>
      <c r="H14" s="20"/>
      <c r="I14" s="33" t="n">
        <f aca="false">IF(H14&gt;0,G14/H14,0)</f>
        <v>0</v>
      </c>
    </row>
    <row r="15" customFormat="false" ht="15" hidden="false" customHeight="false" outlineLevel="0" collapsed="false">
      <c r="A15" s="4" t="n">
        <v>12</v>
      </c>
      <c r="B15" s="22"/>
      <c r="C15" s="22"/>
      <c r="D15" s="22"/>
      <c r="E15" s="22"/>
      <c r="F15" s="22"/>
      <c r="G15" s="35" t="n">
        <f aca="false">SUM(D15:F15)</f>
        <v>0</v>
      </c>
      <c r="H15" s="22"/>
      <c r="I15" s="35" t="n">
        <f aca="false">IF(H15&gt;0,G15/H15,0)</f>
        <v>0</v>
      </c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33" t="n">
        <f aca="false">SUM(D16:F16)</f>
        <v>0</v>
      </c>
      <c r="H16" s="20"/>
      <c r="I16" s="33" t="n">
        <f aca="false">IF(H16&gt;0,G16/H16,0)</f>
        <v>0</v>
      </c>
    </row>
    <row r="17" customFormat="false" ht="15" hidden="false" customHeight="false" outlineLevel="0" collapsed="false">
      <c r="A17" s="4" t="n">
        <v>14</v>
      </c>
      <c r="B17" s="22"/>
      <c r="C17" s="22"/>
      <c r="D17" s="22"/>
      <c r="E17" s="22"/>
      <c r="F17" s="22"/>
      <c r="G17" s="35" t="n">
        <f aca="false">SUM(D17:F17)</f>
        <v>0</v>
      </c>
      <c r="H17" s="22"/>
      <c r="I17" s="35" t="n">
        <f aca="false">IF(H17&gt;0,G17/H17,0)</f>
        <v>0</v>
      </c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33" t="n">
        <f aca="false">SUM(D18:F18)</f>
        <v>0</v>
      </c>
      <c r="H18" s="20"/>
      <c r="I18" s="33" t="n">
        <f aca="false">IF(H18&gt;0,G18/H18,0)</f>
        <v>0</v>
      </c>
    </row>
    <row r="19" customFormat="false" ht="15" hidden="false" customHeight="false" outlineLevel="0" collapsed="false">
      <c r="A19" s="4" t="n">
        <v>16</v>
      </c>
      <c r="B19" s="22"/>
      <c r="C19" s="22"/>
      <c r="D19" s="22"/>
      <c r="E19" s="22"/>
      <c r="F19" s="22"/>
      <c r="G19" s="35" t="n">
        <f aca="false">SUM(D19:F19)</f>
        <v>0</v>
      </c>
      <c r="H19" s="22"/>
      <c r="I19" s="35" t="n">
        <f aca="false">IF(H19&gt;0,G19/H19,0)</f>
        <v>0</v>
      </c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33" t="n">
        <f aca="false">SUM(D20:F20)</f>
        <v>0</v>
      </c>
      <c r="H20" s="20"/>
      <c r="I20" s="33" t="n">
        <f aca="false">IF(H20&gt;0,G20/H20,0)</f>
        <v>0</v>
      </c>
    </row>
    <row r="21" customFormat="false" ht="15" hidden="false" customHeight="false" outlineLevel="0" collapsed="false">
      <c r="A21" s="4" t="n">
        <v>18</v>
      </c>
      <c r="B21" s="22"/>
      <c r="C21" s="22"/>
      <c r="D21" s="22"/>
      <c r="E21" s="22"/>
      <c r="F21" s="22"/>
      <c r="G21" s="35" t="n">
        <f aca="false">SUM(D21:F21)</f>
        <v>0</v>
      </c>
      <c r="H21" s="22"/>
      <c r="I21" s="35" t="n">
        <f aca="false">IF(H21&gt;0,G21/H21,0)</f>
        <v>0</v>
      </c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33" t="n">
        <f aca="false">SUM(D22:F22)</f>
        <v>0</v>
      </c>
      <c r="H22" s="20"/>
      <c r="I22" s="33" t="n">
        <f aca="false">IF(H22&gt;0,G22/H22,0)</f>
        <v>0</v>
      </c>
    </row>
    <row r="23" customFormat="false" ht="15" hidden="false" customHeight="false" outlineLevel="0" collapsed="false">
      <c r="A23" s="4" t="n">
        <v>20</v>
      </c>
      <c r="B23" s="22"/>
      <c r="C23" s="22"/>
      <c r="D23" s="22"/>
      <c r="E23" s="22"/>
      <c r="F23" s="22"/>
      <c r="G23" s="35" t="n">
        <f aca="false">SUM(D23:F23)</f>
        <v>0</v>
      </c>
      <c r="H23" s="22"/>
      <c r="I23" s="35" t="n">
        <f aca="false">IF(H23&gt;0,G23/H23,0)</f>
        <v>0</v>
      </c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33" t="n">
        <f aca="false">SUM(D24:F24)</f>
        <v>0</v>
      </c>
      <c r="H24" s="20"/>
      <c r="I24" s="33" t="n">
        <f aca="false">IF(H24&gt;0,G24/H24,0)</f>
        <v>0</v>
      </c>
    </row>
    <row r="25" customFormat="false" ht="15" hidden="false" customHeight="false" outlineLevel="0" collapsed="false">
      <c r="A25" s="4" t="n">
        <v>22</v>
      </c>
      <c r="B25" s="22"/>
      <c r="C25" s="22"/>
      <c r="D25" s="22"/>
      <c r="E25" s="22"/>
      <c r="F25" s="22"/>
      <c r="G25" s="35" t="n">
        <f aca="false">SUM(D25:F25)</f>
        <v>0</v>
      </c>
      <c r="H25" s="22"/>
      <c r="I25" s="35" t="n">
        <f aca="false">IF(H25&gt;0,G25/H25,0)</f>
        <v>0</v>
      </c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33" t="n">
        <f aca="false">SUM(D26:F26)</f>
        <v>0</v>
      </c>
      <c r="H26" s="20"/>
      <c r="I26" s="33" t="n">
        <f aca="false">IF(H26&gt;0,G26/H26,0)</f>
        <v>0</v>
      </c>
    </row>
    <row r="27" customFormat="false" ht="15" hidden="false" customHeight="false" outlineLevel="0" collapsed="false">
      <c r="A27" s="4" t="n">
        <v>24</v>
      </c>
      <c r="B27" s="22"/>
      <c r="C27" s="22"/>
      <c r="D27" s="22"/>
      <c r="E27" s="22"/>
      <c r="F27" s="22"/>
      <c r="G27" s="35" t="n">
        <f aca="false">SUM(D27:F27)</f>
        <v>0</v>
      </c>
      <c r="H27" s="22"/>
      <c r="I27" s="35" t="n">
        <f aca="false">IF(H27&gt;0,G27/H27,0)</f>
        <v>0</v>
      </c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33" t="n">
        <f aca="false">SUM(D28:F28)</f>
        <v>0</v>
      </c>
      <c r="H28" s="20"/>
      <c r="I28" s="33" t="n">
        <f aca="false">IF(H28&gt;0,G28/H28,0)</f>
        <v>0</v>
      </c>
    </row>
    <row r="29" customFormat="false" ht="15" hidden="false" customHeight="false" outlineLevel="0" collapsed="false">
      <c r="A29" s="4" t="n">
        <v>26</v>
      </c>
      <c r="B29" s="22"/>
      <c r="C29" s="22"/>
      <c r="D29" s="22"/>
      <c r="E29" s="22"/>
      <c r="F29" s="22"/>
      <c r="G29" s="35" t="n">
        <f aca="false">SUM(D29:F29)</f>
        <v>0</v>
      </c>
      <c r="H29" s="22"/>
      <c r="I29" s="35" t="n">
        <f aca="false">IF(H29&gt;0,G29/H29,0)</f>
        <v>0</v>
      </c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33" t="n">
        <f aca="false">SUM(D30:F30)</f>
        <v>0</v>
      </c>
      <c r="H30" s="20"/>
      <c r="I30" s="33" t="n">
        <f aca="false">IF(H30&gt;0,G30/H30,0)</f>
        <v>0</v>
      </c>
    </row>
    <row r="31" customFormat="false" ht="15" hidden="false" customHeight="false" outlineLevel="0" collapsed="false">
      <c r="A31" s="4" t="n">
        <v>28</v>
      </c>
      <c r="B31" s="22"/>
      <c r="C31" s="22"/>
      <c r="D31" s="22"/>
      <c r="E31" s="22"/>
      <c r="F31" s="22"/>
      <c r="G31" s="35" t="n">
        <f aca="false">SUM(D31:F31)</f>
        <v>0</v>
      </c>
      <c r="H31" s="22"/>
      <c r="I31" s="35" t="n">
        <f aca="false">IF(H31&gt;0,G31/H31,0)</f>
        <v>0</v>
      </c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33" t="n">
        <f aca="false">SUM(D32:F32)</f>
        <v>0</v>
      </c>
      <c r="H32" s="20"/>
      <c r="I32" s="33" t="n">
        <f aca="false">IF(H32&gt;0,G32/H32,0)</f>
        <v>0</v>
      </c>
    </row>
    <row r="33" customFormat="false" ht="15" hidden="false" customHeight="false" outlineLevel="0" collapsed="false">
      <c r="A33" s="4" t="n">
        <v>30</v>
      </c>
      <c r="B33" s="22"/>
      <c r="C33" s="22"/>
      <c r="D33" s="22"/>
      <c r="E33" s="22"/>
      <c r="F33" s="22"/>
      <c r="G33" s="35" t="n">
        <f aca="false">SUM(D33:F33)</f>
        <v>0</v>
      </c>
      <c r="H33" s="22"/>
      <c r="I33" s="35" t="n">
        <f aca="false">IF(H33&gt;0,G33/H33,0)</f>
        <v>0</v>
      </c>
    </row>
    <row r="34" customFormat="false" ht="15" hidden="false" customHeight="false" outlineLevel="0" collapsed="false">
      <c r="A34" s="8" t="n">
        <v>31</v>
      </c>
      <c r="B34" s="20"/>
      <c r="C34" s="20"/>
      <c r="D34" s="20"/>
      <c r="E34" s="20"/>
      <c r="F34" s="20"/>
      <c r="G34" s="33" t="n">
        <f aca="false">SUM(D34:F34)</f>
        <v>0</v>
      </c>
      <c r="H34" s="20"/>
      <c r="I34" s="33" t="n">
        <f aca="false">IF(H34&gt;0,G34/H34,0)</f>
        <v>0</v>
      </c>
    </row>
    <row r="35" customFormat="false" ht="15" hidden="false" customHeight="false" outlineLevel="0" collapsed="false">
      <c r="A35" s="4" t="n">
        <v>32</v>
      </c>
      <c r="B35" s="22"/>
      <c r="C35" s="22"/>
      <c r="D35" s="22"/>
      <c r="E35" s="22"/>
      <c r="F35" s="22"/>
      <c r="G35" s="35" t="n">
        <f aca="false">SUM(D35:F35)</f>
        <v>0</v>
      </c>
      <c r="H35" s="22"/>
      <c r="I35" s="35" t="n">
        <f aca="false">IF(H35&gt;0,G35/H35,0)</f>
        <v>0</v>
      </c>
    </row>
    <row r="36" customFormat="false" ht="15" hidden="false" customHeight="false" outlineLevel="0" collapsed="false">
      <c r="A36" s="8" t="n">
        <v>33</v>
      </c>
      <c r="B36" s="20"/>
      <c r="C36" s="20"/>
      <c r="D36" s="20"/>
      <c r="E36" s="20"/>
      <c r="F36" s="20"/>
      <c r="G36" s="33" t="n">
        <f aca="false">SUM(D36:F36)</f>
        <v>0</v>
      </c>
      <c r="H36" s="20"/>
      <c r="I36" s="33" t="n">
        <f aca="false">IF(H36&gt;0,G36/H36,0)</f>
        <v>0</v>
      </c>
    </row>
    <row r="37" customFormat="false" ht="15" hidden="false" customHeight="false" outlineLevel="0" collapsed="false">
      <c r="A37" s="4" t="n">
        <v>34</v>
      </c>
      <c r="B37" s="22"/>
      <c r="C37" s="22"/>
      <c r="D37" s="22"/>
      <c r="E37" s="22"/>
      <c r="F37" s="22"/>
      <c r="G37" s="35" t="n">
        <f aca="false">SUM(D37:F37)</f>
        <v>0</v>
      </c>
      <c r="H37" s="22"/>
      <c r="I37" s="35" t="n">
        <f aca="false">IF(H37&gt;0,G37/H37,0)</f>
        <v>0</v>
      </c>
    </row>
    <row r="38" customFormat="false" ht="15" hidden="false" customHeight="false" outlineLevel="0" collapsed="false">
      <c r="A38" s="8" t="n">
        <v>35</v>
      </c>
      <c r="B38" s="20"/>
      <c r="C38" s="20"/>
      <c r="D38" s="20"/>
      <c r="E38" s="20"/>
      <c r="F38" s="20"/>
      <c r="G38" s="33" t="n">
        <f aca="false">SUM(D38:F38)</f>
        <v>0</v>
      </c>
      <c r="H38" s="20"/>
      <c r="I38" s="33" t="n">
        <f aca="false">IF(H38&gt;0,G38/H38,0)</f>
        <v>0</v>
      </c>
    </row>
    <row r="39" customFormat="false" ht="15" hidden="false" customHeight="false" outlineLevel="0" collapsed="false">
      <c r="A39" s="4" t="n">
        <v>36</v>
      </c>
      <c r="B39" s="22"/>
      <c r="C39" s="22"/>
      <c r="D39" s="22"/>
      <c r="E39" s="22"/>
      <c r="F39" s="22"/>
      <c r="G39" s="35" t="n">
        <f aca="false">SUM(D39:F39)</f>
        <v>0</v>
      </c>
      <c r="H39" s="22"/>
      <c r="I39" s="35" t="n">
        <f aca="false">IF(H39&gt;0,G39/H39,0)</f>
        <v>0</v>
      </c>
    </row>
    <row r="40" customFormat="false" ht="15" hidden="false" customHeight="false" outlineLevel="0" collapsed="false">
      <c r="A40" s="8" t="n">
        <v>37</v>
      </c>
      <c r="B40" s="20"/>
      <c r="C40" s="20"/>
      <c r="D40" s="20"/>
      <c r="E40" s="20"/>
      <c r="F40" s="20"/>
      <c r="G40" s="33" t="n">
        <f aca="false">SUM(D40:F40)</f>
        <v>0</v>
      </c>
      <c r="H40" s="20"/>
      <c r="I40" s="33" t="n">
        <f aca="false">IF(H40&gt;0,G40/H40,0)</f>
        <v>0</v>
      </c>
    </row>
    <row r="41" customFormat="false" ht="15" hidden="false" customHeight="false" outlineLevel="0" collapsed="false">
      <c r="A41" s="4" t="n">
        <v>38</v>
      </c>
      <c r="B41" s="22"/>
      <c r="C41" s="22"/>
      <c r="D41" s="22"/>
      <c r="E41" s="22"/>
      <c r="F41" s="22"/>
      <c r="G41" s="35" t="n">
        <f aca="false">SUM(D41:F41)</f>
        <v>0</v>
      </c>
      <c r="H41" s="22"/>
      <c r="I41" s="35" t="n">
        <f aca="false">IF(H41&gt;0,G41/H41,0)</f>
        <v>0</v>
      </c>
    </row>
    <row r="42" customFormat="false" ht="15" hidden="false" customHeight="false" outlineLevel="0" collapsed="false">
      <c r="A42" s="8" t="n">
        <v>39</v>
      </c>
      <c r="B42" s="20"/>
      <c r="C42" s="20"/>
      <c r="D42" s="20"/>
      <c r="E42" s="20"/>
      <c r="F42" s="20"/>
      <c r="G42" s="33" t="n">
        <f aca="false">SUM(D42:F42)</f>
        <v>0</v>
      </c>
      <c r="H42" s="20"/>
      <c r="I42" s="33" t="n">
        <f aca="false">IF(H42&gt;0,G42/H42,0)</f>
        <v>0</v>
      </c>
    </row>
    <row r="43" customFormat="false" ht="15" hidden="false" customHeight="false" outlineLevel="0" collapsed="false">
      <c r="A43" s="4" t="n">
        <v>40</v>
      </c>
      <c r="B43" s="22"/>
      <c r="C43" s="22"/>
      <c r="D43" s="22"/>
      <c r="E43" s="22"/>
      <c r="F43" s="22"/>
      <c r="G43" s="35" t="n">
        <f aca="false">SUM(D43:F43)</f>
        <v>0</v>
      </c>
      <c r="H43" s="22"/>
      <c r="I43" s="35" t="n">
        <f aca="false">IF(H43&gt;0,G43/H43,0)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6" t="s">
        <v>107</v>
      </c>
      <c r="B1" s="46"/>
      <c r="C1" s="46"/>
      <c r="D1" s="46"/>
      <c r="E1" s="46"/>
      <c r="F1" s="46"/>
      <c r="G1" s="46"/>
      <c r="H1" s="46"/>
      <c r="I1" s="46"/>
    </row>
    <row r="2" customFormat="false" ht="25.5" hidden="false" customHeight="true" outlineLevel="0" collapsed="false">
      <c r="A2" s="24" t="s">
        <v>108</v>
      </c>
      <c r="B2" s="24"/>
      <c r="C2" s="24"/>
      <c r="D2" s="24"/>
      <c r="E2" s="24"/>
      <c r="F2" s="24"/>
      <c r="G2" s="24"/>
      <c r="H2" s="24"/>
      <c r="I2" s="24"/>
    </row>
    <row r="3" customFormat="false" ht="35.05" hidden="false" customHeight="false" outlineLevel="0" collapsed="false">
      <c r="A3" s="25" t="s">
        <v>56</v>
      </c>
      <c r="B3" s="25" t="s">
        <v>57</v>
      </c>
      <c r="C3" s="25" t="s">
        <v>58</v>
      </c>
      <c r="D3" s="25" t="s">
        <v>109</v>
      </c>
      <c r="E3" s="25" t="s">
        <v>110</v>
      </c>
      <c r="F3" s="25" t="s">
        <v>111</v>
      </c>
      <c r="G3" s="25" t="s">
        <v>112</v>
      </c>
      <c r="H3" s="25" t="s">
        <v>113</v>
      </c>
      <c r="I3" s="25" t="s">
        <v>65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47" t="n">
        <f aca="false">IF(D4&gt;0,E4/D4*100,0)</f>
        <v>0</v>
      </c>
      <c r="G4" s="48"/>
      <c r="H4" s="49" t="n">
        <f aca="false">IF(E4&gt;0,G4/E4,0)</f>
        <v>0</v>
      </c>
      <c r="I4" s="20"/>
    </row>
    <row r="5" customFormat="false" ht="15" hidden="false" customHeight="false" outlineLevel="0" collapsed="false">
      <c r="A5" s="4" t="n">
        <v>2</v>
      </c>
      <c r="B5" s="22"/>
      <c r="C5" s="22"/>
      <c r="D5" s="22"/>
      <c r="E5" s="22"/>
      <c r="F5" s="50" t="n">
        <f aca="false">IF(D5&gt;0,E5/D5*100,0)</f>
        <v>0</v>
      </c>
      <c r="G5" s="51"/>
      <c r="H5" s="52" t="n">
        <f aca="false">IF(E5&gt;0,G5/E5,0)</f>
        <v>0</v>
      </c>
      <c r="I5" s="22"/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47" t="n">
        <f aca="false">IF(D6&gt;0,E6/D6*100,0)</f>
        <v>0</v>
      </c>
      <c r="G6" s="48"/>
      <c r="H6" s="49" t="n">
        <f aca="false">IF(E6&gt;0,G6/E6,0)</f>
        <v>0</v>
      </c>
      <c r="I6" s="20"/>
    </row>
    <row r="7" customFormat="false" ht="15" hidden="false" customHeight="false" outlineLevel="0" collapsed="false">
      <c r="A7" s="4" t="n">
        <v>4</v>
      </c>
      <c r="B7" s="22"/>
      <c r="C7" s="22"/>
      <c r="D7" s="22"/>
      <c r="E7" s="22"/>
      <c r="F7" s="50" t="n">
        <f aca="false">IF(D7&gt;0,E7/D7*100,0)</f>
        <v>0</v>
      </c>
      <c r="G7" s="51"/>
      <c r="H7" s="52" t="n">
        <f aca="false">IF(E7&gt;0,G7/E7,0)</f>
        <v>0</v>
      </c>
      <c r="I7" s="22"/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47" t="n">
        <f aca="false">IF(D8&gt;0,E8/D8*100,0)</f>
        <v>0</v>
      </c>
      <c r="G8" s="48"/>
      <c r="H8" s="49" t="n">
        <f aca="false">IF(E8&gt;0,G8/E8,0)</f>
        <v>0</v>
      </c>
      <c r="I8" s="20"/>
    </row>
    <row r="9" customFormat="false" ht="15" hidden="false" customHeight="false" outlineLevel="0" collapsed="false">
      <c r="A9" s="4" t="n">
        <v>6</v>
      </c>
      <c r="B9" s="22"/>
      <c r="C9" s="22"/>
      <c r="D9" s="22"/>
      <c r="E9" s="22"/>
      <c r="F9" s="50" t="n">
        <f aca="false">IF(D9&gt;0,E9/D9*100,0)</f>
        <v>0</v>
      </c>
      <c r="G9" s="51"/>
      <c r="H9" s="52" t="n">
        <f aca="false">IF(E9&gt;0,G9/E9,0)</f>
        <v>0</v>
      </c>
      <c r="I9" s="22"/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47" t="n">
        <f aca="false">IF(D10&gt;0,E10/D10*100,0)</f>
        <v>0</v>
      </c>
      <c r="G10" s="48"/>
      <c r="H10" s="49" t="n">
        <f aca="false">IF(E10&gt;0,G10/E10,0)</f>
        <v>0</v>
      </c>
      <c r="I10" s="20"/>
    </row>
    <row r="11" customFormat="false" ht="15" hidden="false" customHeight="false" outlineLevel="0" collapsed="false">
      <c r="A11" s="4" t="n">
        <v>8</v>
      </c>
      <c r="B11" s="22"/>
      <c r="C11" s="22"/>
      <c r="D11" s="22"/>
      <c r="E11" s="22"/>
      <c r="F11" s="50" t="n">
        <f aca="false">IF(D11&gt;0,E11/D11*100,0)</f>
        <v>0</v>
      </c>
      <c r="G11" s="51"/>
      <c r="H11" s="52" t="n">
        <f aca="false">IF(E11&gt;0,G11/E11,0)</f>
        <v>0</v>
      </c>
      <c r="I11" s="22"/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47" t="n">
        <f aca="false">IF(D12&gt;0,E12/D12*100,0)</f>
        <v>0</v>
      </c>
      <c r="G12" s="48"/>
      <c r="H12" s="49" t="n">
        <f aca="false">IF(E12&gt;0,G12/E12,0)</f>
        <v>0</v>
      </c>
      <c r="I12" s="20"/>
    </row>
    <row r="13" customFormat="false" ht="15" hidden="false" customHeight="false" outlineLevel="0" collapsed="false">
      <c r="A13" s="4" t="n">
        <v>10</v>
      </c>
      <c r="B13" s="22"/>
      <c r="C13" s="22"/>
      <c r="D13" s="22"/>
      <c r="E13" s="22"/>
      <c r="F13" s="50" t="n">
        <f aca="false">IF(D13&gt;0,E13/D13*100,0)</f>
        <v>0</v>
      </c>
      <c r="G13" s="51"/>
      <c r="H13" s="52" t="n">
        <f aca="false">IF(E13&gt;0,G13/E13,0)</f>
        <v>0</v>
      </c>
      <c r="I13" s="22"/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47" t="n">
        <f aca="false">IF(D14&gt;0,E14/D14*100,0)</f>
        <v>0</v>
      </c>
      <c r="G14" s="48"/>
      <c r="H14" s="49" t="n">
        <f aca="false">IF(E14&gt;0,G14/E14,0)</f>
        <v>0</v>
      </c>
      <c r="I14" s="20"/>
    </row>
    <row r="15" customFormat="false" ht="15" hidden="false" customHeight="false" outlineLevel="0" collapsed="false">
      <c r="A15" s="4" t="n">
        <v>12</v>
      </c>
      <c r="B15" s="22"/>
      <c r="C15" s="22"/>
      <c r="D15" s="22"/>
      <c r="E15" s="22"/>
      <c r="F15" s="50" t="n">
        <f aca="false">IF(D15&gt;0,E15/D15*100,0)</f>
        <v>0</v>
      </c>
      <c r="G15" s="51"/>
      <c r="H15" s="52" t="n">
        <f aca="false">IF(E15&gt;0,G15/E15,0)</f>
        <v>0</v>
      </c>
      <c r="I15" s="22"/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47" t="n">
        <f aca="false">IF(D16&gt;0,E16/D16*100,0)</f>
        <v>0</v>
      </c>
      <c r="G16" s="48"/>
      <c r="H16" s="49" t="n">
        <f aca="false">IF(E16&gt;0,G16/E16,0)</f>
        <v>0</v>
      </c>
      <c r="I16" s="20"/>
    </row>
    <row r="17" customFormat="false" ht="15" hidden="false" customHeight="false" outlineLevel="0" collapsed="false">
      <c r="A17" s="4" t="n">
        <v>14</v>
      </c>
      <c r="B17" s="22"/>
      <c r="C17" s="22"/>
      <c r="D17" s="22"/>
      <c r="E17" s="22"/>
      <c r="F17" s="50" t="n">
        <f aca="false">IF(D17&gt;0,E17/D17*100,0)</f>
        <v>0</v>
      </c>
      <c r="G17" s="51"/>
      <c r="H17" s="52" t="n">
        <f aca="false">IF(E17&gt;0,G17/E17,0)</f>
        <v>0</v>
      </c>
      <c r="I17" s="22"/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47" t="n">
        <f aca="false">IF(D18&gt;0,E18/D18*100,0)</f>
        <v>0</v>
      </c>
      <c r="G18" s="48"/>
      <c r="H18" s="49" t="n">
        <f aca="false">IF(E18&gt;0,G18/E18,0)</f>
        <v>0</v>
      </c>
      <c r="I18" s="20"/>
    </row>
    <row r="19" customFormat="false" ht="15" hidden="false" customHeight="false" outlineLevel="0" collapsed="false">
      <c r="A19" s="4" t="n">
        <v>16</v>
      </c>
      <c r="B19" s="22"/>
      <c r="C19" s="22"/>
      <c r="D19" s="22"/>
      <c r="E19" s="22"/>
      <c r="F19" s="50" t="n">
        <f aca="false">IF(D19&gt;0,E19/D19*100,0)</f>
        <v>0</v>
      </c>
      <c r="G19" s="51"/>
      <c r="H19" s="52" t="n">
        <f aca="false">IF(E19&gt;0,G19/E19,0)</f>
        <v>0</v>
      </c>
      <c r="I19" s="22"/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47" t="n">
        <f aca="false">IF(D20&gt;0,E20/D20*100,0)</f>
        <v>0</v>
      </c>
      <c r="G20" s="48"/>
      <c r="H20" s="49" t="n">
        <f aca="false">IF(E20&gt;0,G20/E20,0)</f>
        <v>0</v>
      </c>
      <c r="I20" s="20"/>
    </row>
    <row r="21" customFormat="false" ht="15" hidden="false" customHeight="false" outlineLevel="0" collapsed="false">
      <c r="A21" s="4" t="n">
        <v>18</v>
      </c>
      <c r="B21" s="22"/>
      <c r="C21" s="22"/>
      <c r="D21" s="22"/>
      <c r="E21" s="22"/>
      <c r="F21" s="50" t="n">
        <f aca="false">IF(D21&gt;0,E21/D21*100,0)</f>
        <v>0</v>
      </c>
      <c r="G21" s="51"/>
      <c r="H21" s="52" t="n">
        <f aca="false">IF(E21&gt;0,G21/E21,0)</f>
        <v>0</v>
      </c>
      <c r="I21" s="22"/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47" t="n">
        <f aca="false">IF(D22&gt;0,E22/D22*100,0)</f>
        <v>0</v>
      </c>
      <c r="G22" s="48"/>
      <c r="H22" s="49" t="n">
        <f aca="false">IF(E22&gt;0,G22/E22,0)</f>
        <v>0</v>
      </c>
      <c r="I22" s="20"/>
    </row>
    <row r="23" customFormat="false" ht="15" hidden="false" customHeight="false" outlineLevel="0" collapsed="false">
      <c r="A23" s="4" t="n">
        <v>20</v>
      </c>
      <c r="B23" s="22"/>
      <c r="C23" s="22"/>
      <c r="D23" s="22"/>
      <c r="E23" s="22"/>
      <c r="F23" s="50" t="n">
        <f aca="false">IF(D23&gt;0,E23/D23*100,0)</f>
        <v>0</v>
      </c>
      <c r="G23" s="51"/>
      <c r="H23" s="52" t="n">
        <f aca="false">IF(E23&gt;0,G23/E23,0)</f>
        <v>0</v>
      </c>
      <c r="I23" s="22"/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47" t="n">
        <f aca="false">IF(D24&gt;0,E24/D24*100,0)</f>
        <v>0</v>
      </c>
      <c r="G24" s="48"/>
      <c r="H24" s="49" t="n">
        <f aca="false">IF(E24&gt;0,G24/E24,0)</f>
        <v>0</v>
      </c>
      <c r="I24" s="20"/>
    </row>
    <row r="25" customFormat="false" ht="15" hidden="false" customHeight="false" outlineLevel="0" collapsed="false">
      <c r="A25" s="4" t="n">
        <v>22</v>
      </c>
      <c r="B25" s="22"/>
      <c r="C25" s="22"/>
      <c r="D25" s="22"/>
      <c r="E25" s="22"/>
      <c r="F25" s="50" t="n">
        <f aca="false">IF(D25&gt;0,E25/D25*100,0)</f>
        <v>0</v>
      </c>
      <c r="G25" s="51"/>
      <c r="H25" s="52" t="n">
        <f aca="false">IF(E25&gt;0,G25/E25,0)</f>
        <v>0</v>
      </c>
      <c r="I25" s="22"/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47" t="n">
        <f aca="false">IF(D26&gt;0,E26/D26*100,0)</f>
        <v>0</v>
      </c>
      <c r="G26" s="48"/>
      <c r="H26" s="49" t="n">
        <f aca="false">IF(E26&gt;0,G26/E26,0)</f>
        <v>0</v>
      </c>
      <c r="I26" s="20"/>
    </row>
    <row r="27" customFormat="false" ht="15" hidden="false" customHeight="false" outlineLevel="0" collapsed="false">
      <c r="A27" s="4" t="n">
        <v>24</v>
      </c>
      <c r="B27" s="22"/>
      <c r="C27" s="22"/>
      <c r="D27" s="22"/>
      <c r="E27" s="22"/>
      <c r="F27" s="50" t="n">
        <f aca="false">IF(D27&gt;0,E27/D27*100,0)</f>
        <v>0</v>
      </c>
      <c r="G27" s="51"/>
      <c r="H27" s="52" t="n">
        <f aca="false">IF(E27&gt;0,G27/E27,0)</f>
        <v>0</v>
      </c>
      <c r="I27" s="22"/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47" t="n">
        <f aca="false">IF(D28&gt;0,E28/D28*100,0)</f>
        <v>0</v>
      </c>
      <c r="G28" s="48"/>
      <c r="H28" s="49" t="n">
        <f aca="false">IF(E28&gt;0,G28/E28,0)</f>
        <v>0</v>
      </c>
      <c r="I28" s="20"/>
    </row>
    <row r="29" customFormat="false" ht="15" hidden="false" customHeight="false" outlineLevel="0" collapsed="false">
      <c r="A29" s="4" t="n">
        <v>26</v>
      </c>
      <c r="B29" s="22"/>
      <c r="C29" s="22"/>
      <c r="D29" s="22"/>
      <c r="E29" s="22"/>
      <c r="F29" s="50" t="n">
        <f aca="false">IF(D29&gt;0,E29/D29*100,0)</f>
        <v>0</v>
      </c>
      <c r="G29" s="51"/>
      <c r="H29" s="52" t="n">
        <f aca="false">IF(E29&gt;0,G29/E29,0)</f>
        <v>0</v>
      </c>
      <c r="I29" s="22"/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47" t="n">
        <f aca="false">IF(D30&gt;0,E30/D30*100,0)</f>
        <v>0</v>
      </c>
      <c r="G30" s="48"/>
      <c r="H30" s="49" t="n">
        <f aca="false">IF(E30&gt;0,G30/E30,0)</f>
        <v>0</v>
      </c>
      <c r="I30" s="20"/>
    </row>
    <row r="31" customFormat="false" ht="15" hidden="false" customHeight="false" outlineLevel="0" collapsed="false">
      <c r="A31" s="4" t="n">
        <v>28</v>
      </c>
      <c r="B31" s="22"/>
      <c r="C31" s="22"/>
      <c r="D31" s="22"/>
      <c r="E31" s="22"/>
      <c r="F31" s="50" t="n">
        <f aca="false">IF(D31&gt;0,E31/D31*100,0)</f>
        <v>0</v>
      </c>
      <c r="G31" s="51"/>
      <c r="H31" s="52" t="n">
        <f aca="false">IF(E31&gt;0,G31/E31,0)</f>
        <v>0</v>
      </c>
      <c r="I31" s="22"/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47" t="n">
        <f aca="false">IF(D32&gt;0,E32/D32*100,0)</f>
        <v>0</v>
      </c>
      <c r="G32" s="48"/>
      <c r="H32" s="49" t="n">
        <f aca="false">IF(E32&gt;0,G32/E32,0)</f>
        <v>0</v>
      </c>
      <c r="I32" s="20"/>
    </row>
    <row r="33" customFormat="false" ht="15" hidden="false" customHeight="false" outlineLevel="0" collapsed="false">
      <c r="A33" s="4" t="n">
        <v>30</v>
      </c>
      <c r="B33" s="22"/>
      <c r="C33" s="22"/>
      <c r="D33" s="22"/>
      <c r="E33" s="22"/>
      <c r="F33" s="50" t="n">
        <f aca="false">IF(D33&gt;0,E33/D33*100,0)</f>
        <v>0</v>
      </c>
      <c r="G33" s="51"/>
      <c r="H33" s="52" t="n">
        <f aca="false">IF(E33&gt;0,G33/E33,0)</f>
        <v>0</v>
      </c>
      <c r="I33" s="22"/>
    </row>
    <row r="35" customFormat="false" ht="25.5" hidden="false" customHeight="true" outlineLevel="0" collapsed="false">
      <c r="A35" s="53" t="s">
        <v>114</v>
      </c>
      <c r="B35" s="53"/>
      <c r="C35" s="53"/>
      <c r="D35" s="53"/>
      <c r="E35" s="53"/>
      <c r="F35" s="53"/>
      <c r="G35" s="53"/>
      <c r="H35" s="53"/>
      <c r="I35" s="53"/>
    </row>
    <row r="36" customFormat="false" ht="35.05" hidden="false" customHeight="false" outlineLevel="0" collapsed="false">
      <c r="A36" s="54" t="s">
        <v>56</v>
      </c>
      <c r="B36" s="54" t="s">
        <v>115</v>
      </c>
      <c r="C36" s="54" t="s">
        <v>116</v>
      </c>
      <c r="D36" s="54" t="s">
        <v>117</v>
      </c>
      <c r="E36" s="54" t="s">
        <v>110</v>
      </c>
      <c r="F36" s="54" t="s">
        <v>111</v>
      </c>
      <c r="G36" s="54" t="s">
        <v>118</v>
      </c>
      <c r="H36" s="54" t="s">
        <v>113</v>
      </c>
      <c r="I36" s="54" t="s">
        <v>57</v>
      </c>
    </row>
    <row r="37" customFormat="false" ht="15" hidden="false" customHeight="false" outlineLevel="0" collapsed="false">
      <c r="A37" s="4" t="n">
        <v>1</v>
      </c>
      <c r="B37" s="22"/>
      <c r="C37" s="22"/>
      <c r="D37" s="22"/>
      <c r="E37" s="22"/>
      <c r="F37" s="50" t="n">
        <f aca="false">IF(D37&gt;0,E37/D37*100,0)</f>
        <v>0</v>
      </c>
      <c r="G37" s="22"/>
      <c r="H37" s="52" t="n">
        <f aca="false">IF(E37&gt;0,G37/E37,0)</f>
        <v>0</v>
      </c>
      <c r="I37" s="22"/>
    </row>
    <row r="38" customFormat="false" ht="15" hidden="false" customHeight="false" outlineLevel="0" collapsed="false">
      <c r="A38" s="8" t="n">
        <v>2</v>
      </c>
      <c r="B38" s="20"/>
      <c r="C38" s="20"/>
      <c r="D38" s="20"/>
      <c r="E38" s="20"/>
      <c r="F38" s="47" t="n">
        <f aca="false">IF(D38&gt;0,E38/D38*100,0)</f>
        <v>0</v>
      </c>
      <c r="G38" s="20"/>
      <c r="H38" s="49" t="n">
        <f aca="false">IF(E38&gt;0,G38/E38,0)</f>
        <v>0</v>
      </c>
      <c r="I38" s="20"/>
    </row>
    <row r="39" customFormat="false" ht="15" hidden="false" customHeight="false" outlineLevel="0" collapsed="false">
      <c r="A39" s="4" t="n">
        <v>3</v>
      </c>
      <c r="B39" s="22"/>
      <c r="C39" s="22"/>
      <c r="D39" s="22"/>
      <c r="E39" s="22"/>
      <c r="F39" s="50" t="n">
        <f aca="false">IF(D39&gt;0,E39/D39*100,0)</f>
        <v>0</v>
      </c>
      <c r="G39" s="22"/>
      <c r="H39" s="52" t="n">
        <f aca="false">IF(E39&gt;0,G39/E39,0)</f>
        <v>0</v>
      </c>
      <c r="I39" s="22"/>
    </row>
    <row r="40" customFormat="false" ht="15" hidden="false" customHeight="false" outlineLevel="0" collapsed="false">
      <c r="A40" s="8" t="n">
        <v>4</v>
      </c>
      <c r="B40" s="20"/>
      <c r="C40" s="20"/>
      <c r="D40" s="20"/>
      <c r="E40" s="20"/>
      <c r="F40" s="47" t="n">
        <f aca="false">IF(D40&gt;0,E40/D40*100,0)</f>
        <v>0</v>
      </c>
      <c r="G40" s="20"/>
      <c r="H40" s="49" t="n">
        <f aca="false">IF(E40&gt;0,G40/E40,0)</f>
        <v>0</v>
      </c>
      <c r="I40" s="20"/>
    </row>
    <row r="41" customFormat="false" ht="15" hidden="false" customHeight="false" outlineLevel="0" collapsed="false">
      <c r="A41" s="4" t="n">
        <v>5</v>
      </c>
      <c r="B41" s="22"/>
      <c r="C41" s="22"/>
      <c r="D41" s="22"/>
      <c r="E41" s="22"/>
      <c r="F41" s="50" t="n">
        <f aca="false">IF(D41&gt;0,E41/D41*100,0)</f>
        <v>0</v>
      </c>
      <c r="G41" s="22"/>
      <c r="H41" s="52" t="n">
        <f aca="false">IF(E41&gt;0,G41/E41,0)</f>
        <v>0</v>
      </c>
      <c r="I41" s="22"/>
    </row>
    <row r="42" customFormat="false" ht="15" hidden="false" customHeight="false" outlineLevel="0" collapsed="false">
      <c r="A42" s="8" t="n">
        <v>6</v>
      </c>
      <c r="B42" s="20"/>
      <c r="C42" s="20"/>
      <c r="D42" s="20"/>
      <c r="E42" s="20"/>
      <c r="F42" s="47" t="n">
        <f aca="false">IF(D42&gt;0,E42/D42*100,0)</f>
        <v>0</v>
      </c>
      <c r="G42" s="20"/>
      <c r="H42" s="49" t="n">
        <f aca="false">IF(E42&gt;0,G42/E42,0)</f>
        <v>0</v>
      </c>
      <c r="I42" s="20"/>
    </row>
    <row r="43" customFormat="false" ht="15" hidden="false" customHeight="false" outlineLevel="0" collapsed="false">
      <c r="A43" s="4" t="n">
        <v>7</v>
      </c>
      <c r="B43" s="22"/>
      <c r="C43" s="22"/>
      <c r="D43" s="22"/>
      <c r="E43" s="22"/>
      <c r="F43" s="50" t="n">
        <f aca="false">IF(D43&gt;0,E43/D43*100,0)</f>
        <v>0</v>
      </c>
      <c r="G43" s="22"/>
      <c r="H43" s="52" t="n">
        <f aca="false">IF(E43&gt;0,G43/E43,0)</f>
        <v>0</v>
      </c>
      <c r="I43" s="22"/>
    </row>
    <row r="44" customFormat="false" ht="15" hidden="false" customHeight="false" outlineLevel="0" collapsed="false">
      <c r="A44" s="8" t="n">
        <v>8</v>
      </c>
      <c r="B44" s="20"/>
      <c r="C44" s="20"/>
      <c r="D44" s="20"/>
      <c r="E44" s="20"/>
      <c r="F44" s="47" t="n">
        <f aca="false">IF(D44&gt;0,E44/D44*100,0)</f>
        <v>0</v>
      </c>
      <c r="G44" s="20"/>
      <c r="H44" s="49" t="n">
        <f aca="false">IF(E44&gt;0,G44/E44,0)</f>
        <v>0</v>
      </c>
      <c r="I44" s="20"/>
    </row>
    <row r="45" customFormat="false" ht="15" hidden="false" customHeight="false" outlineLevel="0" collapsed="false">
      <c r="A45" s="4" t="n">
        <v>9</v>
      </c>
      <c r="B45" s="22"/>
      <c r="C45" s="22"/>
      <c r="D45" s="22"/>
      <c r="E45" s="22"/>
      <c r="F45" s="50" t="n">
        <f aca="false">IF(D45&gt;0,E45/D45*100,0)</f>
        <v>0</v>
      </c>
      <c r="G45" s="22"/>
      <c r="H45" s="52" t="n">
        <f aca="false">IF(E45&gt;0,G45/E45,0)</f>
        <v>0</v>
      </c>
      <c r="I45" s="22"/>
    </row>
    <row r="46" customFormat="false" ht="15" hidden="false" customHeight="false" outlineLevel="0" collapsed="false">
      <c r="A46" s="8" t="n">
        <v>10</v>
      </c>
      <c r="B46" s="20"/>
      <c r="C46" s="20"/>
      <c r="D46" s="20"/>
      <c r="E46" s="20"/>
      <c r="F46" s="47" t="n">
        <f aca="false">IF(D46&gt;0,E46/D46*100,0)</f>
        <v>0</v>
      </c>
      <c r="G46" s="20"/>
      <c r="H46" s="49" t="n">
        <f aca="false">IF(E46&gt;0,G46/E46,0)</f>
        <v>0</v>
      </c>
      <c r="I46" s="20"/>
    </row>
    <row r="47" customFormat="false" ht="15" hidden="false" customHeight="false" outlineLevel="0" collapsed="false">
      <c r="A47" s="4" t="n">
        <v>11</v>
      </c>
      <c r="B47" s="22"/>
      <c r="C47" s="22"/>
      <c r="D47" s="22"/>
      <c r="E47" s="22"/>
      <c r="F47" s="50" t="n">
        <f aca="false">IF(D47&gt;0,E47/D47*100,0)</f>
        <v>0</v>
      </c>
      <c r="G47" s="22"/>
      <c r="H47" s="52" t="n">
        <f aca="false">IF(E47&gt;0,G47/E47,0)</f>
        <v>0</v>
      </c>
      <c r="I47" s="22"/>
    </row>
    <row r="48" customFormat="false" ht="15" hidden="false" customHeight="false" outlineLevel="0" collapsed="false">
      <c r="A48" s="8" t="n">
        <v>12</v>
      </c>
      <c r="B48" s="20"/>
      <c r="C48" s="20"/>
      <c r="D48" s="20"/>
      <c r="E48" s="20"/>
      <c r="F48" s="47" t="n">
        <f aca="false">IF(D48&gt;0,E48/D48*100,0)</f>
        <v>0</v>
      </c>
      <c r="G48" s="20"/>
      <c r="H48" s="49" t="n">
        <f aca="false">IF(E48&gt;0,G48/E48,0)</f>
        <v>0</v>
      </c>
      <c r="I48" s="20"/>
    </row>
    <row r="49" customFormat="false" ht="15" hidden="false" customHeight="false" outlineLevel="0" collapsed="false">
      <c r="A49" s="4" t="n">
        <v>13</v>
      </c>
      <c r="B49" s="22"/>
      <c r="C49" s="22"/>
      <c r="D49" s="22"/>
      <c r="E49" s="22"/>
      <c r="F49" s="50" t="n">
        <f aca="false">IF(D49&gt;0,E49/D49*100,0)</f>
        <v>0</v>
      </c>
      <c r="G49" s="22"/>
      <c r="H49" s="52" t="n">
        <f aca="false">IF(E49&gt;0,G49/E49,0)</f>
        <v>0</v>
      </c>
      <c r="I49" s="22"/>
    </row>
    <row r="50" customFormat="false" ht="15" hidden="false" customHeight="false" outlineLevel="0" collapsed="false">
      <c r="A50" s="8" t="n">
        <v>14</v>
      </c>
      <c r="B50" s="20"/>
      <c r="C50" s="20"/>
      <c r="D50" s="20"/>
      <c r="E50" s="20"/>
      <c r="F50" s="47" t="n">
        <f aca="false">IF(D50&gt;0,E50/D50*100,0)</f>
        <v>0</v>
      </c>
      <c r="G50" s="20"/>
      <c r="H50" s="49" t="n">
        <f aca="false">IF(E50&gt;0,G50/E50,0)</f>
        <v>0</v>
      </c>
      <c r="I50" s="20"/>
    </row>
    <row r="51" customFormat="false" ht="15" hidden="false" customHeight="false" outlineLevel="0" collapsed="false">
      <c r="A51" s="4" t="n">
        <v>15</v>
      </c>
      <c r="B51" s="22"/>
      <c r="C51" s="22"/>
      <c r="D51" s="22"/>
      <c r="E51" s="22"/>
      <c r="F51" s="50" t="n">
        <f aca="false">IF(D51&gt;0,E51/D51*100,0)</f>
        <v>0</v>
      </c>
      <c r="G51" s="22"/>
      <c r="H51" s="52" t="n">
        <f aca="false">IF(E51&gt;0,G51/E51,0)</f>
        <v>0</v>
      </c>
      <c r="I51" s="22"/>
    </row>
    <row r="52" customFormat="false" ht="15" hidden="false" customHeight="false" outlineLevel="0" collapsed="false">
      <c r="A52" s="8" t="n">
        <v>16</v>
      </c>
      <c r="B52" s="20"/>
      <c r="C52" s="20"/>
      <c r="D52" s="20"/>
      <c r="E52" s="20"/>
      <c r="F52" s="47" t="n">
        <f aca="false">IF(D52&gt;0,E52/D52*100,0)</f>
        <v>0</v>
      </c>
      <c r="G52" s="20"/>
      <c r="H52" s="49" t="n">
        <f aca="false">IF(E52&gt;0,G52/E52,0)</f>
        <v>0</v>
      </c>
      <c r="I52" s="20"/>
    </row>
    <row r="53" customFormat="false" ht="15" hidden="false" customHeight="false" outlineLevel="0" collapsed="false">
      <c r="A53" s="4" t="n">
        <v>17</v>
      </c>
      <c r="B53" s="22"/>
      <c r="C53" s="22"/>
      <c r="D53" s="22"/>
      <c r="E53" s="22"/>
      <c r="F53" s="50" t="n">
        <f aca="false">IF(D53&gt;0,E53/D53*100,0)</f>
        <v>0</v>
      </c>
      <c r="G53" s="22"/>
      <c r="H53" s="52" t="n">
        <f aca="false">IF(E53&gt;0,G53/E53,0)</f>
        <v>0</v>
      </c>
      <c r="I53" s="22"/>
    </row>
    <row r="54" customFormat="false" ht="15" hidden="false" customHeight="false" outlineLevel="0" collapsed="false">
      <c r="A54" s="8" t="n">
        <v>18</v>
      </c>
      <c r="B54" s="20"/>
      <c r="C54" s="20"/>
      <c r="D54" s="20"/>
      <c r="E54" s="20"/>
      <c r="F54" s="47" t="n">
        <f aca="false">IF(D54&gt;0,E54/D54*100,0)</f>
        <v>0</v>
      </c>
      <c r="G54" s="20"/>
      <c r="H54" s="49" t="n">
        <f aca="false">IF(E54&gt;0,G54/E54,0)</f>
        <v>0</v>
      </c>
      <c r="I54" s="20"/>
    </row>
    <row r="55" customFormat="false" ht="15" hidden="false" customHeight="false" outlineLevel="0" collapsed="false">
      <c r="A55" s="4" t="n">
        <v>19</v>
      </c>
      <c r="B55" s="22"/>
      <c r="C55" s="22"/>
      <c r="D55" s="22"/>
      <c r="E55" s="22"/>
      <c r="F55" s="50" t="n">
        <f aca="false">IF(D55&gt;0,E55/D55*100,0)</f>
        <v>0</v>
      </c>
      <c r="G55" s="22"/>
      <c r="H55" s="52" t="n">
        <f aca="false">IF(E55&gt;0,G55/E55,0)</f>
        <v>0</v>
      </c>
      <c r="I55" s="22"/>
    </row>
    <row r="56" customFormat="false" ht="15" hidden="false" customHeight="false" outlineLevel="0" collapsed="false">
      <c r="A56" s="8" t="n">
        <v>20</v>
      </c>
      <c r="B56" s="20"/>
      <c r="C56" s="20"/>
      <c r="D56" s="20"/>
      <c r="E56" s="20"/>
      <c r="F56" s="47" t="n">
        <f aca="false">IF(D56&gt;0,E56/D56*100,0)</f>
        <v>0</v>
      </c>
      <c r="G56" s="20"/>
      <c r="H56" s="49" t="n">
        <f aca="false">IF(E56&gt;0,G56/E56,0)</f>
        <v>0</v>
      </c>
      <c r="I56" s="20"/>
    </row>
    <row r="57" customFormat="false" ht="15" hidden="false" customHeight="false" outlineLevel="0" collapsed="false">
      <c r="A57" s="4" t="n">
        <v>21</v>
      </c>
      <c r="B57" s="22"/>
      <c r="C57" s="22"/>
      <c r="D57" s="22"/>
      <c r="E57" s="22"/>
      <c r="F57" s="50" t="n">
        <f aca="false">IF(D57&gt;0,E57/D57*100,0)</f>
        <v>0</v>
      </c>
      <c r="G57" s="22"/>
      <c r="H57" s="52" t="n">
        <f aca="false">IF(E57&gt;0,G57/E57,0)</f>
        <v>0</v>
      </c>
      <c r="I57" s="22"/>
    </row>
    <row r="58" customFormat="false" ht="15" hidden="false" customHeight="false" outlineLevel="0" collapsed="false">
      <c r="A58" s="8" t="n">
        <v>22</v>
      </c>
      <c r="B58" s="20"/>
      <c r="C58" s="20"/>
      <c r="D58" s="20"/>
      <c r="E58" s="20"/>
      <c r="F58" s="47" t="n">
        <f aca="false">IF(D58&gt;0,E58/D58*100,0)</f>
        <v>0</v>
      </c>
      <c r="G58" s="20"/>
      <c r="H58" s="49" t="n">
        <f aca="false">IF(E58&gt;0,G58/E58,0)</f>
        <v>0</v>
      </c>
      <c r="I58" s="20"/>
    </row>
    <row r="59" customFormat="false" ht="15" hidden="false" customHeight="false" outlineLevel="0" collapsed="false">
      <c r="A59" s="4" t="n">
        <v>23</v>
      </c>
      <c r="B59" s="22"/>
      <c r="C59" s="22"/>
      <c r="D59" s="22"/>
      <c r="E59" s="22"/>
      <c r="F59" s="50" t="n">
        <f aca="false">IF(D59&gt;0,E59/D59*100,0)</f>
        <v>0</v>
      </c>
      <c r="G59" s="22"/>
      <c r="H59" s="52" t="n">
        <f aca="false">IF(E59&gt;0,G59/E59,0)</f>
        <v>0</v>
      </c>
      <c r="I59" s="22"/>
    </row>
    <row r="60" customFormat="false" ht="15" hidden="false" customHeight="false" outlineLevel="0" collapsed="false">
      <c r="A60" s="8" t="n">
        <v>24</v>
      </c>
      <c r="B60" s="20"/>
      <c r="C60" s="20"/>
      <c r="D60" s="20"/>
      <c r="E60" s="20"/>
      <c r="F60" s="47" t="n">
        <f aca="false">IF(D60&gt;0,E60/D60*100,0)</f>
        <v>0</v>
      </c>
      <c r="G60" s="20"/>
      <c r="H60" s="49" t="n">
        <f aca="false">IF(E60&gt;0,G60/E60,0)</f>
        <v>0</v>
      </c>
      <c r="I60" s="20"/>
    </row>
    <row r="61" customFormat="false" ht="15" hidden="false" customHeight="false" outlineLevel="0" collapsed="false">
      <c r="A61" s="4" t="n">
        <v>25</v>
      </c>
      <c r="B61" s="22"/>
      <c r="C61" s="22"/>
      <c r="D61" s="22"/>
      <c r="E61" s="22"/>
      <c r="F61" s="50" t="n">
        <f aca="false">IF(D61&gt;0,E61/D61*100,0)</f>
        <v>0</v>
      </c>
      <c r="G61" s="22"/>
      <c r="H61" s="52" t="n">
        <f aca="false">IF(E61&gt;0,G61/E61,0)</f>
        <v>0</v>
      </c>
      <c r="I61" s="22"/>
    </row>
    <row r="62" customFormat="false" ht="15" hidden="false" customHeight="false" outlineLevel="0" collapsed="false">
      <c r="A62" s="8" t="n">
        <v>26</v>
      </c>
      <c r="B62" s="20"/>
      <c r="C62" s="20"/>
      <c r="D62" s="20"/>
      <c r="E62" s="20"/>
      <c r="F62" s="47" t="n">
        <f aca="false">IF(D62&gt;0,E62/D62*100,0)</f>
        <v>0</v>
      </c>
      <c r="G62" s="20"/>
      <c r="H62" s="49" t="n">
        <f aca="false">IF(E62&gt;0,G62/E62,0)</f>
        <v>0</v>
      </c>
      <c r="I62" s="20"/>
    </row>
    <row r="63" customFormat="false" ht="15" hidden="false" customHeight="false" outlineLevel="0" collapsed="false">
      <c r="A63" s="4" t="n">
        <v>27</v>
      </c>
      <c r="B63" s="22"/>
      <c r="C63" s="22"/>
      <c r="D63" s="22"/>
      <c r="E63" s="22"/>
      <c r="F63" s="50" t="n">
        <f aca="false">IF(D63&gt;0,E63/D63*100,0)</f>
        <v>0</v>
      </c>
      <c r="G63" s="22"/>
      <c r="H63" s="52" t="n">
        <f aca="false">IF(E63&gt;0,G63/E63,0)</f>
        <v>0</v>
      </c>
      <c r="I63" s="22"/>
    </row>
    <row r="64" customFormat="false" ht="15" hidden="false" customHeight="false" outlineLevel="0" collapsed="false">
      <c r="A64" s="8" t="n">
        <v>28</v>
      </c>
      <c r="B64" s="20"/>
      <c r="C64" s="20"/>
      <c r="D64" s="20"/>
      <c r="E64" s="20"/>
      <c r="F64" s="47" t="n">
        <f aca="false">IF(D64&gt;0,E64/D64*100,0)</f>
        <v>0</v>
      </c>
      <c r="G64" s="20"/>
      <c r="H64" s="49" t="n">
        <f aca="false">IF(E64&gt;0,G64/E64,0)</f>
        <v>0</v>
      </c>
      <c r="I64" s="20"/>
    </row>
    <row r="65" customFormat="false" ht="15" hidden="false" customHeight="false" outlineLevel="0" collapsed="false">
      <c r="A65" s="4" t="n">
        <v>29</v>
      </c>
      <c r="B65" s="22"/>
      <c r="C65" s="22"/>
      <c r="D65" s="22"/>
      <c r="E65" s="22"/>
      <c r="F65" s="50" t="n">
        <f aca="false">IF(D65&gt;0,E65/D65*100,0)</f>
        <v>0</v>
      </c>
      <c r="G65" s="22"/>
      <c r="H65" s="52" t="n">
        <f aca="false">IF(E65&gt;0,G65/E65,0)</f>
        <v>0</v>
      </c>
      <c r="I65" s="22"/>
    </row>
    <row r="66" customFormat="false" ht="15" hidden="false" customHeight="false" outlineLevel="0" collapsed="false">
      <c r="A66" s="8" t="n">
        <v>30</v>
      </c>
      <c r="B66" s="20"/>
      <c r="C66" s="20"/>
      <c r="D66" s="20"/>
      <c r="E66" s="20"/>
      <c r="F66" s="47" t="n">
        <f aca="false">IF(D66&gt;0,E66/D66*100,0)</f>
        <v>0</v>
      </c>
      <c r="G66" s="20"/>
      <c r="H66" s="49" t="n">
        <f aca="false">IF(E66&gt;0,G66/E66,0)</f>
        <v>0</v>
      </c>
      <c r="I66" s="20"/>
    </row>
  </sheetData>
  <mergeCells count="3">
    <mergeCell ref="A1:I1"/>
    <mergeCell ref="A2:I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55" t="s">
        <v>119</v>
      </c>
      <c r="B1" s="55"/>
      <c r="C1" s="55"/>
      <c r="D1" s="55"/>
      <c r="E1" s="55"/>
    </row>
    <row r="2" customFormat="false" ht="25.5" hidden="false" customHeight="true" outlineLevel="0" collapsed="false">
      <c r="A2" s="56" t="s">
        <v>120</v>
      </c>
      <c r="B2" s="56"/>
      <c r="C2" s="56"/>
      <c r="D2" s="56"/>
      <c r="E2" s="56"/>
    </row>
    <row r="3" customFormat="false" ht="15" hidden="false" customHeight="false" outlineLevel="0" collapsed="false">
      <c r="A3" s="57" t="s">
        <v>2</v>
      </c>
      <c r="B3" s="57" t="s">
        <v>121</v>
      </c>
      <c r="C3" s="57" t="s">
        <v>122</v>
      </c>
      <c r="D3" s="57" t="s">
        <v>123</v>
      </c>
      <c r="E3" s="57" t="s">
        <v>124</v>
      </c>
    </row>
    <row r="4" customFormat="false" ht="27.75" hidden="false" customHeight="true" outlineLevel="0" collapsed="false">
      <c r="A4" s="8" t="n">
        <v>1</v>
      </c>
      <c r="B4" s="11" t="s">
        <v>125</v>
      </c>
      <c r="C4" s="10" t="s">
        <v>126</v>
      </c>
      <c r="D4" s="58" t="s">
        <v>127</v>
      </c>
      <c r="E4" s="10" t="s">
        <v>128</v>
      </c>
    </row>
    <row r="5" customFormat="false" ht="27.75" hidden="false" customHeight="true" outlineLevel="0" collapsed="false">
      <c r="A5" s="4" t="n">
        <v>2</v>
      </c>
      <c r="B5" s="7" t="s">
        <v>125</v>
      </c>
      <c r="C5" s="6" t="s">
        <v>129</v>
      </c>
      <c r="D5" s="58" t="s">
        <v>127</v>
      </c>
      <c r="E5" s="6" t="s">
        <v>130</v>
      </c>
    </row>
    <row r="6" customFormat="false" ht="27.75" hidden="false" customHeight="true" outlineLevel="0" collapsed="false">
      <c r="A6" s="8" t="n">
        <v>3</v>
      </c>
      <c r="B6" s="11" t="s">
        <v>125</v>
      </c>
      <c r="C6" s="10" t="s">
        <v>131</v>
      </c>
      <c r="D6" s="58" t="s">
        <v>127</v>
      </c>
      <c r="E6" s="10" t="s">
        <v>132</v>
      </c>
    </row>
    <row r="7" customFormat="false" ht="27.75" hidden="false" customHeight="true" outlineLevel="0" collapsed="false">
      <c r="A7" s="4" t="n">
        <v>4</v>
      </c>
      <c r="B7" s="7" t="s">
        <v>125</v>
      </c>
      <c r="C7" s="6" t="s">
        <v>133</v>
      </c>
      <c r="D7" s="58" t="s">
        <v>127</v>
      </c>
      <c r="E7" s="6" t="s">
        <v>134</v>
      </c>
    </row>
    <row r="8" customFormat="false" ht="27.75" hidden="false" customHeight="true" outlineLevel="0" collapsed="false">
      <c r="A8" s="8" t="n">
        <v>5</v>
      </c>
      <c r="B8" s="11" t="s">
        <v>125</v>
      </c>
      <c r="C8" s="10" t="s">
        <v>135</v>
      </c>
      <c r="D8" s="58" t="s">
        <v>127</v>
      </c>
      <c r="E8" s="10" t="s">
        <v>136</v>
      </c>
    </row>
    <row r="9" customFormat="false" ht="27.75" hidden="false" customHeight="true" outlineLevel="0" collapsed="false">
      <c r="A9" s="4" t="n">
        <v>6</v>
      </c>
      <c r="B9" s="7" t="s">
        <v>125</v>
      </c>
      <c r="C9" s="6" t="s">
        <v>137</v>
      </c>
      <c r="D9" s="58" t="s">
        <v>127</v>
      </c>
      <c r="E9" s="6" t="s">
        <v>138</v>
      </c>
    </row>
    <row r="10" customFormat="false" ht="27.75" hidden="false" customHeight="true" outlineLevel="0" collapsed="false">
      <c r="A10" s="8" t="n">
        <v>7</v>
      </c>
      <c r="B10" s="11" t="s">
        <v>139</v>
      </c>
      <c r="C10" s="10" t="s">
        <v>140</v>
      </c>
      <c r="D10" s="59" t="s">
        <v>141</v>
      </c>
      <c r="E10" s="10" t="s">
        <v>142</v>
      </c>
    </row>
    <row r="11" customFormat="false" ht="27.75" hidden="false" customHeight="true" outlineLevel="0" collapsed="false">
      <c r="A11" s="4" t="n">
        <v>8</v>
      </c>
      <c r="B11" s="7" t="s">
        <v>139</v>
      </c>
      <c r="C11" s="6" t="s">
        <v>143</v>
      </c>
      <c r="D11" s="59" t="s">
        <v>141</v>
      </c>
      <c r="E11" s="6" t="s">
        <v>144</v>
      </c>
    </row>
    <row r="12" customFormat="false" ht="27.75" hidden="false" customHeight="true" outlineLevel="0" collapsed="false">
      <c r="A12" s="8" t="n">
        <v>9</v>
      </c>
      <c r="B12" s="11" t="s">
        <v>139</v>
      </c>
      <c r="C12" s="10" t="s">
        <v>145</v>
      </c>
      <c r="D12" s="59" t="s">
        <v>141</v>
      </c>
      <c r="E12" s="10" t="s">
        <v>146</v>
      </c>
    </row>
    <row r="13" customFormat="false" ht="27.75" hidden="false" customHeight="true" outlineLevel="0" collapsed="false">
      <c r="A13" s="4" t="n">
        <v>10</v>
      </c>
      <c r="B13" s="7" t="s">
        <v>139</v>
      </c>
      <c r="C13" s="6" t="s">
        <v>147</v>
      </c>
      <c r="D13" s="59" t="s">
        <v>141</v>
      </c>
      <c r="E13" s="6" t="s">
        <v>148</v>
      </c>
    </row>
    <row r="14" customFormat="false" ht="27.75" hidden="false" customHeight="true" outlineLevel="0" collapsed="false">
      <c r="A14" s="8" t="n">
        <v>11</v>
      </c>
      <c r="B14" s="11" t="s">
        <v>139</v>
      </c>
      <c r="C14" s="10" t="s">
        <v>149</v>
      </c>
      <c r="D14" s="59" t="s">
        <v>141</v>
      </c>
      <c r="E14" s="10" t="s">
        <v>142</v>
      </c>
    </row>
    <row r="15" customFormat="false" ht="27.75" hidden="false" customHeight="true" outlineLevel="0" collapsed="false">
      <c r="A15" s="4" t="n">
        <v>12</v>
      </c>
      <c r="B15" s="7" t="s">
        <v>139</v>
      </c>
      <c r="C15" s="6" t="s">
        <v>150</v>
      </c>
      <c r="D15" s="59" t="s">
        <v>141</v>
      </c>
      <c r="E15" s="6" t="s">
        <v>151</v>
      </c>
    </row>
    <row r="16" customFormat="false" ht="27.75" hidden="false" customHeight="true" outlineLevel="0" collapsed="false">
      <c r="A16" s="8" t="n">
        <v>13</v>
      </c>
      <c r="B16" s="11" t="s">
        <v>139</v>
      </c>
      <c r="C16" s="10" t="s">
        <v>152</v>
      </c>
      <c r="D16" s="59" t="s">
        <v>141</v>
      </c>
      <c r="E16" s="10" t="s">
        <v>142</v>
      </c>
    </row>
    <row r="17" customFormat="false" ht="27.75" hidden="false" customHeight="true" outlineLevel="0" collapsed="false">
      <c r="A17" s="4" t="n">
        <v>14</v>
      </c>
      <c r="B17" s="7" t="s">
        <v>139</v>
      </c>
      <c r="C17" s="6" t="s">
        <v>153</v>
      </c>
      <c r="D17" s="59" t="s">
        <v>141</v>
      </c>
      <c r="E17" s="6" t="s">
        <v>154</v>
      </c>
    </row>
    <row r="18" customFormat="false" ht="27.75" hidden="false" customHeight="true" outlineLevel="0" collapsed="false">
      <c r="A18" s="8" t="n">
        <v>15</v>
      </c>
      <c r="B18" s="11" t="s">
        <v>139</v>
      </c>
      <c r="C18" s="10" t="s">
        <v>155</v>
      </c>
      <c r="D18" s="59" t="s">
        <v>141</v>
      </c>
      <c r="E18" s="10" t="s">
        <v>151</v>
      </c>
    </row>
    <row r="19" customFormat="false" ht="27.75" hidden="false" customHeight="true" outlineLevel="0" collapsed="false">
      <c r="A19" s="4" t="n">
        <v>16</v>
      </c>
      <c r="B19" s="7" t="s">
        <v>156</v>
      </c>
      <c r="C19" s="6" t="s">
        <v>157</v>
      </c>
      <c r="D19" s="58" t="s">
        <v>127</v>
      </c>
      <c r="E19" s="6" t="s">
        <v>158</v>
      </c>
    </row>
    <row r="20" customFormat="false" ht="27.75" hidden="false" customHeight="true" outlineLevel="0" collapsed="false">
      <c r="A20" s="8" t="n">
        <v>17</v>
      </c>
      <c r="B20" s="11" t="s">
        <v>156</v>
      </c>
      <c r="C20" s="10" t="s">
        <v>159</v>
      </c>
      <c r="D20" s="58" t="s">
        <v>127</v>
      </c>
      <c r="E20" s="10" t="s">
        <v>160</v>
      </c>
    </row>
    <row r="21" customFormat="false" ht="27.75" hidden="false" customHeight="true" outlineLevel="0" collapsed="false">
      <c r="A21" s="4" t="n">
        <v>18</v>
      </c>
      <c r="B21" s="7" t="s">
        <v>156</v>
      </c>
      <c r="C21" s="6" t="s">
        <v>161</v>
      </c>
      <c r="D21" s="60" t="s">
        <v>162</v>
      </c>
      <c r="E21" s="6" t="s">
        <v>163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61" t="s">
        <v>164</v>
      </c>
      <c r="B1" s="61"/>
      <c r="C1" s="61"/>
      <c r="D1" s="61"/>
      <c r="E1" s="61"/>
      <c r="F1" s="61"/>
      <c r="G1" s="61"/>
    </row>
    <row r="3" customFormat="false" ht="15" hidden="false" customHeight="false" outlineLevel="0" collapsed="false">
      <c r="A3" s="54" t="s">
        <v>2</v>
      </c>
      <c r="B3" s="54" t="s">
        <v>57</v>
      </c>
      <c r="C3" s="54" t="s">
        <v>165</v>
      </c>
      <c r="D3" s="54" t="s">
        <v>166</v>
      </c>
      <c r="E3" s="54" t="s">
        <v>167</v>
      </c>
      <c r="F3" s="54" t="s">
        <v>168</v>
      </c>
      <c r="G3" s="54" t="s">
        <v>169</v>
      </c>
    </row>
    <row r="4" customFormat="false" ht="27.75" hidden="false" customHeight="true" outlineLevel="0" collapsed="false">
      <c r="A4" s="8" t="n">
        <v>1</v>
      </c>
      <c r="B4" s="20"/>
      <c r="C4" s="10" t="s">
        <v>170</v>
      </c>
      <c r="D4" s="11" t="s">
        <v>171</v>
      </c>
      <c r="E4" s="20"/>
      <c r="F4" s="20"/>
      <c r="G4" s="20"/>
    </row>
    <row r="5" customFormat="false" ht="27.75" hidden="false" customHeight="true" outlineLevel="0" collapsed="false">
      <c r="A5" s="4" t="n">
        <v>2</v>
      </c>
      <c r="B5" s="22"/>
      <c r="C5" s="6" t="s">
        <v>172</v>
      </c>
      <c r="D5" s="7" t="s">
        <v>171</v>
      </c>
      <c r="E5" s="22"/>
      <c r="F5" s="22"/>
      <c r="G5" s="22"/>
    </row>
    <row r="6" customFormat="false" ht="27.75" hidden="false" customHeight="true" outlineLevel="0" collapsed="false">
      <c r="A6" s="8" t="n">
        <v>3</v>
      </c>
      <c r="B6" s="20"/>
      <c r="C6" s="10" t="s">
        <v>173</v>
      </c>
      <c r="D6" s="11" t="s">
        <v>171</v>
      </c>
      <c r="E6" s="20"/>
      <c r="F6" s="20"/>
      <c r="G6" s="20"/>
    </row>
    <row r="7" customFormat="false" ht="27.75" hidden="false" customHeight="true" outlineLevel="0" collapsed="false">
      <c r="A7" s="4" t="n">
        <v>4</v>
      </c>
      <c r="B7" s="22"/>
      <c r="C7" s="6" t="s">
        <v>174</v>
      </c>
      <c r="D7" s="7" t="s">
        <v>171</v>
      </c>
      <c r="E7" s="22"/>
      <c r="F7" s="22"/>
      <c r="G7" s="22"/>
    </row>
    <row r="8" customFormat="false" ht="27.75" hidden="false" customHeight="true" outlineLevel="0" collapsed="false">
      <c r="A8" s="8" t="n">
        <v>5</v>
      </c>
      <c r="B8" s="20"/>
      <c r="C8" s="10" t="s">
        <v>175</v>
      </c>
      <c r="D8" s="11" t="s">
        <v>176</v>
      </c>
      <c r="E8" s="20"/>
      <c r="F8" s="20"/>
      <c r="G8" s="20"/>
    </row>
    <row r="9" customFormat="false" ht="27.75" hidden="false" customHeight="true" outlineLevel="0" collapsed="false">
      <c r="A9" s="4" t="n">
        <v>6</v>
      </c>
      <c r="B9" s="22"/>
      <c r="C9" s="6" t="s">
        <v>177</v>
      </c>
      <c r="D9" s="7" t="s">
        <v>176</v>
      </c>
      <c r="E9" s="22"/>
      <c r="F9" s="22"/>
      <c r="G9" s="22"/>
    </row>
    <row r="10" customFormat="false" ht="27.75" hidden="false" customHeight="true" outlineLevel="0" collapsed="false">
      <c r="A10" s="8" t="n">
        <v>7</v>
      </c>
      <c r="B10" s="20"/>
      <c r="C10" s="10" t="s">
        <v>178</v>
      </c>
      <c r="D10" s="11" t="s">
        <v>176</v>
      </c>
      <c r="E10" s="20"/>
      <c r="F10" s="20"/>
      <c r="G10" s="20"/>
    </row>
    <row r="11" customFormat="false" ht="27.75" hidden="false" customHeight="true" outlineLevel="0" collapsed="false">
      <c r="A11" s="4" t="n">
        <v>8</v>
      </c>
      <c r="B11" s="22"/>
      <c r="C11" s="6" t="s">
        <v>179</v>
      </c>
      <c r="D11" s="7" t="s">
        <v>176</v>
      </c>
      <c r="E11" s="22"/>
      <c r="F11" s="22"/>
      <c r="G11" s="22"/>
    </row>
    <row r="12" customFormat="false" ht="27.75" hidden="false" customHeight="true" outlineLevel="0" collapsed="false">
      <c r="A12" s="8" t="n">
        <v>9</v>
      </c>
      <c r="B12" s="20"/>
      <c r="C12" s="10" t="s">
        <v>180</v>
      </c>
      <c r="D12" s="11" t="s">
        <v>176</v>
      </c>
      <c r="E12" s="20"/>
      <c r="F12" s="20"/>
      <c r="G12" s="20"/>
    </row>
    <row r="13" customFormat="false" ht="27.75" hidden="false" customHeight="true" outlineLevel="0" collapsed="false">
      <c r="A13" s="4" t="n">
        <v>10</v>
      </c>
      <c r="B13" s="22"/>
      <c r="C13" s="6" t="s">
        <v>181</v>
      </c>
      <c r="D13" s="7" t="s">
        <v>176</v>
      </c>
      <c r="E13" s="22"/>
      <c r="F13" s="22"/>
      <c r="G13" s="22"/>
    </row>
    <row r="14" customFormat="false" ht="27.75" hidden="false" customHeight="true" outlineLevel="0" collapsed="false">
      <c r="A14" s="8" t="n">
        <v>11</v>
      </c>
      <c r="B14" s="20"/>
      <c r="C14" s="10" t="s">
        <v>182</v>
      </c>
      <c r="D14" s="11" t="s">
        <v>183</v>
      </c>
      <c r="E14" s="20"/>
      <c r="F14" s="20"/>
      <c r="G14" s="20"/>
    </row>
    <row r="15" customFormat="false" ht="27.75" hidden="false" customHeight="true" outlineLevel="0" collapsed="false">
      <c r="A15" s="4" t="n">
        <v>12</v>
      </c>
      <c r="B15" s="22"/>
      <c r="C15" s="6" t="s">
        <v>184</v>
      </c>
      <c r="D15" s="7" t="s">
        <v>183</v>
      </c>
      <c r="E15" s="22"/>
      <c r="F15" s="22"/>
      <c r="G15" s="22"/>
    </row>
    <row r="16" customFormat="false" ht="27.75" hidden="false" customHeight="true" outlineLevel="0" collapsed="false">
      <c r="A16" s="8" t="n">
        <v>13</v>
      </c>
      <c r="B16" s="20"/>
      <c r="C16" s="10" t="s">
        <v>185</v>
      </c>
      <c r="D16" s="11" t="s">
        <v>183</v>
      </c>
      <c r="E16" s="20"/>
      <c r="F16" s="20"/>
      <c r="G16" s="20"/>
    </row>
    <row r="18" customFormat="false" ht="25.5" hidden="false" customHeight="true" outlineLevel="0" collapsed="false">
      <c r="A18" s="41" t="s">
        <v>186</v>
      </c>
      <c r="B18" s="41"/>
      <c r="C18" s="41"/>
      <c r="D18" s="41"/>
      <c r="E18" s="41"/>
      <c r="F18" s="41"/>
      <c r="G18" s="41"/>
    </row>
    <row r="19" customFormat="false" ht="15" hidden="false" customHeight="true" outlineLevel="0" collapsed="false">
      <c r="A19" s="37" t="s">
        <v>187</v>
      </c>
      <c r="B19" s="37"/>
      <c r="C19" s="37"/>
      <c r="D19" s="62" t="n">
        <f aca="false">COUNTIF(E4:E16,"Done")</f>
        <v>0</v>
      </c>
      <c r="E19" s="39"/>
      <c r="F19" s="39"/>
      <c r="G19" s="39"/>
    </row>
    <row r="20" customFormat="false" ht="15" hidden="false" customHeight="true" outlineLevel="0" collapsed="false">
      <c r="A20" s="37" t="s">
        <v>188</v>
      </c>
      <c r="B20" s="37"/>
      <c r="C20" s="37"/>
      <c r="D20" s="62" t="n">
        <f aca="false">COUNTIF(E4:E16,"IP")</f>
        <v>0</v>
      </c>
      <c r="E20" s="39"/>
      <c r="F20" s="39"/>
      <c r="G20" s="39"/>
    </row>
    <row r="21" customFormat="false" ht="15" hidden="false" customHeight="true" outlineLevel="0" collapsed="false">
      <c r="A21" s="37" t="s">
        <v>189</v>
      </c>
      <c r="B21" s="37"/>
      <c r="C21" s="37"/>
      <c r="D21" s="62" t="n">
        <f aca="false">IFERROR(COUNTIF(E4:E16,"Done")/13*100,0)</f>
        <v>0</v>
      </c>
      <c r="E21" s="39"/>
      <c r="F21" s="39"/>
      <c r="G21" s="39"/>
    </row>
  </sheetData>
  <mergeCells count="5">
    <mergeCell ref="A1:G1"/>
    <mergeCell ref="A18:G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30" t="s">
        <v>190</v>
      </c>
      <c r="B1" s="30"/>
      <c r="C1" s="30"/>
      <c r="D1" s="30"/>
      <c r="E1" s="30"/>
      <c r="F1" s="30"/>
      <c r="G1" s="30"/>
    </row>
    <row r="3" customFormat="false" ht="23.85" hidden="false" customHeight="false" outlineLevel="0" collapsed="false">
      <c r="A3" s="32" t="s">
        <v>56</v>
      </c>
      <c r="B3" s="32" t="s">
        <v>191</v>
      </c>
      <c r="C3" s="32" t="s">
        <v>78</v>
      </c>
      <c r="D3" s="32" t="s">
        <v>105</v>
      </c>
      <c r="E3" s="32" t="s">
        <v>192</v>
      </c>
      <c r="F3" s="32" t="s">
        <v>193</v>
      </c>
      <c r="G3" s="32" t="s">
        <v>194</v>
      </c>
    </row>
    <row r="4" customFormat="false" ht="15" hidden="false" customHeight="false" outlineLevel="0" collapsed="false">
      <c r="A4" s="14" t="n">
        <v>1</v>
      </c>
      <c r="B4" s="15" t="s">
        <v>195</v>
      </c>
      <c r="C4" s="63"/>
      <c r="D4" s="63"/>
      <c r="E4" s="63"/>
      <c r="F4" s="63"/>
      <c r="G4" s="14" t="s">
        <v>196</v>
      </c>
    </row>
    <row r="5" customFormat="false" ht="15" hidden="false" customHeight="false" outlineLevel="0" collapsed="false">
      <c r="A5" s="4" t="n">
        <v>2</v>
      </c>
      <c r="B5" s="5" t="s">
        <v>197</v>
      </c>
      <c r="C5" s="22"/>
      <c r="D5" s="22"/>
      <c r="E5" s="22"/>
      <c r="F5" s="22"/>
      <c r="G5" s="4" t="s">
        <v>198</v>
      </c>
    </row>
    <row r="6" customFormat="false" ht="15" hidden="false" customHeight="false" outlineLevel="0" collapsed="false">
      <c r="A6" s="8" t="n">
        <v>3</v>
      </c>
      <c r="B6" s="9" t="s">
        <v>199</v>
      </c>
      <c r="C6" s="20"/>
      <c r="D6" s="20"/>
      <c r="E6" s="20"/>
      <c r="F6" s="20"/>
      <c r="G6" s="8" t="s">
        <v>200</v>
      </c>
    </row>
    <row r="7" customFormat="false" ht="15" hidden="false" customHeight="false" outlineLevel="0" collapsed="false">
      <c r="A7" s="4" t="n">
        <v>4</v>
      </c>
      <c r="B7" s="5" t="s">
        <v>201</v>
      </c>
      <c r="C7" s="22"/>
      <c r="D7" s="22"/>
      <c r="E7" s="22"/>
      <c r="F7" s="22"/>
      <c r="G7" s="4" t="s">
        <v>202</v>
      </c>
    </row>
    <row r="8" customFormat="false" ht="15" hidden="false" customHeight="false" outlineLevel="0" collapsed="false">
      <c r="A8" s="8" t="n">
        <v>1</v>
      </c>
      <c r="B8" s="20"/>
      <c r="C8" s="20"/>
      <c r="D8" s="20"/>
      <c r="E8" s="20"/>
      <c r="F8" s="20"/>
      <c r="G8" s="20"/>
    </row>
    <row r="9" customFormat="false" ht="15" hidden="false" customHeight="false" outlineLevel="0" collapsed="false">
      <c r="A9" s="4" t="n">
        <v>2</v>
      </c>
      <c r="B9" s="22"/>
      <c r="C9" s="22"/>
      <c r="D9" s="22"/>
      <c r="E9" s="22"/>
      <c r="F9" s="22"/>
      <c r="G9" s="22"/>
    </row>
    <row r="10" customFormat="false" ht="15" hidden="false" customHeight="false" outlineLevel="0" collapsed="false">
      <c r="A10" s="8" t="n">
        <v>3</v>
      </c>
      <c r="B10" s="20"/>
      <c r="C10" s="20"/>
      <c r="D10" s="20"/>
      <c r="E10" s="20"/>
      <c r="F10" s="20"/>
      <c r="G10" s="20"/>
    </row>
    <row r="11" customFormat="false" ht="15" hidden="false" customHeight="false" outlineLevel="0" collapsed="false">
      <c r="A11" s="4" t="n">
        <v>4</v>
      </c>
      <c r="B11" s="22"/>
      <c r="C11" s="22"/>
      <c r="D11" s="22"/>
      <c r="E11" s="22"/>
      <c r="F11" s="22"/>
      <c r="G11" s="22"/>
    </row>
    <row r="12" customFormat="false" ht="15" hidden="false" customHeight="false" outlineLevel="0" collapsed="false">
      <c r="A12" s="8" t="n">
        <v>5</v>
      </c>
      <c r="B12" s="20"/>
      <c r="C12" s="20"/>
      <c r="D12" s="20"/>
      <c r="E12" s="20"/>
      <c r="F12" s="20"/>
      <c r="G12" s="20"/>
    </row>
    <row r="13" customFormat="false" ht="15" hidden="false" customHeight="false" outlineLevel="0" collapsed="false">
      <c r="A13" s="4" t="n">
        <v>6</v>
      </c>
      <c r="B13" s="22"/>
      <c r="C13" s="22"/>
      <c r="D13" s="22"/>
      <c r="E13" s="22"/>
      <c r="F13" s="22"/>
      <c r="G13" s="22"/>
    </row>
    <row r="14" customFormat="false" ht="15" hidden="false" customHeight="false" outlineLevel="0" collapsed="false">
      <c r="A14" s="8" t="n">
        <v>7</v>
      </c>
      <c r="B14" s="20"/>
      <c r="C14" s="20"/>
      <c r="D14" s="20"/>
      <c r="E14" s="20"/>
      <c r="F14" s="20"/>
      <c r="G14" s="20"/>
    </row>
    <row r="15" customFormat="false" ht="15" hidden="false" customHeight="false" outlineLevel="0" collapsed="false">
      <c r="A15" s="4" t="n">
        <v>8</v>
      </c>
      <c r="B15" s="22"/>
      <c r="C15" s="22"/>
      <c r="D15" s="22"/>
      <c r="E15" s="22"/>
      <c r="F15" s="22"/>
      <c r="G15" s="22"/>
    </row>
    <row r="16" customFormat="false" ht="15" hidden="false" customHeight="false" outlineLevel="0" collapsed="false">
      <c r="A16" s="8" t="n">
        <v>9</v>
      </c>
      <c r="B16" s="20"/>
      <c r="C16" s="20"/>
      <c r="D16" s="20"/>
      <c r="E16" s="20"/>
      <c r="F16" s="20"/>
      <c r="G16" s="20"/>
    </row>
    <row r="17" customFormat="false" ht="15" hidden="false" customHeight="false" outlineLevel="0" collapsed="false">
      <c r="A17" s="4" t="n">
        <v>10</v>
      </c>
      <c r="B17" s="22"/>
      <c r="C17" s="22"/>
      <c r="D17" s="22"/>
      <c r="E17" s="22"/>
      <c r="F17" s="22"/>
      <c r="G17" s="22"/>
    </row>
    <row r="18" customFormat="false" ht="15" hidden="false" customHeight="false" outlineLevel="0" collapsed="false">
      <c r="A18" s="8" t="n">
        <v>11</v>
      </c>
      <c r="B18" s="20"/>
      <c r="C18" s="20"/>
      <c r="D18" s="20"/>
      <c r="E18" s="20"/>
      <c r="F18" s="20"/>
      <c r="G18" s="20"/>
    </row>
    <row r="19" customFormat="false" ht="15" hidden="false" customHeight="false" outlineLevel="0" collapsed="false">
      <c r="A19" s="4" t="n">
        <v>12</v>
      </c>
      <c r="B19" s="22"/>
      <c r="C19" s="22"/>
      <c r="D19" s="22"/>
      <c r="E19" s="22"/>
      <c r="F19" s="22"/>
      <c r="G19" s="22"/>
    </row>
    <row r="20" customFormat="false" ht="15" hidden="false" customHeight="false" outlineLevel="0" collapsed="false">
      <c r="A20" s="8" t="n">
        <v>13</v>
      </c>
      <c r="B20" s="20"/>
      <c r="C20" s="20"/>
      <c r="D20" s="20"/>
      <c r="E20" s="20"/>
      <c r="F20" s="20"/>
      <c r="G20" s="20"/>
    </row>
    <row r="21" customFormat="false" ht="15" hidden="false" customHeight="false" outlineLevel="0" collapsed="false">
      <c r="A21" s="4" t="n">
        <v>14</v>
      </c>
      <c r="B21" s="22"/>
      <c r="C21" s="22"/>
      <c r="D21" s="22"/>
      <c r="E21" s="22"/>
      <c r="F21" s="22"/>
      <c r="G21" s="22"/>
    </row>
    <row r="22" customFormat="false" ht="15" hidden="false" customHeight="false" outlineLevel="0" collapsed="false">
      <c r="A22" s="8" t="n">
        <v>15</v>
      </c>
      <c r="B22" s="20"/>
      <c r="C22" s="20"/>
      <c r="D22" s="20"/>
      <c r="E22" s="20"/>
      <c r="F22" s="20"/>
      <c r="G22" s="2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55" t="s">
        <v>203</v>
      </c>
      <c r="B1" s="55"/>
      <c r="C1" s="55"/>
      <c r="D1" s="55"/>
      <c r="E1" s="55"/>
      <c r="F1" s="55"/>
    </row>
    <row r="3" customFormat="false" ht="15" hidden="false" customHeight="false" outlineLevel="0" collapsed="false">
      <c r="A3" s="57" t="s">
        <v>2</v>
      </c>
      <c r="B3" s="57" t="s">
        <v>204</v>
      </c>
      <c r="C3" s="57" t="s">
        <v>205</v>
      </c>
      <c r="D3" s="57" t="s">
        <v>206</v>
      </c>
      <c r="E3" s="57" t="s">
        <v>207</v>
      </c>
      <c r="F3" s="57" t="s">
        <v>208</v>
      </c>
    </row>
    <row r="4" customFormat="false" ht="49.5" hidden="false" customHeight="true" outlineLevel="0" collapsed="false">
      <c r="A4" s="8" t="n">
        <v>1</v>
      </c>
      <c r="B4" s="9" t="s">
        <v>209</v>
      </c>
      <c r="C4" s="11" t="s">
        <v>210</v>
      </c>
      <c r="D4" s="10" t="s">
        <v>211</v>
      </c>
      <c r="E4" s="10" t="s">
        <v>212</v>
      </c>
      <c r="F4" s="20"/>
    </row>
    <row r="5" customFormat="false" ht="49.5" hidden="false" customHeight="true" outlineLevel="0" collapsed="false">
      <c r="A5" s="4" t="n">
        <v>2</v>
      </c>
      <c r="B5" s="5" t="s">
        <v>213</v>
      </c>
      <c r="C5" s="7" t="s">
        <v>210</v>
      </c>
      <c r="D5" s="6" t="s">
        <v>214</v>
      </c>
      <c r="E5" s="6" t="s">
        <v>215</v>
      </c>
      <c r="F5" s="22"/>
    </row>
    <row r="6" customFormat="false" ht="49.5" hidden="false" customHeight="true" outlineLevel="0" collapsed="false">
      <c r="A6" s="8" t="n">
        <v>3</v>
      </c>
      <c r="B6" s="9" t="s">
        <v>216</v>
      </c>
      <c r="C6" s="11" t="s">
        <v>217</v>
      </c>
      <c r="D6" s="10" t="s">
        <v>218</v>
      </c>
      <c r="E6" s="10" t="s">
        <v>219</v>
      </c>
      <c r="F6" s="20"/>
    </row>
    <row r="7" customFormat="false" ht="49.5" hidden="false" customHeight="true" outlineLevel="0" collapsed="false">
      <c r="A7" s="4" t="n">
        <v>4</v>
      </c>
      <c r="B7" s="5" t="s">
        <v>220</v>
      </c>
      <c r="C7" s="7" t="s">
        <v>217</v>
      </c>
      <c r="D7" s="6" t="s">
        <v>221</v>
      </c>
      <c r="E7" s="6" t="s">
        <v>222</v>
      </c>
      <c r="F7" s="22"/>
    </row>
    <row r="8" customFormat="false" ht="49.5" hidden="false" customHeight="true" outlineLevel="0" collapsed="false">
      <c r="A8" s="8" t="n">
        <v>5</v>
      </c>
      <c r="B8" s="9" t="s">
        <v>223</v>
      </c>
      <c r="C8" s="11" t="s">
        <v>217</v>
      </c>
      <c r="D8" s="10" t="s">
        <v>224</v>
      </c>
      <c r="E8" s="10" t="s">
        <v>225</v>
      </c>
      <c r="F8" s="20"/>
    </row>
    <row r="9" customFormat="false" ht="49.5" hidden="false" customHeight="true" outlineLevel="0" collapsed="false">
      <c r="A9" s="4" t="n">
        <v>6</v>
      </c>
      <c r="B9" s="5" t="s">
        <v>226</v>
      </c>
      <c r="C9" s="7" t="s">
        <v>217</v>
      </c>
      <c r="D9" s="6" t="s">
        <v>227</v>
      </c>
      <c r="E9" s="6" t="s">
        <v>228</v>
      </c>
      <c r="F9" s="22"/>
    </row>
    <row r="10" customFormat="false" ht="49.5" hidden="false" customHeight="true" outlineLevel="0" collapsed="false">
      <c r="A10" s="8" t="n">
        <v>7</v>
      </c>
      <c r="B10" s="9" t="s">
        <v>229</v>
      </c>
      <c r="C10" s="11" t="s">
        <v>210</v>
      </c>
      <c r="D10" s="10" t="s">
        <v>230</v>
      </c>
      <c r="E10" s="10" t="s">
        <v>231</v>
      </c>
      <c r="F10" s="20"/>
    </row>
    <row r="11" customFormat="false" ht="49.5" hidden="false" customHeight="true" outlineLevel="0" collapsed="false">
      <c r="A11" s="4" t="n">
        <v>8</v>
      </c>
      <c r="B11" s="5" t="s">
        <v>232</v>
      </c>
      <c r="C11" s="7" t="s">
        <v>210</v>
      </c>
      <c r="D11" s="6" t="s">
        <v>233</v>
      </c>
      <c r="E11" s="6" t="s">
        <v>234</v>
      </c>
      <c r="F11" s="2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9" t="s">
        <v>235</v>
      </c>
      <c r="B1" s="19"/>
      <c r="C1" s="19"/>
      <c r="D1" s="19"/>
      <c r="E1" s="19"/>
      <c r="F1" s="19"/>
    </row>
    <row r="2" customFormat="false" ht="25.5" hidden="false" customHeight="true" outlineLevel="0" collapsed="false">
      <c r="A2" s="64" t="s">
        <v>236</v>
      </c>
      <c r="B2" s="64"/>
      <c r="C2" s="64"/>
      <c r="D2" s="64"/>
      <c r="E2" s="64"/>
      <c r="F2" s="64"/>
    </row>
    <row r="3" customFormat="false" ht="15" hidden="false" customHeight="false" outlineLevel="0" collapsed="false">
      <c r="A3" s="13" t="s">
        <v>2</v>
      </c>
      <c r="B3" s="13" t="s">
        <v>237</v>
      </c>
      <c r="C3" s="13" t="s">
        <v>238</v>
      </c>
      <c r="D3" s="13" t="s">
        <v>239</v>
      </c>
      <c r="E3" s="13" t="s">
        <v>240</v>
      </c>
      <c r="F3" s="13" t="s">
        <v>241</v>
      </c>
    </row>
    <row r="4" customFormat="false" ht="31.5" hidden="false" customHeight="true" outlineLevel="0" collapsed="false">
      <c r="A4" s="8" t="n">
        <v>1</v>
      </c>
      <c r="B4" s="9" t="s">
        <v>242</v>
      </c>
      <c r="C4" s="10" t="s">
        <v>243</v>
      </c>
      <c r="D4" s="20"/>
      <c r="E4" s="20"/>
      <c r="F4" s="20"/>
    </row>
    <row r="5" customFormat="false" ht="31.5" hidden="false" customHeight="true" outlineLevel="0" collapsed="false">
      <c r="A5" s="4" t="n">
        <v>2</v>
      </c>
      <c r="B5" s="5" t="s">
        <v>244</v>
      </c>
      <c r="C5" s="6" t="s">
        <v>245</v>
      </c>
      <c r="D5" s="22"/>
      <c r="E5" s="22"/>
      <c r="F5" s="22"/>
    </row>
    <row r="6" customFormat="false" ht="31.5" hidden="false" customHeight="true" outlineLevel="0" collapsed="false">
      <c r="A6" s="8" t="n">
        <v>3</v>
      </c>
      <c r="B6" s="9" t="s">
        <v>246</v>
      </c>
      <c r="C6" s="10" t="s">
        <v>247</v>
      </c>
      <c r="D6" s="20"/>
      <c r="E6" s="20"/>
      <c r="F6" s="20"/>
    </row>
    <row r="7" customFormat="false" ht="31.5" hidden="false" customHeight="true" outlineLevel="0" collapsed="false">
      <c r="A7" s="4" t="n">
        <v>4</v>
      </c>
      <c r="B7" s="5" t="s">
        <v>248</v>
      </c>
      <c r="C7" s="6" t="s">
        <v>249</v>
      </c>
      <c r="D7" s="22"/>
      <c r="E7" s="22"/>
      <c r="F7" s="22"/>
    </row>
    <row r="8" customFormat="false" ht="31.5" hidden="false" customHeight="true" outlineLevel="0" collapsed="false">
      <c r="A8" s="8" t="n">
        <v>5</v>
      </c>
      <c r="B8" s="9" t="s">
        <v>250</v>
      </c>
      <c r="C8" s="10" t="s">
        <v>251</v>
      </c>
      <c r="D8" s="20"/>
      <c r="E8" s="20"/>
      <c r="F8" s="20"/>
    </row>
    <row r="9" customFormat="false" ht="31.5" hidden="false" customHeight="true" outlineLevel="0" collapsed="false">
      <c r="A9" s="4" t="n">
        <v>6</v>
      </c>
      <c r="B9" s="5" t="s">
        <v>252</v>
      </c>
      <c r="C9" s="6" t="s">
        <v>253</v>
      </c>
      <c r="D9" s="22"/>
      <c r="E9" s="22"/>
      <c r="F9" s="22"/>
    </row>
    <row r="10" customFormat="false" ht="31.5" hidden="false" customHeight="true" outlineLevel="0" collapsed="false">
      <c r="A10" s="8" t="n">
        <v>7</v>
      </c>
      <c r="B10" s="9" t="s">
        <v>254</v>
      </c>
      <c r="C10" s="10" t="s">
        <v>255</v>
      </c>
      <c r="D10" s="20"/>
      <c r="E10" s="20"/>
      <c r="F10" s="20"/>
    </row>
    <row r="11" customFormat="false" ht="31.5" hidden="false" customHeight="true" outlineLevel="0" collapsed="false">
      <c r="A11" s="4" t="n">
        <v>8</v>
      </c>
      <c r="B11" s="5" t="s">
        <v>256</v>
      </c>
      <c r="C11" s="6" t="s">
        <v>257</v>
      </c>
      <c r="D11" s="22"/>
      <c r="E11" s="22"/>
      <c r="F11" s="22"/>
    </row>
    <row r="12" customFormat="false" ht="31.5" hidden="false" customHeight="true" outlineLevel="0" collapsed="false">
      <c r="A12" s="8" t="n">
        <v>9</v>
      </c>
      <c r="B12" s="9" t="s">
        <v>258</v>
      </c>
      <c r="C12" s="10" t="s">
        <v>259</v>
      </c>
      <c r="D12" s="20"/>
      <c r="E12" s="20"/>
      <c r="F12" s="20"/>
    </row>
    <row r="13" customFormat="false" ht="31.5" hidden="false" customHeight="true" outlineLevel="0" collapsed="false">
      <c r="A13" s="4" t="n">
        <v>10</v>
      </c>
      <c r="B13" s="5" t="s">
        <v>260</v>
      </c>
      <c r="C13" s="6" t="s">
        <v>261</v>
      </c>
      <c r="D13" s="22"/>
      <c r="E13" s="22"/>
      <c r="F13" s="22"/>
    </row>
    <row r="14" customFormat="false" ht="31.5" hidden="false" customHeight="true" outlineLevel="0" collapsed="false">
      <c r="A14" s="8" t="n">
        <v>11</v>
      </c>
      <c r="B14" s="9" t="s">
        <v>262</v>
      </c>
      <c r="C14" s="10" t="s">
        <v>263</v>
      </c>
      <c r="D14" s="20"/>
      <c r="E14" s="20"/>
      <c r="F14" s="20"/>
    </row>
    <row r="15" customFormat="false" ht="31.5" hidden="false" customHeight="true" outlineLevel="0" collapsed="false">
      <c r="A15" s="4" t="n">
        <v>12</v>
      </c>
      <c r="B15" s="5" t="s">
        <v>264</v>
      </c>
      <c r="C15" s="6" t="s">
        <v>265</v>
      </c>
      <c r="D15" s="22"/>
      <c r="E15" s="22"/>
      <c r="F15" s="22"/>
    </row>
    <row r="16" customFormat="false" ht="31.5" hidden="false" customHeight="true" outlineLevel="0" collapsed="false">
      <c r="A16" s="8" t="n">
        <v>13</v>
      </c>
      <c r="B16" s="9" t="s">
        <v>266</v>
      </c>
      <c r="C16" s="10" t="s">
        <v>267</v>
      </c>
      <c r="D16" s="20"/>
      <c r="E16" s="20"/>
      <c r="F16" s="20"/>
    </row>
    <row r="17" customFormat="false" ht="31.5" hidden="false" customHeight="true" outlineLevel="0" collapsed="false">
      <c r="A17" s="4" t="n">
        <v>14</v>
      </c>
      <c r="B17" s="5" t="s">
        <v>268</v>
      </c>
      <c r="C17" s="6" t="s">
        <v>269</v>
      </c>
      <c r="D17" s="22"/>
      <c r="E17" s="22"/>
      <c r="F17" s="22"/>
    </row>
    <row r="18" customFormat="false" ht="31.5" hidden="false" customHeight="true" outlineLevel="0" collapsed="false">
      <c r="A18" s="8" t="n">
        <v>15</v>
      </c>
      <c r="B18" s="9" t="s">
        <v>270</v>
      </c>
      <c r="C18" s="10" t="s">
        <v>271</v>
      </c>
      <c r="D18" s="20"/>
      <c r="E18" s="20"/>
      <c r="F18" s="20"/>
    </row>
    <row r="19" customFormat="false" ht="31.5" hidden="false" customHeight="true" outlineLevel="0" collapsed="false">
      <c r="A19" s="4" t="n">
        <v>16</v>
      </c>
      <c r="B19" s="5" t="s">
        <v>272</v>
      </c>
      <c r="C19" s="6" t="s">
        <v>273</v>
      </c>
      <c r="D19" s="22"/>
      <c r="E19" s="22"/>
      <c r="F19" s="22"/>
    </row>
    <row r="20" customFormat="false" ht="31.5" hidden="false" customHeight="true" outlineLevel="0" collapsed="false">
      <c r="A20" s="8" t="n">
        <v>17</v>
      </c>
      <c r="B20" s="9" t="s">
        <v>274</v>
      </c>
      <c r="C20" s="10" t="s">
        <v>275</v>
      </c>
      <c r="D20" s="20"/>
      <c r="E20" s="20"/>
      <c r="F20" s="20"/>
    </row>
    <row r="21" customFormat="false" ht="31.5" hidden="false" customHeight="true" outlineLevel="0" collapsed="false">
      <c r="A21" s="4" t="n">
        <v>18</v>
      </c>
      <c r="B21" s="5" t="s">
        <v>276</v>
      </c>
      <c r="C21" s="6" t="s">
        <v>277</v>
      </c>
      <c r="D21" s="22"/>
      <c r="E21" s="22"/>
      <c r="F21" s="22"/>
    </row>
    <row r="22" customFormat="false" ht="31.5" hidden="false" customHeight="true" outlineLevel="0" collapsed="false">
      <c r="A22" s="8" t="n">
        <v>19</v>
      </c>
      <c r="B22" s="9" t="s">
        <v>278</v>
      </c>
      <c r="C22" s="10" t="s">
        <v>279</v>
      </c>
      <c r="D22" s="20"/>
      <c r="E22" s="20"/>
      <c r="F22" s="20"/>
    </row>
    <row r="23" customFormat="false" ht="31.5" hidden="false" customHeight="true" outlineLevel="0" collapsed="false">
      <c r="A23" s="4" t="n">
        <v>20</v>
      </c>
      <c r="B23" s="5" t="s">
        <v>280</v>
      </c>
      <c r="C23" s="6" t="s">
        <v>281</v>
      </c>
      <c r="D23" s="22"/>
      <c r="E23" s="22"/>
      <c r="F23" s="2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2026-05-11T03:52:31Z</dcterms:created>
  <dc:creator>openpyxl</dc:creator>
  <dc:description/>
  <dc:language>en-US</dc:language>
  <cp:lastModifiedBy/>
  <dcterms:modified xsi:type="dcterms:W3CDTF">2026-05-11T03:52:31Z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