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thor_ID_Master" sheetId="1" r:id="rId1"/>
    <sheet name="ORCID_Validation" sheetId="2" r:id="rId2"/>
    <sheet name="Scopus_Validation" sheetId="3" r:id="rId3"/>
    <sheet name="Conflict_Resolution" sheetId="4" r:id="rId4"/>
    <sheet name="Formulas" sheetId="5" r:id="rId5"/>
    <sheet name="THE_Rules" sheetId="6" r:id="rId6"/>
    <sheet name="Compliance" sheetId="7" r:id="rId7"/>
    <sheet name="Dashboard_Notes" sheetId="8" r:id="rId8"/>
  </sheets>
  <calcPr calcId="124519" fullCalcOnLoad="1"/>
</workbook>
</file>

<file path=xl/sharedStrings.xml><?xml version="1.0" encoding="utf-8"?>
<sst xmlns="http://schemas.openxmlformats.org/spreadsheetml/2006/main" count="87" uniqueCount="78">
  <si>
    <t>Author_Name</t>
  </si>
  <si>
    <t>Department</t>
  </si>
  <si>
    <t>Email_ID</t>
  </si>
  <si>
    <t>ORCID_ID</t>
  </si>
  <si>
    <t>Scopus_Author_ID</t>
  </si>
  <si>
    <t>ResearcherID (Optional)</t>
  </si>
  <si>
    <t>Google_Scholar_ID (Optional)</t>
  </si>
  <si>
    <t>Internal_Faculty_Code</t>
  </si>
  <si>
    <t>Affiliation_in_Scopus</t>
  </si>
  <si>
    <t>Affiliation_in_ORCID</t>
  </si>
  <si>
    <t>Match_Status (Exact/Partial/Conflict/Missing)</t>
  </si>
  <si>
    <t>Confidence_Score (0-100)</t>
  </si>
  <si>
    <t>Remarks</t>
  </si>
  <si>
    <t>ORCID_Registered_Name</t>
  </si>
  <si>
    <t>ORCID_Affiliation</t>
  </si>
  <si>
    <t>ORCID_Email_Verified (Yes/No)</t>
  </si>
  <si>
    <t>ORCID_Active (Yes/No)</t>
  </si>
  <si>
    <t>Name_Match (Yes/No)</t>
  </si>
  <si>
    <t>Affiliation_Match (Yes/No)</t>
  </si>
  <si>
    <t>Status (Valid/Invalid/Needs Review)</t>
  </si>
  <si>
    <t>Scopus_Registered_Name</t>
  </si>
  <si>
    <t>Scopus_Affiliations_List</t>
  </si>
  <si>
    <t>Current_Affiliation_Match (Yes/No)</t>
  </si>
  <si>
    <t>Document_Count</t>
  </si>
  <si>
    <t>Citation_Count</t>
  </si>
  <si>
    <t>h_Index</t>
  </si>
  <si>
    <t>Potential_Duplicate_IDs</t>
  </si>
  <si>
    <t>Status (Valid/Duplicate/Needs Merge)</t>
  </si>
  <si>
    <t>Issue_Type (Missing/Conflict/Duplicate)</t>
  </si>
  <si>
    <t>Detected_In (ORCID/Scopus/Both)</t>
  </si>
  <si>
    <t>Problem_Description</t>
  </si>
  <si>
    <t>Recommended_Action</t>
  </si>
  <si>
    <t>Responsible_Person</t>
  </si>
  <si>
    <t>Resolution_Status (Pending/Completed)</t>
  </si>
  <si>
    <t>Metric</t>
  </si>
  <si>
    <t>Formula</t>
  </si>
  <si>
    <t>Explanation</t>
  </si>
  <si>
    <t>Confidence Score</t>
  </si>
  <si>
    <t>Name Match Flag</t>
  </si>
  <si>
    <t>Affiliation Match Flag</t>
  </si>
  <si>
    <t>Duplicate Detection Flag</t>
  </si>
  <si>
    <t>Calculates confidence in author identity matching.</t>
  </si>
  <si>
    <t>Checks whether names match across systems.</t>
  </si>
  <si>
    <t>Verifies if ORCID and Scopus affiliations align.</t>
  </si>
  <si>
    <t>Flags authors with potential duplicate Scopus IDs.</t>
  </si>
  <si>
    <t>Rule</t>
  </si>
  <si>
    <t>Each author must have a unique Scopus Author ID.</t>
  </si>
  <si>
    <t>ORCID is mandatory for accurate author disambiguation.</t>
  </si>
  <si>
    <t>Scopus Author ID must match institutional affiliation.</t>
  </si>
  <si>
    <t>Duplicate Scopus IDs must be merged before submission.</t>
  </si>
  <si>
    <t>Incorrect ORCID affiliations must be updated.</t>
  </si>
  <si>
    <t>Name variations must be standardized.</t>
  </si>
  <si>
    <t>Prevents split citation counts.</t>
  </si>
  <si>
    <t>Ensures global identity tracking.</t>
  </si>
  <si>
    <t>Required for THE research impact metrics.</t>
  </si>
  <si>
    <t>Prevents undercounting publications/citations.</t>
  </si>
  <si>
    <t>Ensures external validation accuracy.</t>
  </si>
  <si>
    <t>Maintains accurate bibliometric consistency.</t>
  </si>
  <si>
    <t>Requirement</t>
  </si>
  <si>
    <t>Evidence_Required</t>
  </si>
  <si>
    <t>Status</t>
  </si>
  <si>
    <t>All faculty ORCID IDs verified</t>
  </si>
  <si>
    <t>All Scopus Author IDs validated</t>
  </si>
  <si>
    <t>Affiliation conflicts corrected</t>
  </si>
  <si>
    <t>Duplicate Scopus IDs merged</t>
  </si>
  <si>
    <t>Internal faculty database updated</t>
  </si>
  <si>
    <t>Notes</t>
  </si>
  <si>
    <t>Recommended Visual Dashboards:</t>
  </si>
  <si>
    <t>• Verified vs Non-verified ORCID IDs</t>
  </si>
  <si>
    <t>• Duplicate Scopus Author ID alerts</t>
  </si>
  <si>
    <t>• Identity conflict heatmap</t>
  </si>
  <si>
    <t>• Affiliation consistency matrix</t>
  </si>
  <si>
    <t>• Confidence score distribution</t>
  </si>
  <si>
    <t>Insights:</t>
  </si>
  <si>
    <t>• Eliminates identity mismatch in Scopus exports.</t>
  </si>
  <si>
    <t>• Ensures accurate publication/citation attribution.</t>
  </si>
  <si>
    <t>• Prevents loss of FWCI and citation impact.</t>
  </si>
  <si>
    <t>• Critical for THE Ranking accuracy and research analytics.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</si>
</sst>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0</v>
      </c>
      <c r="B1" s="1" t="s">
        <v>3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4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34</v>
      </c>
      <c r="B1" s="1" t="s">
        <v>35</v>
      </c>
      <c r="C1" s="1" t="s">
        <v>36</v>
      </c>
    </row>
    <row r="2" spans="1:3">
      <c r="A2" t="s">
        <v>37</v>
      </c>
      <c r="B2">
        <f>IF(AND(Name_Match="Yes", Affiliation_Match="Yes"), 100,IF(Name_Match="Yes", 70, IF(Affiliation_Match="Yes", 50, 20)))</f>
        <v>0</v>
      </c>
      <c r="C2" t="s">
        <v>41</v>
      </c>
    </row>
    <row r="3" spans="1:3">
      <c r="A3" t="s">
        <v>38</v>
      </c>
      <c r="B3">
        <f>IF(OR(ORCID_Registered_Name=Author_Name, Scopus_Registered_Name=Author_Name),"Yes","No")</f>
        <v>0</v>
      </c>
      <c r="C3" t="s">
        <v>42</v>
      </c>
    </row>
    <row r="4" spans="1:3">
      <c r="A4" t="s">
        <v>39</v>
      </c>
      <c r="B4">
        <f>IF(ORCID_Affiliation=Affiliation_in_Scopus,"Yes","No")</f>
        <v>0</v>
      </c>
      <c r="C4" t="s">
        <v>43</v>
      </c>
    </row>
    <row r="5" spans="1:3">
      <c r="A5" t="s">
        <v>40</v>
      </c>
      <c r="B5">
        <f>IF(LEN(Potential_Duplicate_IDs)&gt;0, "Yes", "No")</f>
        <v>0</v>
      </c>
      <c r="C5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45</v>
      </c>
      <c r="B1" s="1" t="s">
        <v>36</v>
      </c>
    </row>
    <row r="2" spans="1:2">
      <c r="A2" t="s">
        <v>46</v>
      </c>
      <c r="B2" t="s">
        <v>52</v>
      </c>
    </row>
    <row r="3" spans="1:2">
      <c r="A3" t="s">
        <v>47</v>
      </c>
      <c r="B3" t="s">
        <v>53</v>
      </c>
    </row>
    <row r="4" spans="1:2">
      <c r="A4" t="s">
        <v>48</v>
      </c>
      <c r="B4" t="s">
        <v>54</v>
      </c>
    </row>
    <row r="5" spans="1:2">
      <c r="A5" t="s">
        <v>49</v>
      </c>
      <c r="B5" t="s">
        <v>55</v>
      </c>
    </row>
    <row r="6" spans="1:2">
      <c r="A6" t="s">
        <v>50</v>
      </c>
      <c r="B6" t="s">
        <v>56</v>
      </c>
    </row>
    <row r="7" spans="1:2">
      <c r="A7" t="s">
        <v>51</v>
      </c>
      <c r="B7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60</v>
      </c>
      <c r="D1" s="1" t="s">
        <v>12</v>
      </c>
    </row>
    <row r="2" spans="1:4">
      <c r="A2" t="s">
        <v>61</v>
      </c>
    </row>
    <row r="3" spans="1:4">
      <c r="A3" t="s">
        <v>62</v>
      </c>
    </row>
    <row r="4" spans="1:4">
      <c r="A4" t="s">
        <v>63</v>
      </c>
    </row>
    <row r="5" spans="1:4">
      <c r="A5" t="s">
        <v>64</v>
      </c>
    </row>
    <row r="6" spans="1:4">
      <c r="A6" t="s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s="1" t="s">
        <v>66</v>
      </c>
    </row>
    <row r="2" spans="1:1">
      <c r="A2" t="s">
        <v>67</v>
      </c>
    </row>
    <row r="3" spans="1:1">
      <c r="A3" t="s">
        <v>68</v>
      </c>
    </row>
    <row r="4" spans="1:1">
      <c r="A4" t="s">
        <v>69</v>
      </c>
    </row>
    <row r="5" spans="1:1">
      <c r="A5" t="s">
        <v>70</v>
      </c>
    </row>
    <row r="6" spans="1:1">
      <c r="A6" t="s">
        <v>71</v>
      </c>
    </row>
    <row r="7" spans="1:1">
      <c r="A7" t="s">
        <v>72</v>
      </c>
    </row>
    <row r="9" spans="1:1">
      <c r="A9" t="s">
        <v>73</v>
      </c>
    </row>
    <row r="10" spans="1:1">
      <c r="A10" t="s">
        <v>74</v>
      </c>
    </row>
    <row r="11" spans="1:1">
      <c r="A11" t="s">
        <v>75</v>
      </c>
    </row>
    <row r="12" spans="1:1">
      <c r="A12" t="s">
        <v>76</v>
      </c>
    </row>
    <row r="13" spans="1:1">
      <c r="A1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Author_ID_Master</vt:lpstr>
      <vt:lpstr>ORCID_Validation</vt:lpstr>
      <vt:lpstr>Scopus_Validation</vt:lpstr>
      <vt:lpstr>Conflict_Resolution</vt:lpstr>
      <vt:lpstr>Formulas</vt:lpstr>
      <vt:lpstr>THE_Rules</vt:lpstr>
      <vt:lpstr>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2025-12-07T06:20:24Z</dcterms:created>
  <dcterms:modified xsi:type="dcterms:W3CDTF">2025-12-07T06:20:24Z</dcterms:modified>
</cp:coreProperties>
</file>