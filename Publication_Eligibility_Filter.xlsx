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blication_Master_List" sheetId="1" r:id="rId1"/>
    <sheet name="Eligibility_Criteria_Config" sheetId="2" r:id="rId2"/>
    <sheet name="Eligibility_Decision_Log" sheetId="3" r:id="rId3"/>
    <sheet name="Department_Eligibility_Summary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<sst xmlns="http://schemas.openxmlformats.org/spreadsheetml/2006/main" count="135" uniqueCount="107">
  <si>
    <t>Serial_No</t>
  </si>
  <si>
    <t>EID</t>
  </si>
  <si>
    <t>DOI</t>
  </si>
  <si>
    <t>Title</t>
  </si>
  <si>
    <t>Authors</t>
  </si>
  <si>
    <t>Year</t>
  </si>
  <si>
    <t>Journal_Name</t>
  </si>
  <si>
    <t>Document_Type</t>
  </si>
  <si>
    <t>ASJC_Code</t>
  </si>
  <si>
    <t>Subject_Area</t>
  </si>
  <si>
    <t>Publisher</t>
  </si>
  <si>
    <t>Source_DB (Scopus/Other)</t>
  </si>
  <si>
    <t>Indexed_in_Scopus (Yes/No)</t>
  </si>
  <si>
    <t>Publication_Status (Published/In Press/Accepted)</t>
  </si>
  <si>
    <t>Open_Access (Yes/No)</t>
  </si>
  <si>
    <t>Affiliated_to_Institution (Yes/No)</t>
  </si>
  <si>
    <t>Multiple_Affiliations (Yes/No)</t>
  </si>
  <si>
    <t>Institution_Affiliation_Fraction</t>
  </si>
  <si>
    <t>Corresponding_Author_From_Institution (Yes/No)</t>
  </si>
  <si>
    <t>Internal_or_External_Collaboration</t>
  </si>
  <si>
    <t>Country</t>
  </si>
  <si>
    <t>Department</t>
  </si>
  <si>
    <t>Funding_Agency</t>
  </si>
  <si>
    <t>Project_Code</t>
  </si>
  <si>
    <t>Citations</t>
  </si>
  <si>
    <t>Self_Citation_Flag (Yes/No)</t>
  </si>
  <si>
    <t>Preprint_Flag (Yes/No)</t>
  </si>
  <si>
    <t>Retracted_or_Corrected (Yes/No)</t>
  </si>
  <si>
    <t>Suspended_Journal_Flag (Yes/No)</t>
  </si>
  <si>
    <t>Eligible_for_FWCI (Yes/No)</t>
  </si>
  <si>
    <t>Eligible_for_THE_Dataset (Yes/No)</t>
  </si>
  <si>
    <t>Exclusion_Reason</t>
  </si>
  <si>
    <t>Remarks</t>
  </si>
  <si>
    <t>Criteria_Code</t>
  </si>
  <si>
    <t>Criteria_Name</t>
  </si>
  <si>
    <t>Description</t>
  </si>
  <si>
    <t>Field_Used</t>
  </si>
  <si>
    <t>Condition</t>
  </si>
  <si>
    <t>Threshold_or_Value</t>
  </si>
  <si>
    <t>Mandatory (Yes/No)</t>
  </si>
  <si>
    <t>Used_for (FWCI/THE/Internal)</t>
  </si>
  <si>
    <t>Active (Yes/No)</t>
  </si>
  <si>
    <t>C1</t>
  </si>
  <si>
    <t>C2</t>
  </si>
  <si>
    <t>C3</t>
  </si>
  <si>
    <t>C4</t>
  </si>
  <si>
    <t>C5</t>
  </si>
  <si>
    <t>C6</t>
  </si>
  <si>
    <t>Scopus Indexed Only</t>
  </si>
  <si>
    <t>Eligible Document Types</t>
  </si>
  <si>
    <t>Institution Affiliation Required</t>
  </si>
  <si>
    <t>Valid Year Window</t>
  </si>
  <si>
    <t>Exclude Preprints</t>
  </si>
  <si>
    <t>Exclude Retracted or Suspended Journals</t>
  </si>
  <si>
    <t>Include only documents indexed in Scopus</t>
  </si>
  <si>
    <t>Include only articles, reviews, conference papers (no editorials, notes, etc.)</t>
  </si>
  <si>
    <t>At least one author must be affiliated to the institution</t>
  </si>
  <si>
    <t>Publication year within THE ranking window</t>
  </si>
  <si>
    <t>Preprints not considered</t>
  </si>
  <si>
    <t>Remove retracted papers or those in suspended journals</t>
  </si>
  <si>
    <t>Indexed_in_Scopus</t>
  </si>
  <si>
    <t>Affiliated_to_Institution</t>
  </si>
  <si>
    <t>Preprint_Flag</t>
  </si>
  <si>
    <t>Retracted_or_Corrected / Suspended_Journal_Flag</t>
  </si>
  <si>
    <t>IN ('Article','Review','Conference Paper')</t>
  </si>
  <si>
    <t>BETWEEN</t>
  </si>
  <si>
    <t>YYYY_start–YYYY_end</t>
  </si>
  <si>
    <t>Yes</t>
  </si>
  <si>
    <t>FWCI,THE</t>
  </si>
  <si>
    <t>Replace with actual year range</t>
  </si>
  <si>
    <t>Applied_Criteria_Codes</t>
  </si>
  <si>
    <t>Passed_All_Mandatory (Yes/No)</t>
  </si>
  <si>
    <t>Eligible_for_THE (Yes/No)</t>
  </si>
  <si>
    <t>Primary_Exclusion_Reason</t>
  </si>
  <si>
    <t>Secondary_Exclusion_Reason</t>
  </si>
  <si>
    <t>Decision_Taken_By</t>
  </si>
  <si>
    <t>Decision_Date</t>
  </si>
  <si>
    <t>Total_Publications</t>
  </si>
  <si>
    <t>Eligible_Publications_FWCI</t>
  </si>
  <si>
    <t>Eligible_Publications_THE</t>
  </si>
  <si>
    <t>Ineligible_Publications</t>
  </si>
  <si>
    <t>Ineligible_Due_to_Document_Type</t>
  </si>
  <si>
    <t>Ineligible_Due_to_Affiliation</t>
  </si>
  <si>
    <t>Ineligible_Due_to_Indexing</t>
  </si>
  <si>
    <t>Ineligible_Due_to_Year</t>
  </si>
  <si>
    <t>Ineligible_Due_to_Retraction/Suspension</t>
  </si>
  <si>
    <t>Eligibility_Rate_FWCI</t>
  </si>
  <si>
    <t>Eligibility_Rate_THE</t>
  </si>
  <si>
    <t>Requirement</t>
  </si>
  <si>
    <t>Evidence_Required</t>
  </si>
  <si>
    <t>Compliance_Status</t>
  </si>
  <si>
    <t>Verified_By</t>
  </si>
  <si>
    <t>Only Scopus-indexed outputs considered for FWCI and THE</t>
  </si>
  <si>
    <t>Only eligible document types used (articles, reviews, conference papers)</t>
  </si>
  <si>
    <t>Affiliation must clearly show institution contribution</t>
  </si>
  <si>
    <t>Excluded retracted papers and suspended journals</t>
  </si>
  <si>
    <t>Scopus export with index status</t>
  </si>
  <si>
    <t>Document type filter documentation</t>
  </si>
  <si>
    <t>Author affiliation metadata</t>
  </si>
  <si>
    <t>Retraction/suspension logs</t>
  </si>
  <si>
    <t>Notes</t>
  </si>
  <si>
    <t>Suggested visualizations:</t>
  </si>
  <si>
    <t>• Eligible vs ineligible publications by department</t>
  </si>
  <si>
    <t>• Ineligibility reasons distribution (pie/bar chart)</t>
  </si>
  <si>
    <t>• Time trend of eligible outputs across years</t>
  </si>
  <si>
    <t>• Share of FWCI/THE-eligible outputs by subject area</t>
  </si>
  <si>
    <t>• Indexing and affiliation compliance rates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</si>
</sst>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 spans="1:1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32</v>
      </c>
    </row>
    <row r="2" spans="1:10">
      <c r="A2" t="s">
        <v>42</v>
      </c>
      <c r="B2" t="s">
        <v>48</v>
      </c>
      <c r="C2" t="s">
        <v>54</v>
      </c>
      <c r="D2" t="s">
        <v>60</v>
      </c>
      <c r="E2">
        <f> 'Yes'</f>
        <v>0</v>
      </c>
      <c r="G2" t="s">
        <v>67</v>
      </c>
      <c r="H2" t="s">
        <v>68</v>
      </c>
      <c r="I2" t="s">
        <v>67</v>
      </c>
    </row>
    <row r="3" spans="1:10">
      <c r="A3" t="s">
        <v>43</v>
      </c>
      <c r="B3" t="s">
        <v>49</v>
      </c>
      <c r="C3" t="s">
        <v>55</v>
      </c>
      <c r="D3" t="s">
        <v>7</v>
      </c>
      <c r="E3" t="s">
        <v>64</v>
      </c>
      <c r="G3" t="s">
        <v>67</v>
      </c>
      <c r="H3" t="s">
        <v>68</v>
      </c>
      <c r="I3" t="s">
        <v>67</v>
      </c>
    </row>
    <row r="4" spans="1:10">
      <c r="A4" t="s">
        <v>44</v>
      </c>
      <c r="B4" t="s">
        <v>50</v>
      </c>
      <c r="C4" t="s">
        <v>56</v>
      </c>
      <c r="D4" t="s">
        <v>61</v>
      </c>
      <c r="E4">
        <f> 'Yes'</f>
        <v>0</v>
      </c>
      <c r="G4" t="s">
        <v>67</v>
      </c>
      <c r="H4" t="s">
        <v>68</v>
      </c>
      <c r="I4" t="s">
        <v>67</v>
      </c>
    </row>
    <row r="5" spans="1:10">
      <c r="A5" t="s">
        <v>45</v>
      </c>
      <c r="B5" t="s">
        <v>51</v>
      </c>
      <c r="C5" t="s">
        <v>57</v>
      </c>
      <c r="D5" t="s">
        <v>5</v>
      </c>
      <c r="E5" t="s">
        <v>65</v>
      </c>
      <c r="F5" t="s">
        <v>66</v>
      </c>
      <c r="G5" t="s">
        <v>67</v>
      </c>
      <c r="H5" t="s">
        <v>68</v>
      </c>
      <c r="I5" t="s">
        <v>67</v>
      </c>
      <c r="J5" t="s">
        <v>69</v>
      </c>
    </row>
    <row r="6" spans="1:10">
      <c r="A6" t="s">
        <v>46</v>
      </c>
      <c r="B6" t="s">
        <v>52</v>
      </c>
      <c r="C6" t="s">
        <v>58</v>
      </c>
      <c r="D6" t="s">
        <v>62</v>
      </c>
      <c r="E6">
        <f> 'No'</f>
        <v>0</v>
      </c>
      <c r="G6" t="s">
        <v>67</v>
      </c>
      <c r="H6" t="s">
        <v>68</v>
      </c>
      <c r="I6" t="s">
        <v>67</v>
      </c>
    </row>
    <row r="7" spans="1:10">
      <c r="A7" t="s">
        <v>47</v>
      </c>
      <c r="B7" t="s">
        <v>53</v>
      </c>
      <c r="C7" t="s">
        <v>59</v>
      </c>
      <c r="D7" t="s">
        <v>63</v>
      </c>
      <c r="E7">
        <f> 'No'</f>
        <v>0</v>
      </c>
      <c r="G7" t="s">
        <v>67</v>
      </c>
      <c r="H7" t="s">
        <v>68</v>
      </c>
      <c r="I7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70</v>
      </c>
      <c r="F1" s="1" t="s">
        <v>71</v>
      </c>
      <c r="G1" s="1" t="s">
        <v>29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21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88</v>
      </c>
      <c r="B1" s="1" t="s">
        <v>89</v>
      </c>
      <c r="C1" s="1" t="s">
        <v>90</v>
      </c>
      <c r="D1" s="1" t="s">
        <v>91</v>
      </c>
      <c r="E1" s="1" t="s">
        <v>32</v>
      </c>
    </row>
    <row r="2" spans="1:5">
      <c r="A2" t="s">
        <v>92</v>
      </c>
      <c r="B2" t="s">
        <v>96</v>
      </c>
    </row>
    <row r="3" spans="1:5">
      <c r="A3" t="s">
        <v>93</v>
      </c>
      <c r="B3" t="s">
        <v>97</v>
      </c>
    </row>
    <row r="4" spans="1:5">
      <c r="A4" t="s">
        <v>94</v>
      </c>
      <c r="B4" t="s">
        <v>98</v>
      </c>
    </row>
    <row r="5" spans="1:5">
      <c r="A5" t="s">
        <v>95</v>
      </c>
      <c r="B5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100</v>
      </c>
    </row>
    <row r="2" spans="1:1">
      <c r="A2" t="s">
        <v>101</v>
      </c>
    </row>
    <row r="3" spans="1:1">
      <c r="A3" t="s">
        <v>102</v>
      </c>
    </row>
    <row r="4" spans="1:1">
      <c r="A4" t="s">
        <v>103</v>
      </c>
    </row>
    <row r="5" spans="1:1">
      <c r="A5" t="s">
        <v>104</v>
      </c>
    </row>
    <row r="6" spans="1:1">
      <c r="A6" t="s">
        <v>105</v>
      </c>
    </row>
    <row r="7" spans="1:1">
      <c r="A7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Publication_Master_List</vt:lpstr>
      <vt:lpstr>Eligibility_Criteria_Config</vt:lpstr>
      <vt:lpstr>Eligibility_Decision_Log</vt:lpstr>
      <vt:lpstr>Department_Eligibility_Summary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2025-12-06T13:28:49Z</dcterms:created>
  <dcterms:modified xsi:type="dcterms:W3CDTF">2025-12-06T13:28:49Z</dcterms:modified>
</cp:coreProperties>
</file>