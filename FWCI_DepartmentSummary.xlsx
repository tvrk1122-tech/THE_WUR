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t_FWCI_Master" sheetId="1" r:id="rId1"/>
    <sheet name="Dept_FWCI_Formulas" sheetId="2" r:id="rId2"/>
    <sheet name="FWCI_SubjectBreakdown" sheetId="3" r:id="rId3"/>
    <sheet name="THE_FWCI_Rules" sheetId="4" r:id="rId4"/>
    <sheet name="FWCI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<sst xmlns="http://schemas.openxmlformats.org/spreadsheetml/2006/main" count="80" uniqueCount="76">
  <si>
    <t>Department</t>
  </si>
  <si>
    <t>Total_Publications</t>
  </si>
  <si>
    <t>Total_Eligible_Publications</t>
  </si>
  <si>
    <t>Total_Citations</t>
  </si>
  <si>
    <t>Expected_Citations (Sum_Subject_Norm)</t>
  </si>
  <si>
    <t>Average_FWCI</t>
  </si>
  <si>
    <t>Publications_FWCI&gt;1</t>
  </si>
  <si>
    <t>Percent_FWCI&gt;1</t>
  </si>
  <si>
    <t>Top10Percent_Publications</t>
  </si>
  <si>
    <t>Top1Percent_Publications</t>
  </si>
  <si>
    <t>FWCI_Weighted_by_Publications</t>
  </si>
  <si>
    <t>FWCI_Weighted_by_FTE</t>
  </si>
  <si>
    <t>Total_FTE</t>
  </si>
  <si>
    <t>Publications_per_FTE</t>
  </si>
  <si>
    <t>Citations_per_FTE</t>
  </si>
  <si>
    <t>FWCI_Rating (Low/Moderate/High)</t>
  </si>
  <si>
    <t>Evidence_File</t>
  </si>
  <si>
    <t>Remarks</t>
  </si>
  <si>
    <t>Metric</t>
  </si>
  <si>
    <t>Formula</t>
  </si>
  <si>
    <t>Explanation</t>
  </si>
  <si>
    <t>Average FWCI</t>
  </si>
  <si>
    <t>Percent Publications with FWCI&gt;1</t>
  </si>
  <si>
    <t>FWCI Weighted by Publications</t>
  </si>
  <si>
    <t>FWCI Weighted by FTE</t>
  </si>
  <si>
    <t>Publications per FTE</t>
  </si>
  <si>
    <t>Citations per FTE</t>
  </si>
  <si>
    <t>Shows average subject-normalised influence of all publications.</t>
  </si>
  <si>
    <t>Indicates share of above-world-average research.</t>
  </si>
  <si>
    <t>Weighted impact based on publication distribution.</t>
  </si>
  <si>
    <t>FWCI relative to staff workload (FTE).</t>
  </si>
  <si>
    <t>Department research output normalized by staff strength.</t>
  </si>
  <si>
    <t>Citation productivity normalized by FTE.</t>
  </si>
  <si>
    <t>ASJC_Code</t>
  </si>
  <si>
    <t>Subject_Name</t>
  </si>
  <si>
    <t>Subject_Publications</t>
  </si>
  <si>
    <t>Subject_Citations</t>
  </si>
  <si>
    <t>Expected_Citations</t>
  </si>
  <si>
    <t>Subject_FWCI</t>
  </si>
  <si>
    <t>Top10Percent_Subject</t>
  </si>
  <si>
    <t>Top1Percent_Subject</t>
  </si>
  <si>
    <t>Subject_FTE</t>
  </si>
  <si>
    <t>Subject_FWCI_per_FTE</t>
  </si>
  <si>
    <t>Rule</t>
  </si>
  <si>
    <t>FWCI must be calculated using subject-normalised expected citations.</t>
  </si>
  <si>
    <t>Department values must sum from verified publication-level FWCI.</t>
  </si>
  <si>
    <t>ASJC mapping must match Scopus classification.</t>
  </si>
  <si>
    <t>Top10% and Top1% must use global percentile cutoffs.</t>
  </si>
  <si>
    <t>Only full-time academic + research staff included in FTE.</t>
  </si>
  <si>
    <t>Multidisciplinary publications handled using fractional allocation.</t>
  </si>
  <si>
    <t>FWCI must match SciVal or equivalent source.</t>
  </si>
  <si>
    <t>Ensures proper normalisation across subjects.</t>
  </si>
  <si>
    <t>Departments cannot estimate FWCI manually.</t>
  </si>
  <si>
    <t>Incorrect ASJC codes distort FWCI accuracy.</t>
  </si>
  <si>
    <t>Percentile-based classification impacts Research Excellence.</t>
  </si>
  <si>
    <t>Adjunct/visiting staff must not be included.</t>
  </si>
  <si>
    <t>Avoids inflating departmental contribution to THE metrics.</t>
  </si>
  <si>
    <t>THE requires FWCI based on field-normalised metrics.</t>
  </si>
  <si>
    <t>Requirement</t>
  </si>
  <si>
    <t>Evidence_Required</t>
  </si>
  <si>
    <t>Status</t>
  </si>
  <si>
    <t>ASJC mapping verification completed</t>
  </si>
  <si>
    <t>FWCI values validated using SciVal</t>
  </si>
  <si>
    <t>Top10/Top1 classification verified</t>
  </si>
  <si>
    <t>Department-level FTE approved by HR</t>
  </si>
  <si>
    <t>Fractional allocation applied correctly</t>
  </si>
  <si>
    <t>Notes</t>
  </si>
  <si>
    <t>Recommended Charts:</t>
  </si>
  <si>
    <t>• Department-wise FWCI comparison (bar chart)</t>
  </si>
  <si>
    <t>• FWCI vs FTE scatterplot</t>
  </si>
  <si>
    <t>• Share of FWCI&gt;1 papers (%)</t>
  </si>
  <si>
    <t>• Contribution of Top10% and Top1% papers</t>
  </si>
  <si>
    <t>Insights:</t>
  </si>
  <si>
    <t>• Departments with high FWCI greatly influence THE ranking.</t>
  </si>
  <si>
    <t>• FWCI per FTE shows research efficiency.</t>
  </si>
  <si>
    <t>• Identifies strong and weak research clusters within institution.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</si>
</sst>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21</v>
      </c>
      <c r="B2">
        <f>Total_FWCI / Total_Eligible_Publications</f>
        <v>0</v>
      </c>
      <c r="C2" t="s">
        <v>27</v>
      </c>
    </row>
    <row r="3" spans="1:3">
      <c r="A3" t="s">
        <v>22</v>
      </c>
      <c r="B3">
        <f>Publications_FWCI&gt;1 / Total_Eligible_Publications</f>
        <v>0</v>
      </c>
      <c r="C3" t="s">
        <v>28</v>
      </c>
    </row>
    <row r="4" spans="1:3">
      <c r="A4" t="s">
        <v>23</v>
      </c>
      <c r="B4">
        <f>(SUM(FWCI_i * Weight_Publication_i))</f>
        <v>0</v>
      </c>
      <c r="C4" t="s">
        <v>29</v>
      </c>
    </row>
    <row r="5" spans="1:3">
      <c r="A5" t="s">
        <v>24</v>
      </c>
      <c r="B5">
        <f>(Total_FWCI / Total_FTE)</f>
        <v>0</v>
      </c>
      <c r="C5" t="s">
        <v>30</v>
      </c>
    </row>
    <row r="6" spans="1:3">
      <c r="A6" t="s">
        <v>25</v>
      </c>
      <c r="B6">
        <f>Total_Publications / Total_FTE</f>
        <v>0</v>
      </c>
      <c r="C6" t="s">
        <v>31</v>
      </c>
    </row>
    <row r="7" spans="1:3">
      <c r="A7" t="s">
        <v>26</v>
      </c>
      <c r="B7">
        <f>Total_Citations / Total_FTE</f>
        <v>0</v>
      </c>
      <c r="C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43</v>
      </c>
      <c r="B1" s="1" t="s">
        <v>20</v>
      </c>
    </row>
    <row r="2" spans="1:2">
      <c r="A2" t="s">
        <v>44</v>
      </c>
      <c r="B2" t="s">
        <v>51</v>
      </c>
    </row>
    <row r="3" spans="1:2">
      <c r="A3" t="s">
        <v>45</v>
      </c>
      <c r="B3" t="s">
        <v>52</v>
      </c>
    </row>
    <row r="4" spans="1:2">
      <c r="A4" t="s">
        <v>46</v>
      </c>
      <c r="B4" t="s">
        <v>53</v>
      </c>
    </row>
    <row r="5" spans="1:2">
      <c r="A5" t="s">
        <v>47</v>
      </c>
      <c r="B5" t="s">
        <v>54</v>
      </c>
    </row>
    <row r="6" spans="1:2">
      <c r="A6" t="s">
        <v>48</v>
      </c>
      <c r="B6" t="s">
        <v>55</v>
      </c>
    </row>
    <row r="7" spans="1:2">
      <c r="A7" t="s">
        <v>49</v>
      </c>
      <c r="B7" t="s">
        <v>56</v>
      </c>
    </row>
    <row r="8" spans="1:2">
      <c r="A8" t="s">
        <v>50</v>
      </c>
      <c r="B8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17</v>
      </c>
    </row>
    <row r="2" spans="1:4">
      <c r="A2" t="s">
        <v>61</v>
      </c>
    </row>
    <row r="3" spans="1:4">
      <c r="A3" t="s">
        <v>62</v>
      </c>
    </row>
    <row r="4" spans="1:4">
      <c r="A4" t="s">
        <v>63</v>
      </c>
    </row>
    <row r="5" spans="1:4">
      <c r="A5" t="s">
        <v>64</v>
      </c>
    </row>
    <row r="6" spans="1:4">
      <c r="A6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5" spans="1:1">
      <c r="A5" t="s">
        <v>70</v>
      </c>
    </row>
    <row r="6" spans="1:1">
      <c r="A6" t="s">
        <v>71</v>
      </c>
    </row>
    <row r="8" spans="1:1">
      <c r="A8" t="s">
        <v>72</v>
      </c>
    </row>
    <row r="9" spans="1:1">
      <c r="A9" t="s">
        <v>73</v>
      </c>
    </row>
    <row r="10" spans="1:1">
      <c r="A10" t="s">
        <v>74</v>
      </c>
    </row>
    <row r="11" spans="1:1">
      <c r="A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Dept_FWCI_Master</vt:lpstr>
      <vt:lpstr>Dept_FWCI_Formulas</vt:lpstr>
      <vt:lpstr>FWCI_SubjectBreakdown</vt:lpstr>
      <vt:lpstr>THE_FWCI_Rules</vt:lpstr>
      <vt:lpstr>FWCI_Compliance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2025-12-07T03:45:25Z</dcterms:created>
  <dcterms:modified xsi:type="dcterms:W3CDTF">2025-12-07T03:45:25Z</dcterms:modified>
</cp:coreProperties>
</file>