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Academic Staff FTE" sheetId="2" state="visible" r:id="rId4"/>
    <sheet name="2. Student FTE" sheetId="3" state="visible" r:id="rId5"/>
    <sheet name="3. Ratio Calculation" sheetId="4" state="visible" r:id="rId6"/>
    <sheet name="4. Dept-Level Ratios" sheetId="5" state="visible" r:id="rId7"/>
    <sheet name="5. YoY Trend" sheetId="6" state="visible" r:id="rId8"/>
    <sheet name="6. Hiring &amp; TA Plan" sheetId="7" state="visible" r:id="rId9"/>
    <sheet name="7. FTE Rules &amp; Exclusions" sheetId="8" state="visible" r:id="rId10"/>
    <sheet name="8. Benchmarking" sheetId="9" state="visible" r:id="rId11"/>
    <sheet name="9. Risk Assessment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<sst xmlns="http://schemas.openxmlformats.org/spreadsheetml/2006/main" count="330" uniqueCount="248">
  <si>
    <t xml:space="preserve">THE World University Rankings — Teaching (29.5%) → Staff-to-Student Ratio (4.5%)</t>
  </si>
  <si>
    <t xml:space="preserve">Measures Learning Environment Quality via Academic Staff per Student | 4.5% of Total WUR Score</t>
  </si>
  <si>
    <t xml:space="preserve">#</t>
  </si>
  <si>
    <t xml:space="preserve">Component</t>
  </si>
  <si>
    <t xml:space="preserve">Description &amp; Methodology</t>
  </si>
  <si>
    <t xml:space="preserve">Weight</t>
  </si>
  <si>
    <t xml:space="preserve">Staff-to-Student Ratio Definition</t>
  </si>
  <si>
    <t xml:space="preserve">Number of academic staff (FTE) per student (FTE). THE computes this as: Academic Staff FTE ÷ Student FTE. A lower ratio (more staff per student) = better personal attention, mentorship, and teaching quality. THE inverts this for scoring: higher score for lower ratio.</t>
  </si>
  <si>
    <t xml:space="preserve">4.5% of WUR</t>
  </si>
  <si>
    <t xml:space="preserve">Academic Staff FTE</t>
  </si>
  <si>
    <t xml:space="preserve">Full-time equivalent count of academic and research staff. Per THE definition: professors, associate professors, assistant professors, lecturers, teaching fellows, research fellows WITH teaching duties. Excludes: administrative staff, technical staff, support staff, visiting faculty (unless FTE ≥ 0.5), and emeritus faculty without active teaching.</t>
  </si>
  <si>
    <t xml:space="preserve">Numerator</t>
  </si>
  <si>
    <t xml:space="preserve">Student FTE</t>
  </si>
  <si>
    <t xml:space="preserve">Full-time equivalent student count. Includes all enrolled students: undergraduate, postgraduate (taught), postgraduate (research/PhD), professional programme students. Part-time students counted at pro-rata FTE (e.g., 0.5 FTE for half-time). Excludes: distance-only learners (unless specified), non-degree exchange students (short-term).</t>
  </si>
  <si>
    <t xml:space="preserve">Denominator</t>
  </si>
  <si>
    <t xml:space="preserve">Context: Teaching Pillar</t>
  </si>
  <si>
    <t xml:space="preserve">Teaching (29.5%) = Teaching Reputation (15%) + Staff-to-Student Ratio (4.5%) + Doctorates Awarded per Staff (5.5%) + Doctorate-to-Bachelor's Ratio (2%) + Institutional Income (2.5%). Staff-to-student ratio is rated 🟡 Moderate difficulty (1–3 years) — requires hiring, depends on budget constraints.</t>
  </si>
  <si>
    <t xml:space="preserve">4.5% of 29.5%</t>
  </si>
  <si>
    <t xml:space="preserve">Scoring Logic</t>
  </si>
  <si>
    <t xml:space="preserve">THE normalizes the raw ratio using z-scoring across all ranked universities. Lower ratio = higher z-score = better rank position. Institutions with ratio &lt;10:1 typically score in the top quartile. Ratios &gt;25:1 fall in the bottom quartile. PPP adjustment is NOT applied to this ratio (it's a headcount metric, not financial).</t>
  </si>
  <si>
    <t xml:space="preserve">Normalization</t>
  </si>
  <si>
    <t xml:space="preserve">Improvement Strategies (from Strategic Roadmap)</t>
  </si>
  <si>
    <t xml:space="preserve">• Hire high-quality faculty strategically to reduce ratio in key departments.</t>
  </si>
  <si>
    <t xml:space="preserve">• Reduce large class sizes using teaching assistants and lab demonstrators.</t>
  </si>
  <si>
    <t xml:space="preserve">• Start recruitment to improve ratio in departments with highest student load.</t>
  </si>
  <si>
    <t xml:space="preserve">• Recruit 2–5 international faculty / postdocs with teaching responsibilities.</t>
  </si>
  <si>
    <t xml:space="preserve">• Strategic hiring plan aligned with budget constraints and growth targets.</t>
  </si>
  <si>
    <t xml:space="preserve">• Difficulty: 🟡 Moderate (1–3 years). Requires hiring; depends on budget constraints.</t>
  </si>
  <si>
    <t xml:space="preserve">• Quick wins: deploy TAs/tutors/adjuncts in high-load departments while permanent hiring progresses.</t>
  </si>
  <si>
    <t xml:space="preserve">Academic Staff — Full-Time Equivalent (FTE) by Category</t>
  </si>
  <si>
    <t xml:space="preserve">THE-compliant FTE: professors, assoc. professors, asst. professors, lecturers, research fellows with teaching | Excludes admin/support</t>
  </si>
  <si>
    <t xml:space="preserve">S.No.</t>
  </si>
  <si>
    <t xml:space="preserve">University Name</t>
  </si>
  <si>
    <t xml:space="preserve">Country</t>
  </si>
  <si>
    <t xml:space="preserve">Professors (FTE)</t>
  </si>
  <si>
    <t xml:space="preserve">Associate Professors (FTE)</t>
  </si>
  <si>
    <t xml:space="preserve">Assistant Professors (FTE)</t>
  </si>
  <si>
    <t xml:space="preserve">Lecturers / Instructors (FTE)</t>
  </si>
  <si>
    <t xml:space="preserve">Research Fellows with Teaching (FTE)</t>
  </si>
  <si>
    <t xml:space="preserve">Other Teaching Staff (FTE)</t>
  </si>
  <si>
    <t xml:space="preserve">Total Academic Staff FTE</t>
  </si>
  <si>
    <t xml:space="preserve">Reporting Year</t>
  </si>
  <si>
    <t xml:space="preserve">Department-Level Staff FTE Breakdown (Per University)</t>
  </si>
  <si>
    <t xml:space="preserve">Department / School Name</t>
  </si>
  <si>
    <t xml:space="preserve">Faculty / College</t>
  </si>
  <si>
    <t xml:space="preserve">Professors</t>
  </si>
  <si>
    <t xml:space="preserve">Assoc. Prof</t>
  </si>
  <si>
    <t xml:space="preserve">Asst. Prof</t>
  </si>
  <si>
    <t xml:space="preserve">Lecturers</t>
  </si>
  <si>
    <t xml:space="preserve">Research Fellows (Teaching)</t>
  </si>
  <si>
    <t xml:space="preserve">Other Teaching</t>
  </si>
  <si>
    <t xml:space="preserve">Total FTE</t>
  </si>
  <si>
    <t xml:space="preserve">Student Enrolment — Full-Time Equivalent (FTE) by Level</t>
  </si>
  <si>
    <t xml:space="preserve">All enrolled students: UG + PG (taught) + PG (research/PhD) + Professional | Part-time at pro-rata FTE</t>
  </si>
  <si>
    <t xml:space="preserve">UG Full-Time</t>
  </si>
  <si>
    <t xml:space="preserve">UG Part-Time (FTE equiv.)</t>
  </si>
  <si>
    <t xml:space="preserve">PG Taught Full-Time</t>
  </si>
  <si>
    <t xml:space="preserve">PG Taught Part-Time (FTE)</t>
  </si>
  <si>
    <t xml:space="preserve">PG Research/PhD Full-Time</t>
  </si>
  <si>
    <t xml:space="preserve">PG Research/PhD Part-Time (FTE)</t>
  </si>
  <si>
    <t xml:space="preserve">Total Student FTE</t>
  </si>
  <si>
    <t xml:space="preserve">Department-Level Student FTE Breakdown (Per University)</t>
  </si>
  <si>
    <t xml:space="preserve">UG FT</t>
  </si>
  <si>
    <t xml:space="preserve">UG PT (FTE)</t>
  </si>
  <si>
    <t xml:space="preserve">PG Taught FT</t>
  </si>
  <si>
    <t xml:space="preserve">PG Taught PT (FTE)</t>
  </si>
  <si>
    <t xml:space="preserve">PhD FT</t>
  </si>
  <si>
    <t xml:space="preserve">PhD PT (FTE)</t>
  </si>
  <si>
    <t xml:space="preserve">Staff-to-Student Ratio — Calculation &amp; Scoring</t>
  </si>
  <si>
    <t xml:space="preserve">Ratio = Academic Staff FTE ÷ Student FTE | Lower ratio = better | Z-scored across all universities</t>
  </si>
  <si>
    <t xml:space="preserve">Staff-to-Student Ratio (1:X)</t>
  </si>
  <si>
    <t xml:space="preserve">Students per Staff</t>
  </si>
  <si>
    <t xml:space="preserve">Z-Score</t>
  </si>
  <si>
    <t xml:space="preserve">Normalized Score (0–100)</t>
  </si>
  <si>
    <t xml:space="preserve">Summary Statistics</t>
  </si>
  <si>
    <t xml:space="preserve">Average Students per Staff</t>
  </si>
  <si>
    <t xml:space="preserve">Best (Lowest) Ratio</t>
  </si>
  <si>
    <t xml:space="preserve">Worst (Highest) Ratio</t>
  </si>
  <si>
    <t xml:space="preserve">Median Ratio</t>
  </si>
  <si>
    <t xml:space="preserve">Std Deviation</t>
  </si>
  <si>
    <t xml:space="preserve">Department-Level Staff-to-Student Ratios — Identifying Hotspots</t>
  </si>
  <si>
    <t xml:space="preserve">Granular view showing which departments have the worst ratios | Prioritize hiring where needed most</t>
  </si>
  <si>
    <t xml:space="preserve">Department / School</t>
  </si>
  <si>
    <t xml:space="preserve">Staff FTE</t>
  </si>
  <si>
    <t xml:space="preserve">Target Ratio</t>
  </si>
  <si>
    <t xml:space="preserve">Gap to Target</t>
  </si>
  <si>
    <t xml:space="preserve">Priority (High/Med/Low)</t>
  </si>
  <si>
    <t xml:space="preserve">Staff-to-Student Ratio — 5-Year Trend Analysis</t>
  </si>
  <si>
    <t xml:space="preserve">Track ratio improvement over 5 years | Demonstrates investment in teaching environment</t>
  </si>
  <si>
    <t xml:space="preserve">Year 1 Ratio</t>
  </si>
  <si>
    <t xml:space="preserve">Year 2 Ratio</t>
  </si>
  <si>
    <t xml:space="preserve">Year 3 Ratio</t>
  </si>
  <si>
    <t xml:space="preserve">Year 4 Ratio</t>
  </si>
  <si>
    <t xml:space="preserve">Year 5 Ratio (Current)</t>
  </si>
  <si>
    <t xml:space="preserve">5-Year Change</t>
  </si>
  <si>
    <t xml:space="preserve">Improvement Rate (%)</t>
  </si>
  <si>
    <t xml:space="preserve">Trend</t>
  </si>
  <si>
    <t xml:space="preserve">Strategic Hiring &amp; Teaching Assistant Deployment Plan</t>
  </si>
  <si>
    <t xml:space="preserve">Targeted actions to reduce students-per-staff in priority departments | Short-term TAs + long-term hiring</t>
  </si>
  <si>
    <t xml:space="preserve">Current Students/Staff</t>
  </si>
  <si>
    <t xml:space="preserve">Additional Staff Needed</t>
  </si>
  <si>
    <t xml:space="preserve">TAs / Tutors to Deploy (Interim)</t>
  </si>
  <si>
    <t xml:space="preserve">Budget Required (INR L / USD K)</t>
  </si>
  <si>
    <t xml:space="preserve">Timeline</t>
  </si>
  <si>
    <t xml:space="preserve">Status (Done/IP/Planned)</t>
  </si>
  <si>
    <t xml:space="preserve">FTE Counting Rules — Inclusions &amp; Exclusions per THE Definition</t>
  </si>
  <si>
    <t xml:space="preserve">Precise definitions to ensure THE-compliant FTE counts for both staff and students</t>
  </si>
  <si>
    <t xml:space="preserve">Category</t>
  </si>
  <si>
    <t xml:space="preserve">Rule / Definition</t>
  </si>
  <si>
    <t xml:space="preserve">Include / Exclude</t>
  </si>
  <si>
    <t xml:space="preserve">Notes</t>
  </si>
  <si>
    <t xml:space="preserve">Staff</t>
  </si>
  <si>
    <t xml:space="preserve">Full-time professor/associate/assistant</t>
  </si>
  <si>
    <t xml:space="preserve">Include</t>
  </si>
  <si>
    <t xml:space="preserve">Core academic staff</t>
  </si>
  <si>
    <t xml:space="preserve">Part-time professor (e.g., 50% appointment)</t>
  </si>
  <si>
    <t xml:space="preserve">Pro-rata</t>
  </si>
  <si>
    <t xml:space="preserve">Lecturer / instructor with teaching duties</t>
  </si>
  <si>
    <t xml:space="preserve">Teaching-focused staff</t>
  </si>
  <si>
    <t xml:space="preserve">Research fellow WITH teaching responsibilities</t>
  </si>
  <si>
    <t xml:space="preserve">Must have formal teaching load</t>
  </si>
  <si>
    <t xml:space="preserve">Research-only staff (no teaching)</t>
  </si>
  <si>
    <t xml:space="preserve">Exclude</t>
  </si>
  <si>
    <t xml:space="preserve">Not part of teaching environment</t>
  </si>
  <si>
    <t xml:space="preserve">Administrative staff (registrar, accounts, etc.)</t>
  </si>
  <si>
    <t xml:space="preserve">Non-academic</t>
  </si>
  <si>
    <t xml:space="preserve">Technical / lab support staff</t>
  </si>
  <si>
    <t xml:space="preserve">Support role</t>
  </si>
  <si>
    <t xml:space="preserve">Visiting faculty (&lt;0.5 FTE or &lt;1 semester)</t>
  </si>
  <si>
    <t xml:space="preserve">Below threshold</t>
  </si>
  <si>
    <t xml:space="preserve">Visiting faculty (≥0.5 FTE and ≥1 semester)</t>
  </si>
  <si>
    <t xml:space="preserve">Meets threshold</t>
  </si>
  <si>
    <t xml:space="preserve">Emeritus professor (no active teaching)</t>
  </si>
  <si>
    <t xml:space="preserve">Inactive</t>
  </si>
  <si>
    <t xml:space="preserve">Teaching assistants / tutors (not faculty)</t>
  </si>
  <si>
    <t xml:space="preserve">Not academic staff per THE</t>
  </si>
  <si>
    <t xml:space="preserve">Adjunct faculty (&lt;0.25 FTE)</t>
  </si>
  <si>
    <t xml:space="preserve">Student</t>
  </si>
  <si>
    <t xml:space="preserve">Full-time UG student</t>
  </si>
  <si>
    <t xml:space="preserve">Standard</t>
  </si>
  <si>
    <t xml:space="preserve">Part-time UG student</t>
  </si>
  <si>
    <t xml:space="preserve">Full-time PG (taught) student</t>
  </si>
  <si>
    <t xml:space="preserve">Part-time PG (taught) student</t>
  </si>
  <si>
    <t xml:space="preserve">Full-time PhD / research student</t>
  </si>
  <si>
    <t xml:space="preserve">Part-time PhD / research student</t>
  </si>
  <si>
    <t xml:space="preserve">Distance-only / online-only student</t>
  </si>
  <si>
    <t xml:space="preserve">Conditional</t>
  </si>
  <si>
    <t xml:space="preserve">May vary by cycle</t>
  </si>
  <si>
    <t xml:space="preserve">Short-term exchange student (&lt;1 semester)</t>
  </si>
  <si>
    <t xml:space="preserve">Non-degree, temporary</t>
  </si>
  <si>
    <t xml:space="preserve">Non-degree certificate / audit student</t>
  </si>
  <si>
    <t xml:space="preserve">Not enrolled in degree programme</t>
  </si>
  <si>
    <t xml:space="preserve">Benchmarking — Staff-to-Student Ratio</t>
  </si>
  <si>
    <t xml:space="preserve">Compare against peers, aspirational targets, and global top performers</t>
  </si>
  <si>
    <t xml:space="preserve">University / Benchmark</t>
  </si>
  <si>
    <t xml:space="preserve">Students/Staff</t>
  </si>
  <si>
    <t xml:space="preserve">Score (0–100)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</si>
  <si>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</si>
  <si>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</si>
  <si>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</si>
  <si>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</si>
  <si>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</si>
  <si>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</si>
  <si>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</si>
  <si>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</si>
  <si>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</si>
  <si>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THE Top Quartile Benchmark</t>
  </si>
  <si>
    <t xml:space="preserve">&lt;10:1</t>
  </si>
  <si>
    <t xml:space="preserve">Staff-to-Student Ratio — Risk Assessment &amp; Mitigation</t>
  </si>
  <si>
    <t xml:space="preserve">Risks specific to improving the staff-to-student ratio | From THE Risk Matrix</t>
  </si>
  <si>
    <t xml:space="preserve">Risk</t>
  </si>
  <si>
    <t xml:space="preserve">Level</t>
  </si>
  <si>
    <t xml:space="preserve">Impact on Ratio</t>
  </si>
  <si>
    <t xml:space="preserve">Mitigation</t>
  </si>
  <si>
    <t xml:space="preserve">Owner</t>
  </si>
  <si>
    <t xml:space="preserve">Faculty shortages / hiring freezes</t>
  </si>
  <si>
    <t xml:space="preserve">🟡 Medium</t>
  </si>
  <si>
    <t xml:space="preserve">Cannot reduce ratio; remains high vs peers</t>
  </si>
  <si>
    <t xml:space="preserve">Strategic hiring plan; prioritize high-load departments; adjunct/TA bridge</t>
  </si>
  <si>
    <t xml:space="preserve">Budget constraints limiting new hires</t>
  </si>
  <si>
    <t xml:space="preserve">Cannot afford to recruit additional staff</t>
  </si>
  <si>
    <t xml:space="preserve">External grants, CSR funding, government support, phased hiring</t>
  </si>
  <si>
    <t xml:space="preserve">Rapid student enrolment growth</t>
  </si>
  <si>
    <t xml:space="preserve">Student FTE grows faster than staff FTE; ratio worsens</t>
  </si>
  <si>
    <t xml:space="preserve">Cap enrolment growth; hire proportionally; use TA deployment</t>
  </si>
  <si>
    <t xml:space="preserve">Misclassification of staff (inflating FTE)</t>
  </si>
  <si>
    <t xml:space="preserve">🔴 High</t>
  </si>
  <si>
    <t xml:space="preserve">Audit reveals non-compliant staff counted; ratio corrected upward</t>
  </si>
  <si>
    <t xml:space="preserve">Strict adherence to THE FTE definitions; internal audit</t>
  </si>
  <si>
    <t xml:space="preserve">Counting non-teaching research staff</t>
  </si>
  <si>
    <t xml:space="preserve">Research-only staff cannot be counted; inflates numerator</t>
  </si>
  <si>
    <t xml:space="preserve">Separate teaching vs research-only in HR database</t>
  </si>
  <si>
    <t xml:space="preserve">Part-time staff FTE miscalculation</t>
  </si>
  <si>
    <t xml:space="preserve">Overestimating part-time FTE gives false low ratio</t>
  </si>
  <si>
    <t xml:space="preserve">Standardize FTE calculation: contractual hours ÷ full-time hours</t>
  </si>
  <si>
    <t xml:space="preserve">Distance/online student miscounting</t>
  </si>
  <si>
    <t xml:space="preserve">Including excluded categories inflates denominator</t>
  </si>
  <si>
    <t xml:space="preserve">Verify THE guidelines on distance learners per cycle</t>
  </si>
  <si>
    <t xml:space="preserve">Data submission errors to THE</t>
  </si>
  <si>
    <t xml:space="preserve">Incorrect ratio submitted; affects ranking directly</t>
  </si>
  <si>
    <t xml:space="preserve">Double-check all figures; internal + external peer review before submission</t>
  </si>
  <si>
    <t xml:space="preserve">Staff-to-Student Ratio — Data Quality &amp; Audit Checklist</t>
  </si>
  <si>
    <t xml:space="preserve">Validation checks for SSR data (4.5% of total WUR score)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</si>
  <si>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</si>
  <si>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</si>
  <si>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</si>
  <si>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</si>
  <si>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</si>
  <si>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Academic staff FTE definition compliance</t>
  </si>
  <si>
    <t xml:space="preserve">FTE counts follow THE definition: professors, assoc/asst professors, lecturers, research fellows WITH teaching duties only</t>
  </si>
  <si>
    <t xml:space="preserve">Research-only staff excluded</t>
  </si>
  <si>
    <t xml:space="preserve">Staff with no formal teaching load excluded from academic staff FTE count</t>
  </si>
  <si>
    <t xml:space="preserve">Admin/technical staff excluded</t>
  </si>
  <si>
    <t xml:space="preserve">Administrative, technical, and support staff not counted in academic FTE</t>
  </si>
  <si>
    <t xml:space="preserve">Visiting faculty threshold</t>
  </si>
  <si>
    <t xml:space="preserve">Visiting faculty counted only if ≥0.5 FTE and ≥1 semester appointment</t>
  </si>
  <si>
    <t xml:space="preserve">Part-time staff FTE calculation</t>
  </si>
  <si>
    <t xml:space="preserve">Part-time staff FTE = contractual hours ÷ full-time equivalent hours; method documented</t>
  </si>
  <si>
    <t xml:space="preserve">Student FTE definition compliance</t>
  </si>
  <si>
    <t xml:space="preserve">All enrolled degree-seeking students counted: UG + PG taught + PG research/PhD</t>
  </si>
  <si>
    <t xml:space="preserve">Part-time student FTE calculation</t>
  </si>
  <si>
    <t xml:space="preserve">Part-time students at proportional FTE; method documented and consistently applied</t>
  </si>
  <si>
    <t xml:space="preserve">Distance learner treatment</t>
  </si>
  <si>
    <t xml:space="preserve">Distance/online-only students included or excluded per current THE cycle guidelines</t>
  </si>
  <si>
    <t xml:space="preserve">Exchange student exclusion</t>
  </si>
  <si>
    <t xml:space="preserve">Short-term, non-degree exchange students (&lt;1 semester) excluded from count</t>
  </si>
  <si>
    <t xml:space="preserve">Non-degree student exclusion</t>
  </si>
  <si>
    <t xml:space="preserve">Certificate, audit, and non-degree students excluded from FTE count</t>
  </si>
  <si>
    <t xml:space="preserve">HR records cross-reference</t>
  </si>
  <si>
    <t xml:space="preserve">Staff FTE verified against official HR/establishment records (payroll, appointment letters)</t>
  </si>
  <si>
    <t xml:space="preserve">Registrar records cross-reference</t>
  </si>
  <si>
    <t xml:space="preserve">Student FTE verified against official registrar enrollment records</t>
  </si>
  <si>
    <t xml:space="preserve">Department-level reconciliation</t>
  </si>
  <si>
    <t xml:space="preserve">Sum of department-level FTEs equals university-level total (both staff and students)</t>
  </si>
  <si>
    <t xml:space="preserve">Year-on-year consistency</t>
  </si>
  <si>
    <t xml:space="preserve">Current year FTE compared with previous year; changes &gt;15% documented with explanation</t>
  </si>
  <si>
    <t xml:space="preserve">Ratio calculation verification</t>
  </si>
  <si>
    <t xml:space="preserve">Students per Staff = Student FTE ÷ Staff FTE; verified independently by 2 reviewers</t>
  </si>
  <si>
    <t xml:space="preserve">Z-score normalization</t>
  </si>
  <si>
    <t xml:space="preserve">Z-scoring applied with inverted scale (lower ratio = higher score); formula verified</t>
  </si>
  <si>
    <t xml:space="preserve">Outlier detection</t>
  </si>
  <si>
    <t xml:space="preserve">Universities with ratio &gt;3 SD from mean flagged for verification</t>
  </si>
  <si>
    <t xml:space="preserve">THE submission field mapping</t>
  </si>
  <si>
    <t xml:space="preserve">FTE figures correctly mapped to THE Portal submission fields</t>
  </si>
  <si>
    <t xml:space="preserve">Audit trail documentation</t>
  </si>
  <si>
    <t xml:space="preserve">Source documents (HR lists, enrollment reports) archived for THE audit queries</t>
  </si>
  <si>
    <t xml:space="preserve">Reproducibility test</t>
  </si>
  <si>
    <t xml:space="preserve">Ratio independently reproducible from source HR + registrar records within ±2%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</si>
</sst>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"/>
    <numFmt numFmtId="167" formatCode="0.0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2F8F9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2F8F9D"/>
        <bgColor rgb="FF2E75B6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3F51B5"/>
        <bgColor rgb="FF666699"/>
      </patternFill>
    </fill>
    <fill>
      <patternFill patternType="solid">
        <fgColor rgb="FFBF8F00"/>
        <bgColor rgb="FFED7D31"/>
      </patternFill>
    </fill>
    <fill>
      <patternFill patternType="solid">
        <fgColor rgb="FF8B0000"/>
        <bgColor rgb="FF800000"/>
      </patternFill>
    </fill>
    <fill>
      <patternFill patternType="solid">
        <fgColor rgb="FFFCE4D6"/>
        <bgColor rgb="FFFFF5D9"/>
      </patternFill>
    </fill>
    <fill>
      <patternFill patternType="solid">
        <fgColor rgb="FFFFF5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84.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15" hidden="false" customHeight="true" outlineLevel="0" collapsed="false">
      <c r="A12" s="13" t="s">
        <v>22</v>
      </c>
      <c r="B12" s="13"/>
      <c r="C12" s="13"/>
      <c r="D12" s="13"/>
    </row>
    <row r="13" customFormat="false" ht="15" hidden="false" customHeight="true" outlineLevel="0" collapsed="false">
      <c r="A13" s="13" t="s">
        <v>23</v>
      </c>
      <c r="B13" s="13"/>
      <c r="C13" s="13"/>
      <c r="D13" s="13"/>
    </row>
    <row r="14" customFormat="false" ht="15" hidden="false" customHeight="true" outlineLevel="0" collapsed="false">
      <c r="A14" s="13" t="s">
        <v>24</v>
      </c>
      <c r="B14" s="13"/>
      <c r="C14" s="13"/>
      <c r="D14" s="13"/>
    </row>
    <row r="15" customFormat="false" ht="15" hidden="false" customHeight="true" outlineLevel="0" collapsed="false">
      <c r="A15" s="13" t="s">
        <v>25</v>
      </c>
      <c r="B15" s="13"/>
      <c r="C15" s="13"/>
      <c r="D15" s="13"/>
    </row>
    <row r="16" customFormat="false" ht="15" hidden="false" customHeight="true" outlineLevel="0" collapsed="false">
      <c r="A16" s="13" t="s">
        <v>26</v>
      </c>
      <c r="B16" s="13"/>
      <c r="C16" s="13"/>
      <c r="D16" s="13"/>
    </row>
    <row r="17" customFormat="false" ht="15" hidden="false" customHeight="true" outlineLevel="0" collapsed="false">
      <c r="A17" s="13" t="s">
        <v>27</v>
      </c>
      <c r="B17" s="13"/>
      <c r="C17" s="13"/>
      <c r="D17" s="13"/>
    </row>
    <row r="18" customFormat="false" ht="15" hidden="false" customHeight="true" outlineLevel="0" collapsed="false">
      <c r="A18" s="13" t="s">
        <v>28</v>
      </c>
      <c r="B18" s="13"/>
      <c r="C18" s="13"/>
      <c r="D18" s="13"/>
    </row>
  </sheetData>
  <mergeCells count="10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25.5" hidden="false" customHeight="true" outlineLevel="0" collapsed="false">
      <c r="A2" s="15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35.05" hidden="false" customHeight="false" outlineLevel="0" collapsed="false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37</v>
      </c>
      <c r="H3" s="16" t="s">
        <v>38</v>
      </c>
      <c r="I3" s="16" t="s">
        <v>39</v>
      </c>
      <c r="J3" s="16" t="s">
        <v>40</v>
      </c>
      <c r="K3" s="16" t="s">
        <v>41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8" t="n">
        <f aca="false">SUM(D4:I4)</f>
        <v>0</v>
      </c>
      <c r="K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4" t="n">
        <f aca="false">SUM(D5:I5)</f>
        <v>0</v>
      </c>
      <c r="K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8" t="n">
        <f aca="false">SUM(D6:I6)</f>
        <v>0</v>
      </c>
      <c r="K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4" t="n">
        <f aca="false">SUM(D7:I7)</f>
        <v>0</v>
      </c>
      <c r="K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8" t="n">
        <f aca="false">SUM(D8:I8)</f>
        <v>0</v>
      </c>
      <c r="K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4" t="n">
        <f aca="false">SUM(D9:I9)</f>
        <v>0</v>
      </c>
      <c r="K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8" t="n">
        <f aca="false">SUM(D10:I10)</f>
        <v>0</v>
      </c>
      <c r="K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4" t="n">
        <f aca="false">SUM(D11:I11)</f>
        <v>0</v>
      </c>
      <c r="K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8" t="n">
        <f aca="false">SUM(D12:I12)</f>
        <v>0</v>
      </c>
      <c r="K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4" t="n">
        <f aca="false">SUM(D13:I13)</f>
        <v>0</v>
      </c>
      <c r="K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8" t="n">
        <f aca="false">SUM(D14:I14)</f>
        <v>0</v>
      </c>
      <c r="K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4" t="n">
        <f aca="false">SUM(D15:I15)</f>
        <v>0</v>
      </c>
      <c r="K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8" t="n">
        <f aca="false">SUM(D16:I16)</f>
        <v>0</v>
      </c>
      <c r="K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4" t="n">
        <f aca="false">SUM(D17:I17)</f>
        <v>0</v>
      </c>
      <c r="K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8" t="n">
        <f aca="false">SUM(D18:I18)</f>
        <v>0</v>
      </c>
      <c r="K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4" t="n">
        <f aca="false">SUM(D19:I19)</f>
        <v>0</v>
      </c>
      <c r="K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8" t="n">
        <f aca="false">SUM(D20:I20)</f>
        <v>0</v>
      </c>
      <c r="K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4" t="n">
        <f aca="false">SUM(D21:I21)</f>
        <v>0</v>
      </c>
      <c r="K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8" t="n">
        <f aca="false">SUM(D22:I22)</f>
        <v>0</v>
      </c>
      <c r="K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4" t="n">
        <f aca="false">SUM(D23:I23)</f>
        <v>0</v>
      </c>
      <c r="K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8" t="n">
        <f aca="false">SUM(D24:I24)</f>
        <v>0</v>
      </c>
      <c r="K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4" t="n">
        <f aca="false">SUM(D25:I25)</f>
        <v>0</v>
      </c>
      <c r="K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8" t="n">
        <f aca="false">SUM(D26:I26)</f>
        <v>0</v>
      </c>
      <c r="K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4" t="n">
        <f aca="false">SUM(D27:I27)</f>
        <v>0</v>
      </c>
      <c r="K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8" t="n">
        <f aca="false">SUM(D28:I28)</f>
        <v>0</v>
      </c>
      <c r="K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4" t="n">
        <f aca="false">SUM(D29:I29)</f>
        <v>0</v>
      </c>
      <c r="K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8" t="n">
        <f aca="false">SUM(D30:I30)</f>
        <v>0</v>
      </c>
      <c r="K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4" t="n">
        <f aca="false">SUM(D31:I31)</f>
        <v>0</v>
      </c>
      <c r="K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8" t="n">
        <f aca="false">SUM(D32:I32)</f>
        <v>0</v>
      </c>
      <c r="K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4" t="n">
        <f aca="false">SUM(D33:I33)</f>
        <v>0</v>
      </c>
      <c r="K33" s="18"/>
    </row>
    <row r="35" customFormat="false" ht="25.5" hidden="false" customHeight="true" outlineLevel="0" collapsed="false">
      <c r="A35" s="19" t="s">
        <v>42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customFormat="false" ht="23.85" hidden="false" customHeight="false" outlineLevel="0" collapsed="false">
      <c r="A36" s="20" t="s">
        <v>31</v>
      </c>
      <c r="B36" s="20" t="s">
        <v>43</v>
      </c>
      <c r="C36" s="20" t="s">
        <v>44</v>
      </c>
      <c r="D36" s="20" t="s">
        <v>45</v>
      </c>
      <c r="E36" s="20" t="s">
        <v>46</v>
      </c>
      <c r="F36" s="20" t="s">
        <v>47</v>
      </c>
      <c r="G36" s="20" t="s">
        <v>48</v>
      </c>
      <c r="H36" s="20" t="s">
        <v>49</v>
      </c>
      <c r="I36" s="20" t="s">
        <v>50</v>
      </c>
      <c r="J36" s="20" t="s">
        <v>51</v>
      </c>
      <c r="K36" s="20" t="s">
        <v>32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7" t="n">
        <f aca="false">SUM(D37:I37)</f>
        <v>0</v>
      </c>
      <c r="K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1" t="n">
        <f aca="false">SUM(D38:I38)</f>
        <v>0</v>
      </c>
      <c r="K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7" t="n">
        <f aca="false">SUM(D39:I39)</f>
        <v>0</v>
      </c>
      <c r="K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1" t="n">
        <f aca="false">SUM(D40:I40)</f>
        <v>0</v>
      </c>
      <c r="K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7" t="n">
        <f aca="false">SUM(D41:I41)</f>
        <v>0</v>
      </c>
      <c r="K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1" t="n">
        <f aca="false">SUM(D42:I42)</f>
        <v>0</v>
      </c>
      <c r="K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7" t="n">
        <f aca="false">SUM(D43:I43)</f>
        <v>0</v>
      </c>
      <c r="K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1" t="n">
        <f aca="false">SUM(D44:I44)</f>
        <v>0</v>
      </c>
      <c r="K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7" t="n">
        <f aca="false">SUM(D45:I45)</f>
        <v>0</v>
      </c>
      <c r="K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1" t="n">
        <f aca="false">SUM(D46:I46)</f>
        <v>0</v>
      </c>
      <c r="K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7" t="n">
        <f aca="false">SUM(D47:I47)</f>
        <v>0</v>
      </c>
      <c r="K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1" t="n">
        <f aca="false">SUM(D48:I48)</f>
        <v>0</v>
      </c>
      <c r="K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7" t="n">
        <f aca="false">SUM(D49:I49)</f>
        <v>0</v>
      </c>
      <c r="K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1" t="n">
        <f aca="false">SUM(D50:I50)</f>
        <v>0</v>
      </c>
      <c r="K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7" t="n">
        <f aca="false">SUM(D51:I51)</f>
        <v>0</v>
      </c>
      <c r="K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1" t="n">
        <f aca="false">SUM(D52:I52)</f>
        <v>0</v>
      </c>
      <c r="K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7" t="n">
        <f aca="false">SUM(D53:I53)</f>
        <v>0</v>
      </c>
      <c r="K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1" t="n">
        <f aca="false">SUM(D54:I54)</f>
        <v>0</v>
      </c>
      <c r="K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7" t="n">
        <f aca="false">SUM(D55:I55)</f>
        <v>0</v>
      </c>
      <c r="K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1" t="n">
        <f aca="false">SUM(D56:I56)</f>
        <v>0</v>
      </c>
      <c r="K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7" t="n">
        <f aca="false">SUM(D57:I57)</f>
        <v>0</v>
      </c>
      <c r="K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1" t="n">
        <f aca="false">SUM(D58:I58)</f>
        <v>0</v>
      </c>
      <c r="K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7" t="n">
        <f aca="false">SUM(D59:I59)</f>
        <v>0</v>
      </c>
      <c r="K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1" t="n">
        <f aca="false">SUM(D60:I60)</f>
        <v>0</v>
      </c>
      <c r="K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7" t="n">
        <f aca="false">SUM(D61:I61)</f>
        <v>0</v>
      </c>
      <c r="K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1" t="n">
        <f aca="false">SUM(D62:I62)</f>
        <v>0</v>
      </c>
      <c r="K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18"/>
      <c r="G63" s="18"/>
      <c r="H63" s="18"/>
      <c r="I63" s="18"/>
      <c r="J63" s="7" t="n">
        <f aca="false">SUM(D63:I63)</f>
        <v>0</v>
      </c>
      <c r="K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1" t="n">
        <f aca="false">SUM(D64:I64)</f>
        <v>0</v>
      </c>
      <c r="K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18"/>
      <c r="G65" s="18"/>
      <c r="H65" s="18"/>
      <c r="I65" s="18"/>
      <c r="J65" s="7" t="n">
        <f aca="false">SUM(D65:I65)</f>
        <v>0</v>
      </c>
      <c r="K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1" t="n">
        <f aca="false">SUM(D66:I66)</f>
        <v>0</v>
      </c>
      <c r="K66" s="17"/>
    </row>
    <row r="67" customFormat="false" ht="15" hidden="false" customHeight="false" outlineLevel="0" collapsed="false">
      <c r="A67" s="4" t="n">
        <v>31</v>
      </c>
      <c r="B67" s="18"/>
      <c r="C67" s="18"/>
      <c r="D67" s="18"/>
      <c r="E67" s="18"/>
      <c r="F67" s="18"/>
      <c r="G67" s="18"/>
      <c r="H67" s="18"/>
      <c r="I67" s="18"/>
      <c r="J67" s="7" t="n">
        <f aca="false">SUM(D67:I67)</f>
        <v>0</v>
      </c>
      <c r="K67" s="18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1" t="n">
        <f aca="false">SUM(D68:I68)</f>
        <v>0</v>
      </c>
      <c r="K68" s="17"/>
    </row>
    <row r="69" customFormat="false" ht="15" hidden="false" customHeight="false" outlineLevel="0" collapsed="false">
      <c r="A69" s="4" t="n">
        <v>33</v>
      </c>
      <c r="B69" s="18"/>
      <c r="C69" s="18"/>
      <c r="D69" s="18"/>
      <c r="E69" s="18"/>
      <c r="F69" s="18"/>
      <c r="G69" s="18"/>
      <c r="H69" s="18"/>
      <c r="I69" s="18"/>
      <c r="J69" s="7" t="n">
        <f aca="false">SUM(D69:I69)</f>
        <v>0</v>
      </c>
      <c r="K69" s="18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1" t="n">
        <f aca="false">SUM(D70:I70)</f>
        <v>0</v>
      </c>
      <c r="K70" s="17"/>
    </row>
    <row r="71" customFormat="false" ht="15" hidden="false" customHeight="false" outlineLevel="0" collapsed="false">
      <c r="A71" s="4" t="n">
        <v>35</v>
      </c>
      <c r="B71" s="18"/>
      <c r="C71" s="18"/>
      <c r="D71" s="18"/>
      <c r="E71" s="18"/>
      <c r="F71" s="18"/>
      <c r="G71" s="18"/>
      <c r="H71" s="18"/>
      <c r="I71" s="18"/>
      <c r="J71" s="7" t="n">
        <f aca="false">SUM(D71:I71)</f>
        <v>0</v>
      </c>
      <c r="K71" s="18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1" t="n">
        <f aca="false">SUM(D72:I72)</f>
        <v>0</v>
      </c>
      <c r="K72" s="17"/>
    </row>
    <row r="73" customFormat="false" ht="15" hidden="false" customHeight="false" outlineLevel="0" collapsed="false">
      <c r="A73" s="4" t="n">
        <v>37</v>
      </c>
      <c r="B73" s="18"/>
      <c r="C73" s="18"/>
      <c r="D73" s="18"/>
      <c r="E73" s="18"/>
      <c r="F73" s="18"/>
      <c r="G73" s="18"/>
      <c r="H73" s="18"/>
      <c r="I73" s="18"/>
      <c r="J73" s="7" t="n">
        <f aca="false">SUM(D73:I73)</f>
        <v>0</v>
      </c>
      <c r="K73" s="18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1" t="n">
        <f aca="false">SUM(D74:I74)</f>
        <v>0</v>
      </c>
      <c r="K74" s="17"/>
    </row>
    <row r="75" customFormat="false" ht="15" hidden="false" customHeight="false" outlineLevel="0" collapsed="false">
      <c r="A75" s="4" t="n">
        <v>39</v>
      </c>
      <c r="B75" s="18"/>
      <c r="C75" s="18"/>
      <c r="D75" s="18"/>
      <c r="E75" s="18"/>
      <c r="F75" s="18"/>
      <c r="G75" s="18"/>
      <c r="H75" s="18"/>
      <c r="I75" s="18"/>
      <c r="J75" s="7" t="n">
        <f aca="false">SUM(D75:I75)</f>
        <v>0</v>
      </c>
      <c r="K75" s="18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1" t="n">
        <f aca="false">SUM(D76:I76)</f>
        <v>0</v>
      </c>
      <c r="K76" s="17"/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1" t="s">
        <v>52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5.5" hidden="false" customHeight="true" outlineLevel="0" collapsed="false">
      <c r="A2" s="22" t="s">
        <v>53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customFormat="false" ht="23.85" hidden="false" customHeight="false" outlineLevel="0" collapsed="false">
      <c r="A3" s="23" t="s">
        <v>31</v>
      </c>
      <c r="B3" s="23" t="s">
        <v>32</v>
      </c>
      <c r="C3" s="23" t="s">
        <v>33</v>
      </c>
      <c r="D3" s="23" t="s">
        <v>54</v>
      </c>
      <c r="E3" s="23" t="s">
        <v>55</v>
      </c>
      <c r="F3" s="23" t="s">
        <v>56</v>
      </c>
      <c r="G3" s="23" t="s">
        <v>57</v>
      </c>
      <c r="H3" s="23" t="s">
        <v>58</v>
      </c>
      <c r="I3" s="23" t="s">
        <v>59</v>
      </c>
      <c r="J3" s="23" t="s">
        <v>60</v>
      </c>
      <c r="K3" s="23" t="s">
        <v>41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8" t="n">
        <f aca="false">SUM(D4:I4)</f>
        <v>0</v>
      </c>
      <c r="K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4" t="n">
        <f aca="false">SUM(D5:I5)</f>
        <v>0</v>
      </c>
      <c r="K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8" t="n">
        <f aca="false">SUM(D6:I6)</f>
        <v>0</v>
      </c>
      <c r="K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4" t="n">
        <f aca="false">SUM(D7:I7)</f>
        <v>0</v>
      </c>
      <c r="K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8" t="n">
        <f aca="false">SUM(D8:I8)</f>
        <v>0</v>
      </c>
      <c r="K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4" t="n">
        <f aca="false">SUM(D9:I9)</f>
        <v>0</v>
      </c>
      <c r="K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8" t="n">
        <f aca="false">SUM(D10:I10)</f>
        <v>0</v>
      </c>
      <c r="K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4" t="n">
        <f aca="false">SUM(D11:I11)</f>
        <v>0</v>
      </c>
      <c r="K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8" t="n">
        <f aca="false">SUM(D12:I12)</f>
        <v>0</v>
      </c>
      <c r="K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4" t="n">
        <f aca="false">SUM(D13:I13)</f>
        <v>0</v>
      </c>
      <c r="K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8" t="n">
        <f aca="false">SUM(D14:I14)</f>
        <v>0</v>
      </c>
      <c r="K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4" t="n">
        <f aca="false">SUM(D15:I15)</f>
        <v>0</v>
      </c>
      <c r="K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8" t="n">
        <f aca="false">SUM(D16:I16)</f>
        <v>0</v>
      </c>
      <c r="K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4" t="n">
        <f aca="false">SUM(D17:I17)</f>
        <v>0</v>
      </c>
      <c r="K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8" t="n">
        <f aca="false">SUM(D18:I18)</f>
        <v>0</v>
      </c>
      <c r="K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4" t="n">
        <f aca="false">SUM(D19:I19)</f>
        <v>0</v>
      </c>
      <c r="K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8" t="n">
        <f aca="false">SUM(D20:I20)</f>
        <v>0</v>
      </c>
      <c r="K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4" t="n">
        <f aca="false">SUM(D21:I21)</f>
        <v>0</v>
      </c>
      <c r="K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8" t="n">
        <f aca="false">SUM(D22:I22)</f>
        <v>0</v>
      </c>
      <c r="K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4" t="n">
        <f aca="false">SUM(D23:I23)</f>
        <v>0</v>
      </c>
      <c r="K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8" t="n">
        <f aca="false">SUM(D24:I24)</f>
        <v>0</v>
      </c>
      <c r="K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4" t="n">
        <f aca="false">SUM(D25:I25)</f>
        <v>0</v>
      </c>
      <c r="K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8" t="n">
        <f aca="false">SUM(D26:I26)</f>
        <v>0</v>
      </c>
      <c r="K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4" t="n">
        <f aca="false">SUM(D27:I27)</f>
        <v>0</v>
      </c>
      <c r="K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8" t="n">
        <f aca="false">SUM(D28:I28)</f>
        <v>0</v>
      </c>
      <c r="K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4" t="n">
        <f aca="false">SUM(D29:I29)</f>
        <v>0</v>
      </c>
      <c r="K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8" t="n">
        <f aca="false">SUM(D30:I30)</f>
        <v>0</v>
      </c>
      <c r="K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4" t="n">
        <f aca="false">SUM(D31:I31)</f>
        <v>0</v>
      </c>
      <c r="K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8" t="n">
        <f aca="false">SUM(D32:I32)</f>
        <v>0</v>
      </c>
      <c r="K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4" t="n">
        <f aca="false">SUM(D33:I33)</f>
        <v>0</v>
      </c>
      <c r="K33" s="18"/>
    </row>
    <row r="35" customFormat="false" ht="25.5" hidden="false" customHeight="true" outlineLevel="0" collapsed="false">
      <c r="A35" s="24" t="s">
        <v>61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customFormat="false" ht="23.85" hidden="false" customHeight="false" outlineLevel="0" collapsed="false">
      <c r="A36" s="25" t="s">
        <v>31</v>
      </c>
      <c r="B36" s="25" t="s">
        <v>43</v>
      </c>
      <c r="C36" s="25" t="s">
        <v>44</v>
      </c>
      <c r="D36" s="25" t="s">
        <v>62</v>
      </c>
      <c r="E36" s="25" t="s">
        <v>63</v>
      </c>
      <c r="F36" s="25" t="s">
        <v>64</v>
      </c>
      <c r="G36" s="25" t="s">
        <v>65</v>
      </c>
      <c r="H36" s="25" t="s">
        <v>66</v>
      </c>
      <c r="I36" s="25" t="s">
        <v>67</v>
      </c>
      <c r="J36" s="25" t="s">
        <v>60</v>
      </c>
      <c r="K36" s="25" t="s">
        <v>32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7" t="n">
        <f aca="false">SUM(D37:I37)</f>
        <v>0</v>
      </c>
      <c r="K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1" t="n">
        <f aca="false">SUM(D38:I38)</f>
        <v>0</v>
      </c>
      <c r="K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7" t="n">
        <f aca="false">SUM(D39:I39)</f>
        <v>0</v>
      </c>
      <c r="K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1" t="n">
        <f aca="false">SUM(D40:I40)</f>
        <v>0</v>
      </c>
      <c r="K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7" t="n">
        <f aca="false">SUM(D41:I41)</f>
        <v>0</v>
      </c>
      <c r="K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1" t="n">
        <f aca="false">SUM(D42:I42)</f>
        <v>0</v>
      </c>
      <c r="K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7" t="n">
        <f aca="false">SUM(D43:I43)</f>
        <v>0</v>
      </c>
      <c r="K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1" t="n">
        <f aca="false">SUM(D44:I44)</f>
        <v>0</v>
      </c>
      <c r="K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7" t="n">
        <f aca="false">SUM(D45:I45)</f>
        <v>0</v>
      </c>
      <c r="K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1" t="n">
        <f aca="false">SUM(D46:I46)</f>
        <v>0</v>
      </c>
      <c r="K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7" t="n">
        <f aca="false">SUM(D47:I47)</f>
        <v>0</v>
      </c>
      <c r="K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1" t="n">
        <f aca="false">SUM(D48:I48)</f>
        <v>0</v>
      </c>
      <c r="K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7" t="n">
        <f aca="false">SUM(D49:I49)</f>
        <v>0</v>
      </c>
      <c r="K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1" t="n">
        <f aca="false">SUM(D50:I50)</f>
        <v>0</v>
      </c>
      <c r="K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7" t="n">
        <f aca="false">SUM(D51:I51)</f>
        <v>0</v>
      </c>
      <c r="K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1" t="n">
        <f aca="false">SUM(D52:I52)</f>
        <v>0</v>
      </c>
      <c r="K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7" t="n">
        <f aca="false">SUM(D53:I53)</f>
        <v>0</v>
      </c>
      <c r="K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1" t="n">
        <f aca="false">SUM(D54:I54)</f>
        <v>0</v>
      </c>
      <c r="K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7" t="n">
        <f aca="false">SUM(D55:I55)</f>
        <v>0</v>
      </c>
      <c r="K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1" t="n">
        <f aca="false">SUM(D56:I56)</f>
        <v>0</v>
      </c>
      <c r="K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7" t="n">
        <f aca="false">SUM(D57:I57)</f>
        <v>0</v>
      </c>
      <c r="K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1" t="n">
        <f aca="false">SUM(D58:I58)</f>
        <v>0</v>
      </c>
      <c r="K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7" t="n">
        <f aca="false">SUM(D59:I59)</f>
        <v>0</v>
      </c>
      <c r="K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1" t="n">
        <f aca="false">SUM(D60:I60)</f>
        <v>0</v>
      </c>
      <c r="K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7" t="n">
        <f aca="false">SUM(D61:I61)</f>
        <v>0</v>
      </c>
      <c r="K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1" t="n">
        <f aca="false">SUM(D62:I62)</f>
        <v>0</v>
      </c>
      <c r="K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18"/>
      <c r="G63" s="18"/>
      <c r="H63" s="18"/>
      <c r="I63" s="18"/>
      <c r="J63" s="7" t="n">
        <f aca="false">SUM(D63:I63)</f>
        <v>0</v>
      </c>
      <c r="K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1" t="n">
        <f aca="false">SUM(D64:I64)</f>
        <v>0</v>
      </c>
      <c r="K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18"/>
      <c r="G65" s="18"/>
      <c r="H65" s="18"/>
      <c r="I65" s="18"/>
      <c r="J65" s="7" t="n">
        <f aca="false">SUM(D65:I65)</f>
        <v>0</v>
      </c>
      <c r="K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1" t="n">
        <f aca="false">SUM(D66:I66)</f>
        <v>0</v>
      </c>
      <c r="K66" s="17"/>
    </row>
    <row r="67" customFormat="false" ht="15" hidden="false" customHeight="false" outlineLevel="0" collapsed="false">
      <c r="A67" s="4" t="n">
        <v>31</v>
      </c>
      <c r="B67" s="18"/>
      <c r="C67" s="18"/>
      <c r="D67" s="18"/>
      <c r="E67" s="18"/>
      <c r="F67" s="18"/>
      <c r="G67" s="18"/>
      <c r="H67" s="18"/>
      <c r="I67" s="18"/>
      <c r="J67" s="7" t="n">
        <f aca="false">SUM(D67:I67)</f>
        <v>0</v>
      </c>
      <c r="K67" s="18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1" t="n">
        <f aca="false">SUM(D68:I68)</f>
        <v>0</v>
      </c>
      <c r="K68" s="17"/>
    </row>
    <row r="69" customFormat="false" ht="15" hidden="false" customHeight="false" outlineLevel="0" collapsed="false">
      <c r="A69" s="4" t="n">
        <v>33</v>
      </c>
      <c r="B69" s="18"/>
      <c r="C69" s="18"/>
      <c r="D69" s="18"/>
      <c r="E69" s="18"/>
      <c r="F69" s="18"/>
      <c r="G69" s="18"/>
      <c r="H69" s="18"/>
      <c r="I69" s="18"/>
      <c r="J69" s="7" t="n">
        <f aca="false">SUM(D69:I69)</f>
        <v>0</v>
      </c>
      <c r="K69" s="18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1" t="n">
        <f aca="false">SUM(D70:I70)</f>
        <v>0</v>
      </c>
      <c r="K70" s="17"/>
    </row>
    <row r="71" customFormat="false" ht="15" hidden="false" customHeight="false" outlineLevel="0" collapsed="false">
      <c r="A71" s="4" t="n">
        <v>35</v>
      </c>
      <c r="B71" s="18"/>
      <c r="C71" s="18"/>
      <c r="D71" s="18"/>
      <c r="E71" s="18"/>
      <c r="F71" s="18"/>
      <c r="G71" s="18"/>
      <c r="H71" s="18"/>
      <c r="I71" s="18"/>
      <c r="J71" s="7" t="n">
        <f aca="false">SUM(D71:I71)</f>
        <v>0</v>
      </c>
      <c r="K71" s="18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1" t="n">
        <f aca="false">SUM(D72:I72)</f>
        <v>0</v>
      </c>
      <c r="K72" s="17"/>
    </row>
    <row r="73" customFormat="false" ht="15" hidden="false" customHeight="false" outlineLevel="0" collapsed="false">
      <c r="A73" s="4" t="n">
        <v>37</v>
      </c>
      <c r="B73" s="18"/>
      <c r="C73" s="18"/>
      <c r="D73" s="18"/>
      <c r="E73" s="18"/>
      <c r="F73" s="18"/>
      <c r="G73" s="18"/>
      <c r="H73" s="18"/>
      <c r="I73" s="18"/>
      <c r="J73" s="7" t="n">
        <f aca="false">SUM(D73:I73)</f>
        <v>0</v>
      </c>
      <c r="K73" s="18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1" t="n">
        <f aca="false">SUM(D74:I74)</f>
        <v>0</v>
      </c>
      <c r="K74" s="17"/>
    </row>
    <row r="75" customFormat="false" ht="15" hidden="false" customHeight="false" outlineLevel="0" collapsed="false">
      <c r="A75" s="4" t="n">
        <v>39</v>
      </c>
      <c r="B75" s="18"/>
      <c r="C75" s="18"/>
      <c r="D75" s="18"/>
      <c r="E75" s="18"/>
      <c r="F75" s="18"/>
      <c r="G75" s="18"/>
      <c r="H75" s="18"/>
      <c r="I75" s="18"/>
      <c r="J75" s="7" t="n">
        <f aca="false">SUM(D75:I75)</f>
        <v>0</v>
      </c>
      <c r="K75" s="18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1" t="n">
        <f aca="false">SUM(D76:I76)</f>
        <v>0</v>
      </c>
      <c r="K76" s="17"/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6" t="s">
        <v>68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25.5" hidden="false" customHeight="true" outlineLevel="0" collapsed="false">
      <c r="A2" s="27" t="s">
        <v>69</v>
      </c>
      <c r="B2" s="27"/>
      <c r="C2" s="27"/>
      <c r="D2" s="27"/>
      <c r="E2" s="27"/>
      <c r="F2" s="27"/>
      <c r="G2" s="27"/>
      <c r="H2" s="27"/>
      <c r="I2" s="27"/>
      <c r="J2" s="27"/>
    </row>
    <row r="3" customFormat="false" ht="23.85" hidden="false" customHeight="false" outlineLevel="0" collapsed="false">
      <c r="A3" s="28" t="s">
        <v>31</v>
      </c>
      <c r="B3" s="28" t="s">
        <v>32</v>
      </c>
      <c r="C3" s="28" t="s">
        <v>33</v>
      </c>
      <c r="D3" s="28" t="s">
        <v>9</v>
      </c>
      <c r="E3" s="28" t="s">
        <v>12</v>
      </c>
      <c r="F3" s="28" t="s">
        <v>70</v>
      </c>
      <c r="G3" s="28" t="s">
        <v>71</v>
      </c>
      <c r="H3" s="28" t="s">
        <v>72</v>
      </c>
      <c r="I3" s="28" t="s">
        <v>73</v>
      </c>
      <c r="J3" s="28" t="s">
        <v>41</v>
      </c>
    </row>
    <row r="4" customFormat="false" ht="15" hidden="false" customHeight="false" outlineLevel="0" collapsed="false">
      <c r="A4" s="8" t="n">
        <v>1</v>
      </c>
      <c r="B4" s="17"/>
      <c r="C4" s="17"/>
      <c r="D4" s="8" t="n">
        <f aca="false">'1. Academic Staff FTE'!J4</f>
        <v>0</v>
      </c>
      <c r="E4" s="8" t="n">
        <f aca="false">'2. Student FTE'!J4</f>
        <v>0</v>
      </c>
      <c r="F4" s="29" t="n">
        <f aca="false">IF(D4&gt;0,1/ROUND(E4/D4,1),0)</f>
        <v>0</v>
      </c>
      <c r="G4" s="30" t="n">
        <f aca="false">IF(D4&gt;0,E4/D4,0)</f>
        <v>0</v>
      </c>
      <c r="H4" s="31" t="n">
        <f aca="false">IFERROR(-1*(G4-AVERAGE($G$4:$G$33))/STDEV($G$4:$G$33),0)</f>
        <v>0</v>
      </c>
      <c r="I4" s="30" t="n">
        <f aca="false">IFERROR(IF(MAX($H$4:$H$33)-MIN($H$4:$H$33)&gt;0,(H4-MIN($H$4:$H$33))/(MAX($H$4:$H$33)-MIN($H$4:$H$33))*100,0),0)</f>
        <v>0</v>
      </c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4" t="n">
        <f aca="false">'1. Academic Staff FTE'!J5</f>
        <v>0</v>
      </c>
      <c r="E5" s="4" t="n">
        <f aca="false">'2. Student FTE'!J5</f>
        <v>0</v>
      </c>
      <c r="F5" s="32" t="n">
        <f aca="false">IF(D5&gt;0,1/ROUND(E5/D5,1),0)</f>
        <v>0</v>
      </c>
      <c r="G5" s="33" t="n">
        <f aca="false">IF(D5&gt;0,E5/D5,0)</f>
        <v>0</v>
      </c>
      <c r="H5" s="34" t="n">
        <f aca="false">IFERROR(-1*(G5-AVERAGE($G$4:$G$33))/STDEV($G$4:$G$33),0)</f>
        <v>0</v>
      </c>
      <c r="I5" s="33" t="n">
        <f aca="false">IFERROR(IF(MAX($H$4:$H$33)-MIN($H$4:$H$33)&gt;0,(H5-MIN($H$4:$H$33))/(MAX($H$4:$H$33)-MIN($H$4:$H$33))*100,0),0)</f>
        <v>0</v>
      </c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8" t="n">
        <f aca="false">'1. Academic Staff FTE'!J6</f>
        <v>0</v>
      </c>
      <c r="E6" s="8" t="n">
        <f aca="false">'2. Student FTE'!J6</f>
        <v>0</v>
      </c>
      <c r="F6" s="29" t="n">
        <f aca="false">IF(D6&gt;0,1/ROUND(E6/D6,1),0)</f>
        <v>0</v>
      </c>
      <c r="G6" s="30" t="n">
        <f aca="false">IF(D6&gt;0,E6/D6,0)</f>
        <v>0</v>
      </c>
      <c r="H6" s="31" t="n">
        <f aca="false">IFERROR(-1*(G6-AVERAGE($G$4:$G$33))/STDEV($G$4:$G$33),0)</f>
        <v>0</v>
      </c>
      <c r="I6" s="30" t="n">
        <f aca="false">IFERROR(IF(MAX($H$4:$H$33)-MIN($H$4:$H$33)&gt;0,(H6-MIN($H$4:$H$33))/(MAX($H$4:$H$33)-MIN($H$4:$H$33))*100,0),0)</f>
        <v>0</v>
      </c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4" t="n">
        <f aca="false">'1. Academic Staff FTE'!J7</f>
        <v>0</v>
      </c>
      <c r="E7" s="4" t="n">
        <f aca="false">'2. Student FTE'!J7</f>
        <v>0</v>
      </c>
      <c r="F7" s="32" t="n">
        <f aca="false">IF(D7&gt;0,1/ROUND(E7/D7,1),0)</f>
        <v>0</v>
      </c>
      <c r="G7" s="33" t="n">
        <f aca="false">IF(D7&gt;0,E7/D7,0)</f>
        <v>0</v>
      </c>
      <c r="H7" s="34" t="n">
        <f aca="false">IFERROR(-1*(G7-AVERAGE($G$4:$G$33))/STDEV($G$4:$G$33),0)</f>
        <v>0</v>
      </c>
      <c r="I7" s="33" t="n">
        <f aca="false">IFERROR(IF(MAX($H$4:$H$33)-MIN($H$4:$H$33)&gt;0,(H7-MIN($H$4:$H$33))/(MAX($H$4:$H$33)-MIN($H$4:$H$33))*100,0),0)</f>
        <v>0</v>
      </c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8" t="n">
        <f aca="false">'1. Academic Staff FTE'!J8</f>
        <v>0</v>
      </c>
      <c r="E8" s="8" t="n">
        <f aca="false">'2. Student FTE'!J8</f>
        <v>0</v>
      </c>
      <c r="F8" s="29" t="n">
        <f aca="false">IF(D8&gt;0,1/ROUND(E8/D8,1),0)</f>
        <v>0</v>
      </c>
      <c r="G8" s="30" t="n">
        <f aca="false">IF(D8&gt;0,E8/D8,0)</f>
        <v>0</v>
      </c>
      <c r="H8" s="31" t="n">
        <f aca="false">IFERROR(-1*(G8-AVERAGE($G$4:$G$33))/STDEV($G$4:$G$33),0)</f>
        <v>0</v>
      </c>
      <c r="I8" s="30" t="n">
        <f aca="false">IFERROR(IF(MAX($H$4:$H$33)-MIN($H$4:$H$33)&gt;0,(H8-MIN($H$4:$H$33))/(MAX($H$4:$H$33)-MIN($H$4:$H$33))*100,0),0)</f>
        <v>0</v>
      </c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4" t="n">
        <f aca="false">'1. Academic Staff FTE'!J9</f>
        <v>0</v>
      </c>
      <c r="E9" s="4" t="n">
        <f aca="false">'2. Student FTE'!J9</f>
        <v>0</v>
      </c>
      <c r="F9" s="32" t="n">
        <f aca="false">IF(D9&gt;0,1/ROUND(E9/D9,1),0)</f>
        <v>0</v>
      </c>
      <c r="G9" s="33" t="n">
        <f aca="false">IF(D9&gt;0,E9/D9,0)</f>
        <v>0</v>
      </c>
      <c r="H9" s="34" t="n">
        <f aca="false">IFERROR(-1*(G9-AVERAGE($G$4:$G$33))/STDEV($G$4:$G$33),0)</f>
        <v>0</v>
      </c>
      <c r="I9" s="33" t="n">
        <f aca="false">IFERROR(IF(MAX($H$4:$H$33)-MIN($H$4:$H$33)&gt;0,(H9-MIN($H$4:$H$33))/(MAX($H$4:$H$33)-MIN($H$4:$H$33))*100,0),0)</f>
        <v>0</v>
      </c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8" t="n">
        <f aca="false">'1. Academic Staff FTE'!J10</f>
        <v>0</v>
      </c>
      <c r="E10" s="8" t="n">
        <f aca="false">'2. Student FTE'!J10</f>
        <v>0</v>
      </c>
      <c r="F10" s="29" t="n">
        <f aca="false">IF(D10&gt;0,1/ROUND(E10/D10,1),0)</f>
        <v>0</v>
      </c>
      <c r="G10" s="30" t="n">
        <f aca="false">IF(D10&gt;0,E10/D10,0)</f>
        <v>0</v>
      </c>
      <c r="H10" s="31" t="n">
        <f aca="false">IFERROR(-1*(G10-AVERAGE($G$4:$G$33))/STDEV($G$4:$G$33),0)</f>
        <v>0</v>
      </c>
      <c r="I10" s="30" t="n">
        <f aca="false">IFERROR(IF(MAX($H$4:$H$33)-MIN($H$4:$H$33)&gt;0,(H10-MIN($H$4:$H$33))/(MAX($H$4:$H$33)-MIN($H$4:$H$33))*100,0),0)</f>
        <v>0</v>
      </c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4" t="n">
        <f aca="false">'1. Academic Staff FTE'!J11</f>
        <v>0</v>
      </c>
      <c r="E11" s="4" t="n">
        <f aca="false">'2. Student FTE'!J11</f>
        <v>0</v>
      </c>
      <c r="F11" s="32" t="n">
        <f aca="false">IF(D11&gt;0,1/ROUND(E11/D11,1),0)</f>
        <v>0</v>
      </c>
      <c r="G11" s="33" t="n">
        <f aca="false">IF(D11&gt;0,E11/D11,0)</f>
        <v>0</v>
      </c>
      <c r="H11" s="34" t="n">
        <f aca="false">IFERROR(-1*(G11-AVERAGE($G$4:$G$33))/STDEV($G$4:$G$33),0)</f>
        <v>0</v>
      </c>
      <c r="I11" s="33" t="n">
        <f aca="false">IFERROR(IF(MAX($H$4:$H$33)-MIN($H$4:$H$33)&gt;0,(H11-MIN($H$4:$H$33))/(MAX($H$4:$H$33)-MIN($H$4:$H$33))*100,0),0)</f>
        <v>0</v>
      </c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8" t="n">
        <f aca="false">'1. Academic Staff FTE'!J12</f>
        <v>0</v>
      </c>
      <c r="E12" s="8" t="n">
        <f aca="false">'2. Student FTE'!J12</f>
        <v>0</v>
      </c>
      <c r="F12" s="29" t="n">
        <f aca="false">IF(D12&gt;0,1/ROUND(E12/D12,1),0)</f>
        <v>0</v>
      </c>
      <c r="G12" s="30" t="n">
        <f aca="false">IF(D12&gt;0,E12/D12,0)</f>
        <v>0</v>
      </c>
      <c r="H12" s="31" t="n">
        <f aca="false">IFERROR(-1*(G12-AVERAGE($G$4:$G$33))/STDEV($G$4:$G$33),0)</f>
        <v>0</v>
      </c>
      <c r="I12" s="30" t="n">
        <f aca="false">IFERROR(IF(MAX($H$4:$H$33)-MIN($H$4:$H$33)&gt;0,(H12-MIN($H$4:$H$33))/(MAX($H$4:$H$33)-MIN($H$4:$H$33))*100,0),0)</f>
        <v>0</v>
      </c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4" t="n">
        <f aca="false">'1. Academic Staff FTE'!J13</f>
        <v>0</v>
      </c>
      <c r="E13" s="4" t="n">
        <f aca="false">'2. Student FTE'!J13</f>
        <v>0</v>
      </c>
      <c r="F13" s="32" t="n">
        <f aca="false">IF(D13&gt;0,1/ROUND(E13/D13,1),0)</f>
        <v>0</v>
      </c>
      <c r="G13" s="33" t="n">
        <f aca="false">IF(D13&gt;0,E13/D13,0)</f>
        <v>0</v>
      </c>
      <c r="H13" s="34" t="n">
        <f aca="false">IFERROR(-1*(G13-AVERAGE($G$4:$G$33))/STDEV($G$4:$G$33),0)</f>
        <v>0</v>
      </c>
      <c r="I13" s="33" t="n">
        <f aca="false">IFERROR(IF(MAX($H$4:$H$33)-MIN($H$4:$H$33)&gt;0,(H13-MIN($H$4:$H$33))/(MAX($H$4:$H$33)-MIN($H$4:$H$33))*100,0),0)</f>
        <v>0</v>
      </c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8" t="n">
        <f aca="false">'1. Academic Staff FTE'!J14</f>
        <v>0</v>
      </c>
      <c r="E14" s="8" t="n">
        <f aca="false">'2. Student FTE'!J14</f>
        <v>0</v>
      </c>
      <c r="F14" s="29" t="n">
        <f aca="false">IF(D14&gt;0,1/ROUND(E14/D14,1),0)</f>
        <v>0</v>
      </c>
      <c r="G14" s="30" t="n">
        <f aca="false">IF(D14&gt;0,E14/D14,0)</f>
        <v>0</v>
      </c>
      <c r="H14" s="31" t="n">
        <f aca="false">IFERROR(-1*(G14-AVERAGE($G$4:$G$33))/STDEV($G$4:$G$33),0)</f>
        <v>0</v>
      </c>
      <c r="I14" s="30" t="n">
        <f aca="false">IFERROR(IF(MAX($H$4:$H$33)-MIN($H$4:$H$33)&gt;0,(H14-MIN($H$4:$H$33))/(MAX($H$4:$H$33)-MIN($H$4:$H$33))*100,0),0)</f>
        <v>0</v>
      </c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4" t="n">
        <f aca="false">'1. Academic Staff FTE'!J15</f>
        <v>0</v>
      </c>
      <c r="E15" s="4" t="n">
        <f aca="false">'2. Student FTE'!J15</f>
        <v>0</v>
      </c>
      <c r="F15" s="32" t="n">
        <f aca="false">IF(D15&gt;0,1/ROUND(E15/D15,1),0)</f>
        <v>0</v>
      </c>
      <c r="G15" s="33" t="n">
        <f aca="false">IF(D15&gt;0,E15/D15,0)</f>
        <v>0</v>
      </c>
      <c r="H15" s="34" t="n">
        <f aca="false">IFERROR(-1*(G15-AVERAGE($G$4:$G$33))/STDEV($G$4:$G$33),0)</f>
        <v>0</v>
      </c>
      <c r="I15" s="33" t="n">
        <f aca="false">IFERROR(IF(MAX($H$4:$H$33)-MIN($H$4:$H$33)&gt;0,(H15-MIN($H$4:$H$33))/(MAX($H$4:$H$33)-MIN($H$4:$H$33))*100,0),0)</f>
        <v>0</v>
      </c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8" t="n">
        <f aca="false">'1. Academic Staff FTE'!J16</f>
        <v>0</v>
      </c>
      <c r="E16" s="8" t="n">
        <f aca="false">'2. Student FTE'!J16</f>
        <v>0</v>
      </c>
      <c r="F16" s="29" t="n">
        <f aca="false">IF(D16&gt;0,1/ROUND(E16/D16,1),0)</f>
        <v>0</v>
      </c>
      <c r="G16" s="30" t="n">
        <f aca="false">IF(D16&gt;0,E16/D16,0)</f>
        <v>0</v>
      </c>
      <c r="H16" s="31" t="n">
        <f aca="false">IFERROR(-1*(G16-AVERAGE($G$4:$G$33))/STDEV($G$4:$G$33),0)</f>
        <v>0</v>
      </c>
      <c r="I16" s="30" t="n">
        <f aca="false">IFERROR(IF(MAX($H$4:$H$33)-MIN($H$4:$H$33)&gt;0,(H16-MIN($H$4:$H$33))/(MAX($H$4:$H$33)-MIN($H$4:$H$33))*100,0),0)</f>
        <v>0</v>
      </c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4" t="n">
        <f aca="false">'1. Academic Staff FTE'!J17</f>
        <v>0</v>
      </c>
      <c r="E17" s="4" t="n">
        <f aca="false">'2. Student FTE'!J17</f>
        <v>0</v>
      </c>
      <c r="F17" s="32" t="n">
        <f aca="false">IF(D17&gt;0,1/ROUND(E17/D17,1),0)</f>
        <v>0</v>
      </c>
      <c r="G17" s="33" t="n">
        <f aca="false">IF(D17&gt;0,E17/D17,0)</f>
        <v>0</v>
      </c>
      <c r="H17" s="34" t="n">
        <f aca="false">IFERROR(-1*(G17-AVERAGE($G$4:$G$33))/STDEV($G$4:$G$33),0)</f>
        <v>0</v>
      </c>
      <c r="I17" s="33" t="n">
        <f aca="false">IFERROR(IF(MAX($H$4:$H$33)-MIN($H$4:$H$33)&gt;0,(H17-MIN($H$4:$H$33))/(MAX($H$4:$H$33)-MIN($H$4:$H$33))*100,0),0)</f>
        <v>0</v>
      </c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8" t="n">
        <f aca="false">'1. Academic Staff FTE'!J18</f>
        <v>0</v>
      </c>
      <c r="E18" s="8" t="n">
        <f aca="false">'2. Student FTE'!J18</f>
        <v>0</v>
      </c>
      <c r="F18" s="29" t="n">
        <f aca="false">IF(D18&gt;0,1/ROUND(E18/D18,1),0)</f>
        <v>0</v>
      </c>
      <c r="G18" s="30" t="n">
        <f aca="false">IF(D18&gt;0,E18/D18,0)</f>
        <v>0</v>
      </c>
      <c r="H18" s="31" t="n">
        <f aca="false">IFERROR(-1*(G18-AVERAGE($G$4:$G$33))/STDEV($G$4:$G$33),0)</f>
        <v>0</v>
      </c>
      <c r="I18" s="30" t="n">
        <f aca="false">IFERROR(IF(MAX($H$4:$H$33)-MIN($H$4:$H$33)&gt;0,(H18-MIN($H$4:$H$33))/(MAX($H$4:$H$33)-MIN($H$4:$H$33))*100,0),0)</f>
        <v>0</v>
      </c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4" t="n">
        <f aca="false">'1. Academic Staff FTE'!J19</f>
        <v>0</v>
      </c>
      <c r="E19" s="4" t="n">
        <f aca="false">'2. Student FTE'!J19</f>
        <v>0</v>
      </c>
      <c r="F19" s="32" t="n">
        <f aca="false">IF(D19&gt;0,1/ROUND(E19/D19,1),0)</f>
        <v>0</v>
      </c>
      <c r="G19" s="33" t="n">
        <f aca="false">IF(D19&gt;0,E19/D19,0)</f>
        <v>0</v>
      </c>
      <c r="H19" s="34" t="n">
        <f aca="false">IFERROR(-1*(G19-AVERAGE($G$4:$G$33))/STDEV($G$4:$G$33),0)</f>
        <v>0</v>
      </c>
      <c r="I19" s="33" t="n">
        <f aca="false">IFERROR(IF(MAX($H$4:$H$33)-MIN($H$4:$H$33)&gt;0,(H19-MIN($H$4:$H$33))/(MAX($H$4:$H$33)-MIN($H$4:$H$33))*100,0),0)</f>
        <v>0</v>
      </c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8" t="n">
        <f aca="false">'1. Academic Staff FTE'!J20</f>
        <v>0</v>
      </c>
      <c r="E20" s="8" t="n">
        <f aca="false">'2. Student FTE'!J20</f>
        <v>0</v>
      </c>
      <c r="F20" s="29" t="n">
        <f aca="false">IF(D20&gt;0,1/ROUND(E20/D20,1),0)</f>
        <v>0</v>
      </c>
      <c r="G20" s="30" t="n">
        <f aca="false">IF(D20&gt;0,E20/D20,0)</f>
        <v>0</v>
      </c>
      <c r="H20" s="31" t="n">
        <f aca="false">IFERROR(-1*(G20-AVERAGE($G$4:$G$33))/STDEV($G$4:$G$33),0)</f>
        <v>0</v>
      </c>
      <c r="I20" s="30" t="n">
        <f aca="false">IFERROR(IF(MAX($H$4:$H$33)-MIN($H$4:$H$33)&gt;0,(H20-MIN($H$4:$H$33))/(MAX($H$4:$H$33)-MIN($H$4:$H$33))*100,0),0)</f>
        <v>0</v>
      </c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4" t="n">
        <f aca="false">'1. Academic Staff FTE'!J21</f>
        <v>0</v>
      </c>
      <c r="E21" s="4" t="n">
        <f aca="false">'2. Student FTE'!J21</f>
        <v>0</v>
      </c>
      <c r="F21" s="32" t="n">
        <f aca="false">IF(D21&gt;0,1/ROUND(E21/D21,1),0)</f>
        <v>0</v>
      </c>
      <c r="G21" s="33" t="n">
        <f aca="false">IF(D21&gt;0,E21/D21,0)</f>
        <v>0</v>
      </c>
      <c r="H21" s="34" t="n">
        <f aca="false">IFERROR(-1*(G21-AVERAGE($G$4:$G$33))/STDEV($G$4:$G$33),0)</f>
        <v>0</v>
      </c>
      <c r="I21" s="33" t="n">
        <f aca="false">IFERROR(IF(MAX($H$4:$H$33)-MIN($H$4:$H$33)&gt;0,(H21-MIN($H$4:$H$33))/(MAX($H$4:$H$33)-MIN($H$4:$H$33))*100,0),0)</f>
        <v>0</v>
      </c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8" t="n">
        <f aca="false">'1. Academic Staff FTE'!J22</f>
        <v>0</v>
      </c>
      <c r="E22" s="8" t="n">
        <f aca="false">'2. Student FTE'!J22</f>
        <v>0</v>
      </c>
      <c r="F22" s="29" t="n">
        <f aca="false">IF(D22&gt;0,1/ROUND(E22/D22,1),0)</f>
        <v>0</v>
      </c>
      <c r="G22" s="30" t="n">
        <f aca="false">IF(D22&gt;0,E22/D22,0)</f>
        <v>0</v>
      </c>
      <c r="H22" s="31" t="n">
        <f aca="false">IFERROR(-1*(G22-AVERAGE($G$4:$G$33))/STDEV($G$4:$G$33),0)</f>
        <v>0</v>
      </c>
      <c r="I22" s="30" t="n">
        <f aca="false">IFERROR(IF(MAX($H$4:$H$33)-MIN($H$4:$H$33)&gt;0,(H22-MIN($H$4:$H$33))/(MAX($H$4:$H$33)-MIN($H$4:$H$33))*100,0),0)</f>
        <v>0</v>
      </c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4" t="n">
        <f aca="false">'1. Academic Staff FTE'!J23</f>
        <v>0</v>
      </c>
      <c r="E23" s="4" t="n">
        <f aca="false">'2. Student FTE'!J23</f>
        <v>0</v>
      </c>
      <c r="F23" s="32" t="n">
        <f aca="false">IF(D23&gt;0,1/ROUND(E23/D23,1),0)</f>
        <v>0</v>
      </c>
      <c r="G23" s="33" t="n">
        <f aca="false">IF(D23&gt;0,E23/D23,0)</f>
        <v>0</v>
      </c>
      <c r="H23" s="34" t="n">
        <f aca="false">IFERROR(-1*(G23-AVERAGE($G$4:$G$33))/STDEV($G$4:$G$33),0)</f>
        <v>0</v>
      </c>
      <c r="I23" s="33" t="n">
        <f aca="false">IFERROR(IF(MAX($H$4:$H$33)-MIN($H$4:$H$33)&gt;0,(H23-MIN($H$4:$H$33))/(MAX($H$4:$H$33)-MIN($H$4:$H$33))*100,0),0)</f>
        <v>0</v>
      </c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8" t="n">
        <f aca="false">'1. Academic Staff FTE'!J24</f>
        <v>0</v>
      </c>
      <c r="E24" s="8" t="n">
        <f aca="false">'2. Student FTE'!J24</f>
        <v>0</v>
      </c>
      <c r="F24" s="29" t="n">
        <f aca="false">IF(D24&gt;0,1/ROUND(E24/D24,1),0)</f>
        <v>0</v>
      </c>
      <c r="G24" s="30" t="n">
        <f aca="false">IF(D24&gt;0,E24/D24,0)</f>
        <v>0</v>
      </c>
      <c r="H24" s="31" t="n">
        <f aca="false">IFERROR(-1*(G24-AVERAGE($G$4:$G$33))/STDEV($G$4:$G$33),0)</f>
        <v>0</v>
      </c>
      <c r="I24" s="30" t="n">
        <f aca="false">IFERROR(IF(MAX($H$4:$H$33)-MIN($H$4:$H$33)&gt;0,(H24-MIN($H$4:$H$33))/(MAX($H$4:$H$33)-MIN($H$4:$H$33))*100,0),0)</f>
        <v>0</v>
      </c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4" t="n">
        <f aca="false">'1. Academic Staff FTE'!J25</f>
        <v>0</v>
      </c>
      <c r="E25" s="4" t="n">
        <f aca="false">'2. Student FTE'!J25</f>
        <v>0</v>
      </c>
      <c r="F25" s="32" t="n">
        <f aca="false">IF(D25&gt;0,1/ROUND(E25/D25,1),0)</f>
        <v>0</v>
      </c>
      <c r="G25" s="33" t="n">
        <f aca="false">IF(D25&gt;0,E25/D25,0)</f>
        <v>0</v>
      </c>
      <c r="H25" s="34" t="n">
        <f aca="false">IFERROR(-1*(G25-AVERAGE($G$4:$G$33))/STDEV($G$4:$G$33),0)</f>
        <v>0</v>
      </c>
      <c r="I25" s="33" t="n">
        <f aca="false">IFERROR(IF(MAX($H$4:$H$33)-MIN($H$4:$H$33)&gt;0,(H25-MIN($H$4:$H$33))/(MAX($H$4:$H$33)-MIN($H$4:$H$33))*100,0),0)</f>
        <v>0</v>
      </c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8" t="n">
        <f aca="false">'1. Academic Staff FTE'!J26</f>
        <v>0</v>
      </c>
      <c r="E26" s="8" t="n">
        <f aca="false">'2. Student FTE'!J26</f>
        <v>0</v>
      </c>
      <c r="F26" s="29" t="n">
        <f aca="false">IF(D26&gt;0,1/ROUND(E26/D26,1),0)</f>
        <v>0</v>
      </c>
      <c r="G26" s="30" t="n">
        <f aca="false">IF(D26&gt;0,E26/D26,0)</f>
        <v>0</v>
      </c>
      <c r="H26" s="31" t="n">
        <f aca="false">IFERROR(-1*(G26-AVERAGE($G$4:$G$33))/STDEV($G$4:$G$33),0)</f>
        <v>0</v>
      </c>
      <c r="I26" s="30" t="n">
        <f aca="false">IFERROR(IF(MAX($H$4:$H$33)-MIN($H$4:$H$33)&gt;0,(H26-MIN($H$4:$H$33))/(MAX($H$4:$H$33)-MIN($H$4:$H$33))*100,0),0)</f>
        <v>0</v>
      </c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4" t="n">
        <f aca="false">'1. Academic Staff FTE'!J27</f>
        <v>0</v>
      </c>
      <c r="E27" s="4" t="n">
        <f aca="false">'2. Student FTE'!J27</f>
        <v>0</v>
      </c>
      <c r="F27" s="32" t="n">
        <f aca="false">IF(D27&gt;0,1/ROUND(E27/D27,1),0)</f>
        <v>0</v>
      </c>
      <c r="G27" s="33" t="n">
        <f aca="false">IF(D27&gt;0,E27/D27,0)</f>
        <v>0</v>
      </c>
      <c r="H27" s="34" t="n">
        <f aca="false">IFERROR(-1*(G27-AVERAGE($G$4:$G$33))/STDEV($G$4:$G$33),0)</f>
        <v>0</v>
      </c>
      <c r="I27" s="33" t="n">
        <f aca="false">IFERROR(IF(MAX($H$4:$H$33)-MIN($H$4:$H$33)&gt;0,(H27-MIN($H$4:$H$33))/(MAX($H$4:$H$33)-MIN($H$4:$H$33))*100,0),0)</f>
        <v>0</v>
      </c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8" t="n">
        <f aca="false">'1. Academic Staff FTE'!J28</f>
        <v>0</v>
      </c>
      <c r="E28" s="8" t="n">
        <f aca="false">'2. Student FTE'!J28</f>
        <v>0</v>
      </c>
      <c r="F28" s="29" t="n">
        <f aca="false">IF(D28&gt;0,1/ROUND(E28/D28,1),0)</f>
        <v>0</v>
      </c>
      <c r="G28" s="30" t="n">
        <f aca="false">IF(D28&gt;0,E28/D28,0)</f>
        <v>0</v>
      </c>
      <c r="H28" s="31" t="n">
        <f aca="false">IFERROR(-1*(G28-AVERAGE($G$4:$G$33))/STDEV($G$4:$G$33),0)</f>
        <v>0</v>
      </c>
      <c r="I28" s="30" t="n">
        <f aca="false">IFERROR(IF(MAX($H$4:$H$33)-MIN($H$4:$H$33)&gt;0,(H28-MIN($H$4:$H$33))/(MAX($H$4:$H$33)-MIN($H$4:$H$33))*100,0),0)</f>
        <v>0</v>
      </c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4" t="n">
        <f aca="false">'1. Academic Staff FTE'!J29</f>
        <v>0</v>
      </c>
      <c r="E29" s="4" t="n">
        <f aca="false">'2. Student FTE'!J29</f>
        <v>0</v>
      </c>
      <c r="F29" s="32" t="n">
        <f aca="false">IF(D29&gt;0,1/ROUND(E29/D29,1),0)</f>
        <v>0</v>
      </c>
      <c r="G29" s="33" t="n">
        <f aca="false">IF(D29&gt;0,E29/D29,0)</f>
        <v>0</v>
      </c>
      <c r="H29" s="34" t="n">
        <f aca="false">IFERROR(-1*(G29-AVERAGE($G$4:$G$33))/STDEV($G$4:$G$33),0)</f>
        <v>0</v>
      </c>
      <c r="I29" s="33" t="n">
        <f aca="false">IFERROR(IF(MAX($H$4:$H$33)-MIN($H$4:$H$33)&gt;0,(H29-MIN($H$4:$H$33))/(MAX($H$4:$H$33)-MIN($H$4:$H$33))*100,0),0)</f>
        <v>0</v>
      </c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8" t="n">
        <f aca="false">'1. Academic Staff FTE'!J30</f>
        <v>0</v>
      </c>
      <c r="E30" s="8" t="n">
        <f aca="false">'2. Student FTE'!J30</f>
        <v>0</v>
      </c>
      <c r="F30" s="29" t="n">
        <f aca="false">IF(D30&gt;0,1/ROUND(E30/D30,1),0)</f>
        <v>0</v>
      </c>
      <c r="G30" s="30" t="n">
        <f aca="false">IF(D30&gt;0,E30/D30,0)</f>
        <v>0</v>
      </c>
      <c r="H30" s="31" t="n">
        <f aca="false">IFERROR(-1*(G30-AVERAGE($G$4:$G$33))/STDEV($G$4:$G$33),0)</f>
        <v>0</v>
      </c>
      <c r="I30" s="30" t="n">
        <f aca="false">IFERROR(IF(MAX($H$4:$H$33)-MIN($H$4:$H$33)&gt;0,(H30-MIN($H$4:$H$33))/(MAX($H$4:$H$33)-MIN($H$4:$H$33))*100,0),0)</f>
        <v>0</v>
      </c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4" t="n">
        <f aca="false">'1. Academic Staff FTE'!J31</f>
        <v>0</v>
      </c>
      <c r="E31" s="4" t="n">
        <f aca="false">'2. Student FTE'!J31</f>
        <v>0</v>
      </c>
      <c r="F31" s="32" t="n">
        <f aca="false">IF(D31&gt;0,1/ROUND(E31/D31,1),0)</f>
        <v>0</v>
      </c>
      <c r="G31" s="33" t="n">
        <f aca="false">IF(D31&gt;0,E31/D31,0)</f>
        <v>0</v>
      </c>
      <c r="H31" s="34" t="n">
        <f aca="false">IFERROR(-1*(G31-AVERAGE($G$4:$G$33))/STDEV($G$4:$G$33),0)</f>
        <v>0</v>
      </c>
      <c r="I31" s="33" t="n">
        <f aca="false">IFERROR(IF(MAX($H$4:$H$33)-MIN($H$4:$H$33)&gt;0,(H31-MIN($H$4:$H$33))/(MAX($H$4:$H$33)-MIN($H$4:$H$33))*100,0),0)</f>
        <v>0</v>
      </c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8" t="n">
        <f aca="false">'1. Academic Staff FTE'!J32</f>
        <v>0</v>
      </c>
      <c r="E32" s="8" t="n">
        <f aca="false">'2. Student FTE'!J32</f>
        <v>0</v>
      </c>
      <c r="F32" s="29" t="n">
        <f aca="false">IF(D32&gt;0,1/ROUND(E32/D32,1),0)</f>
        <v>0</v>
      </c>
      <c r="G32" s="30" t="n">
        <f aca="false">IF(D32&gt;0,E32/D32,0)</f>
        <v>0</v>
      </c>
      <c r="H32" s="31" t="n">
        <f aca="false">IFERROR(-1*(G32-AVERAGE($G$4:$G$33))/STDEV($G$4:$G$33),0)</f>
        <v>0</v>
      </c>
      <c r="I32" s="30" t="n">
        <f aca="false">IFERROR(IF(MAX($H$4:$H$33)-MIN($H$4:$H$33)&gt;0,(H32-MIN($H$4:$H$33))/(MAX($H$4:$H$33)-MIN($H$4:$H$33))*100,0),0)</f>
        <v>0</v>
      </c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4" t="n">
        <f aca="false">'1. Academic Staff FTE'!J33</f>
        <v>0</v>
      </c>
      <c r="E33" s="4" t="n">
        <f aca="false">'2. Student FTE'!J33</f>
        <v>0</v>
      </c>
      <c r="F33" s="32" t="n">
        <f aca="false">IF(D33&gt;0,1/ROUND(E33/D33,1),0)</f>
        <v>0</v>
      </c>
      <c r="G33" s="33" t="n">
        <f aca="false">IF(D33&gt;0,E33/D33,0)</f>
        <v>0</v>
      </c>
      <c r="H33" s="34" t="n">
        <f aca="false">IFERROR(-1*(G33-AVERAGE($G$4:$G$33))/STDEV($G$4:$G$33),0)</f>
        <v>0</v>
      </c>
      <c r="I33" s="33" t="n">
        <f aca="false">IFERROR(IF(MAX($H$4:$H$33)-MIN($H$4:$H$33)&gt;0,(H33-MIN($H$4:$H$33))/(MAX($H$4:$H$33)-MIN($H$4:$H$33))*100,0),0)</f>
        <v>0</v>
      </c>
      <c r="J33" s="18"/>
    </row>
    <row r="35" customFormat="false" ht="25.5" hidden="false" customHeight="true" outlineLevel="0" collapsed="false">
      <c r="A35" s="12" t="s">
        <v>74</v>
      </c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15" hidden="false" customHeight="true" outlineLevel="0" collapsed="false">
      <c r="A36" s="35" t="s">
        <v>75</v>
      </c>
      <c r="B36" s="35"/>
      <c r="C36" s="35"/>
      <c r="D36" s="35"/>
      <c r="E36" s="35"/>
      <c r="F36" s="36" t="n">
        <f aca="false">IF(COUNTA(G4:G33)&gt;0,AVERAGE(G4:G33),0)</f>
        <v>0</v>
      </c>
      <c r="G36" s="37"/>
      <c r="H36" s="37"/>
      <c r="I36" s="37"/>
      <c r="J36" s="37"/>
    </row>
    <row r="37" customFormat="false" ht="15" hidden="false" customHeight="true" outlineLevel="0" collapsed="false">
      <c r="A37" s="35" t="s">
        <v>76</v>
      </c>
      <c r="B37" s="35"/>
      <c r="C37" s="35"/>
      <c r="D37" s="35"/>
      <c r="E37" s="35"/>
      <c r="F37" s="36" t="n">
        <f aca="false">MIN(G4:G33)</f>
        <v>0</v>
      </c>
      <c r="G37" s="37"/>
      <c r="H37" s="37"/>
      <c r="I37" s="37"/>
      <c r="J37" s="37"/>
    </row>
    <row r="38" customFormat="false" ht="15" hidden="false" customHeight="true" outlineLevel="0" collapsed="false">
      <c r="A38" s="35" t="s">
        <v>77</v>
      </c>
      <c r="B38" s="35"/>
      <c r="C38" s="35"/>
      <c r="D38" s="35"/>
      <c r="E38" s="35"/>
      <c r="F38" s="36" t="n">
        <f aca="false">MAX(G4:G33)</f>
        <v>0</v>
      </c>
      <c r="G38" s="37"/>
      <c r="H38" s="37"/>
      <c r="I38" s="37"/>
      <c r="J38" s="37"/>
    </row>
    <row r="39" customFormat="false" ht="15" hidden="false" customHeight="true" outlineLevel="0" collapsed="false">
      <c r="A39" s="35" t="s">
        <v>78</v>
      </c>
      <c r="B39" s="35"/>
      <c r="C39" s="35"/>
      <c r="D39" s="35"/>
      <c r="E39" s="35"/>
      <c r="F39" s="36" t="n">
        <f aca="false">MEDIAN(G4:G33)</f>
        <v>0</v>
      </c>
      <c r="G39" s="37"/>
      <c r="H39" s="37"/>
      <c r="I39" s="37"/>
      <c r="J39" s="37"/>
    </row>
    <row r="40" customFormat="false" ht="15" hidden="false" customHeight="true" outlineLevel="0" collapsed="false">
      <c r="A40" s="35" t="s">
        <v>79</v>
      </c>
      <c r="B40" s="35"/>
      <c r="C40" s="35"/>
      <c r="D40" s="35"/>
      <c r="E40" s="35"/>
      <c r="F40" s="38" t="n">
        <f aca="false">IF(COUNTA(G4:G33)&gt;1,STDEV(G4:G33),0)</f>
        <v>0</v>
      </c>
      <c r="G40" s="37"/>
      <c r="H40" s="37"/>
      <c r="I40" s="37"/>
      <c r="J40" s="37"/>
    </row>
  </sheetData>
  <mergeCells count="8">
    <mergeCell ref="A1:J1"/>
    <mergeCell ref="A2:J2"/>
    <mergeCell ref="A35:J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39" t="s">
        <v>80</v>
      </c>
      <c r="B1" s="39"/>
      <c r="C1" s="39"/>
      <c r="D1" s="39"/>
      <c r="E1" s="39"/>
      <c r="F1" s="39"/>
      <c r="G1" s="39"/>
      <c r="H1" s="39"/>
      <c r="I1" s="39"/>
    </row>
    <row r="2" customFormat="false" ht="25.5" hidden="false" customHeight="true" outlineLevel="0" collapsed="false">
      <c r="A2" s="40" t="s">
        <v>81</v>
      </c>
      <c r="B2" s="40"/>
      <c r="C2" s="40"/>
      <c r="D2" s="40"/>
      <c r="E2" s="40"/>
      <c r="F2" s="40"/>
      <c r="G2" s="40"/>
      <c r="H2" s="40"/>
      <c r="I2" s="40"/>
    </row>
    <row r="3" customFormat="false" ht="23.85" hidden="false" customHeight="false" outlineLevel="0" collapsed="false">
      <c r="A3" s="41" t="s">
        <v>31</v>
      </c>
      <c r="B3" s="41" t="s">
        <v>82</v>
      </c>
      <c r="C3" s="41" t="s">
        <v>44</v>
      </c>
      <c r="D3" s="41" t="s">
        <v>83</v>
      </c>
      <c r="E3" s="41" t="s">
        <v>12</v>
      </c>
      <c r="F3" s="41" t="s">
        <v>71</v>
      </c>
      <c r="G3" s="41" t="s">
        <v>84</v>
      </c>
      <c r="H3" s="41" t="s">
        <v>85</v>
      </c>
      <c r="I3" s="41" t="s">
        <v>86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30" t="n">
        <f aca="false">IF(D4&gt;0,E4/D4,0)</f>
        <v>0</v>
      </c>
      <c r="G4" s="17"/>
      <c r="H4" s="42" t="n">
        <f aca="false">IF(AND(F4&gt;0,G4&gt;0),F4-G4,0)</f>
        <v>0</v>
      </c>
      <c r="I4" s="11" t="str">
        <f aca="false">IF(H4&gt;10,"High",IF(H4&gt;5,"Medium",IF(H4&gt;0,"Low","On Target")))</f>
        <v>On Target</v>
      </c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33" t="n">
        <f aca="false">IF(D5&gt;0,E5/D5,0)</f>
        <v>0</v>
      </c>
      <c r="G5" s="18"/>
      <c r="H5" s="43" t="n">
        <f aca="false">IF(AND(F5&gt;0,G5&gt;0),F5-G5,0)</f>
        <v>0</v>
      </c>
      <c r="I5" s="7" t="str">
        <f aca="false">IF(H5&gt;10,"High",IF(H5&gt;5,"Medium",IF(H5&gt;0,"Low","On Target")))</f>
        <v>On Target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30" t="n">
        <f aca="false">IF(D6&gt;0,E6/D6,0)</f>
        <v>0</v>
      </c>
      <c r="G6" s="17"/>
      <c r="H6" s="42" t="n">
        <f aca="false">IF(AND(F6&gt;0,G6&gt;0),F6-G6,0)</f>
        <v>0</v>
      </c>
      <c r="I6" s="11" t="str">
        <f aca="false">IF(H6&gt;10,"High",IF(H6&gt;5,"Medium",IF(H6&gt;0,"Low","On Target")))</f>
        <v>On Target</v>
      </c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33" t="n">
        <f aca="false">IF(D7&gt;0,E7/D7,0)</f>
        <v>0</v>
      </c>
      <c r="G7" s="18"/>
      <c r="H7" s="43" t="n">
        <f aca="false">IF(AND(F7&gt;0,G7&gt;0),F7-G7,0)</f>
        <v>0</v>
      </c>
      <c r="I7" s="7" t="str">
        <f aca="false">IF(H7&gt;10,"High",IF(H7&gt;5,"Medium",IF(H7&gt;0,"Low","On Target")))</f>
        <v>On Target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30" t="n">
        <f aca="false">IF(D8&gt;0,E8/D8,0)</f>
        <v>0</v>
      </c>
      <c r="G8" s="17"/>
      <c r="H8" s="42" t="n">
        <f aca="false">IF(AND(F8&gt;0,G8&gt;0),F8-G8,0)</f>
        <v>0</v>
      </c>
      <c r="I8" s="11" t="str">
        <f aca="false">IF(H8&gt;10,"High",IF(H8&gt;5,"Medium",IF(H8&gt;0,"Low","On Target")))</f>
        <v>On Target</v>
      </c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33" t="n">
        <f aca="false">IF(D9&gt;0,E9/D9,0)</f>
        <v>0</v>
      </c>
      <c r="G9" s="18"/>
      <c r="H9" s="43" t="n">
        <f aca="false">IF(AND(F9&gt;0,G9&gt;0),F9-G9,0)</f>
        <v>0</v>
      </c>
      <c r="I9" s="7" t="str">
        <f aca="false">IF(H9&gt;10,"High",IF(H9&gt;5,"Medium",IF(H9&gt;0,"Low","On Target")))</f>
        <v>On Target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30" t="n">
        <f aca="false">IF(D10&gt;0,E10/D10,0)</f>
        <v>0</v>
      </c>
      <c r="G10" s="17"/>
      <c r="H10" s="42" t="n">
        <f aca="false">IF(AND(F10&gt;0,G10&gt;0),F10-G10,0)</f>
        <v>0</v>
      </c>
      <c r="I10" s="11" t="str">
        <f aca="false">IF(H10&gt;10,"High",IF(H10&gt;5,"Medium",IF(H10&gt;0,"Low","On Target")))</f>
        <v>On Target</v>
      </c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33" t="n">
        <f aca="false">IF(D11&gt;0,E11/D11,0)</f>
        <v>0</v>
      </c>
      <c r="G11" s="18"/>
      <c r="H11" s="43" t="n">
        <f aca="false">IF(AND(F11&gt;0,G11&gt;0),F11-G11,0)</f>
        <v>0</v>
      </c>
      <c r="I11" s="7" t="str">
        <f aca="false">IF(H11&gt;10,"High",IF(H11&gt;5,"Medium",IF(H11&gt;0,"Low","On Target")))</f>
        <v>On Target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30" t="n">
        <f aca="false">IF(D12&gt;0,E12/D12,0)</f>
        <v>0</v>
      </c>
      <c r="G12" s="17"/>
      <c r="H12" s="42" t="n">
        <f aca="false">IF(AND(F12&gt;0,G12&gt;0),F12-G12,0)</f>
        <v>0</v>
      </c>
      <c r="I12" s="11" t="str">
        <f aca="false">IF(H12&gt;10,"High",IF(H12&gt;5,"Medium",IF(H12&gt;0,"Low","On Target")))</f>
        <v>On Target</v>
      </c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33" t="n">
        <f aca="false">IF(D13&gt;0,E13/D13,0)</f>
        <v>0</v>
      </c>
      <c r="G13" s="18"/>
      <c r="H13" s="43" t="n">
        <f aca="false">IF(AND(F13&gt;0,G13&gt;0),F13-G13,0)</f>
        <v>0</v>
      </c>
      <c r="I13" s="7" t="str">
        <f aca="false">IF(H13&gt;10,"High",IF(H13&gt;5,"Medium",IF(H13&gt;0,"Low","On Target")))</f>
        <v>On Target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30" t="n">
        <f aca="false">IF(D14&gt;0,E14/D14,0)</f>
        <v>0</v>
      </c>
      <c r="G14" s="17"/>
      <c r="H14" s="42" t="n">
        <f aca="false">IF(AND(F14&gt;0,G14&gt;0),F14-G14,0)</f>
        <v>0</v>
      </c>
      <c r="I14" s="11" t="str">
        <f aca="false">IF(H14&gt;10,"High",IF(H14&gt;5,"Medium",IF(H14&gt;0,"Low","On Target")))</f>
        <v>On Target</v>
      </c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33" t="n">
        <f aca="false">IF(D15&gt;0,E15/D15,0)</f>
        <v>0</v>
      </c>
      <c r="G15" s="18"/>
      <c r="H15" s="43" t="n">
        <f aca="false">IF(AND(F15&gt;0,G15&gt;0),F15-G15,0)</f>
        <v>0</v>
      </c>
      <c r="I15" s="7" t="str">
        <f aca="false">IF(H15&gt;10,"High",IF(H15&gt;5,"Medium",IF(H15&gt;0,"Low","On Target")))</f>
        <v>On Target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30" t="n">
        <f aca="false">IF(D16&gt;0,E16/D16,0)</f>
        <v>0</v>
      </c>
      <c r="G16" s="17"/>
      <c r="H16" s="42" t="n">
        <f aca="false">IF(AND(F16&gt;0,G16&gt;0),F16-G16,0)</f>
        <v>0</v>
      </c>
      <c r="I16" s="11" t="str">
        <f aca="false">IF(H16&gt;10,"High",IF(H16&gt;5,"Medium",IF(H16&gt;0,"Low","On Target")))</f>
        <v>On Target</v>
      </c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33" t="n">
        <f aca="false">IF(D17&gt;0,E17/D17,0)</f>
        <v>0</v>
      </c>
      <c r="G17" s="18"/>
      <c r="H17" s="43" t="n">
        <f aca="false">IF(AND(F17&gt;0,G17&gt;0),F17-G17,0)</f>
        <v>0</v>
      </c>
      <c r="I17" s="7" t="str">
        <f aca="false">IF(H17&gt;10,"High",IF(H17&gt;5,"Medium",IF(H17&gt;0,"Low","On Target")))</f>
        <v>On Target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30" t="n">
        <f aca="false">IF(D18&gt;0,E18/D18,0)</f>
        <v>0</v>
      </c>
      <c r="G18" s="17"/>
      <c r="H18" s="42" t="n">
        <f aca="false">IF(AND(F18&gt;0,G18&gt;0),F18-G18,0)</f>
        <v>0</v>
      </c>
      <c r="I18" s="11" t="str">
        <f aca="false">IF(H18&gt;10,"High",IF(H18&gt;5,"Medium",IF(H18&gt;0,"Low","On Target")))</f>
        <v>On Target</v>
      </c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33" t="n">
        <f aca="false">IF(D19&gt;0,E19/D19,0)</f>
        <v>0</v>
      </c>
      <c r="G19" s="18"/>
      <c r="H19" s="43" t="n">
        <f aca="false">IF(AND(F19&gt;0,G19&gt;0),F19-G19,0)</f>
        <v>0</v>
      </c>
      <c r="I19" s="7" t="str">
        <f aca="false">IF(H19&gt;10,"High",IF(H19&gt;5,"Medium",IF(H19&gt;0,"Low","On Target")))</f>
        <v>On Target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30" t="n">
        <f aca="false">IF(D20&gt;0,E20/D20,0)</f>
        <v>0</v>
      </c>
      <c r="G20" s="17"/>
      <c r="H20" s="42" t="n">
        <f aca="false">IF(AND(F20&gt;0,G20&gt;0),F20-G20,0)</f>
        <v>0</v>
      </c>
      <c r="I20" s="11" t="str">
        <f aca="false">IF(H20&gt;10,"High",IF(H20&gt;5,"Medium",IF(H20&gt;0,"Low","On Target")))</f>
        <v>On Target</v>
      </c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33" t="n">
        <f aca="false">IF(D21&gt;0,E21/D21,0)</f>
        <v>0</v>
      </c>
      <c r="G21" s="18"/>
      <c r="H21" s="43" t="n">
        <f aca="false">IF(AND(F21&gt;0,G21&gt;0),F21-G21,0)</f>
        <v>0</v>
      </c>
      <c r="I21" s="7" t="str">
        <f aca="false">IF(H21&gt;10,"High",IF(H21&gt;5,"Medium",IF(H21&gt;0,"Low","On Target")))</f>
        <v>On Target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30" t="n">
        <f aca="false">IF(D22&gt;0,E22/D22,0)</f>
        <v>0</v>
      </c>
      <c r="G22" s="17"/>
      <c r="H22" s="42" t="n">
        <f aca="false">IF(AND(F22&gt;0,G22&gt;0),F22-G22,0)</f>
        <v>0</v>
      </c>
      <c r="I22" s="11" t="str">
        <f aca="false">IF(H22&gt;10,"High",IF(H22&gt;5,"Medium",IF(H22&gt;0,"Low","On Target")))</f>
        <v>On Target</v>
      </c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33" t="n">
        <f aca="false">IF(D23&gt;0,E23/D23,0)</f>
        <v>0</v>
      </c>
      <c r="G23" s="18"/>
      <c r="H23" s="43" t="n">
        <f aca="false">IF(AND(F23&gt;0,G23&gt;0),F23-G23,0)</f>
        <v>0</v>
      </c>
      <c r="I23" s="7" t="str">
        <f aca="false">IF(H23&gt;10,"High",IF(H23&gt;5,"Medium",IF(H23&gt;0,"Low","On Target")))</f>
        <v>On Target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30" t="n">
        <f aca="false">IF(D24&gt;0,E24/D24,0)</f>
        <v>0</v>
      </c>
      <c r="G24" s="17"/>
      <c r="H24" s="42" t="n">
        <f aca="false">IF(AND(F24&gt;0,G24&gt;0),F24-G24,0)</f>
        <v>0</v>
      </c>
      <c r="I24" s="11" t="str">
        <f aca="false">IF(H24&gt;10,"High",IF(H24&gt;5,"Medium",IF(H24&gt;0,"Low","On Target")))</f>
        <v>On Target</v>
      </c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33" t="n">
        <f aca="false">IF(D25&gt;0,E25/D25,0)</f>
        <v>0</v>
      </c>
      <c r="G25" s="18"/>
      <c r="H25" s="43" t="n">
        <f aca="false">IF(AND(F25&gt;0,G25&gt;0),F25-G25,0)</f>
        <v>0</v>
      </c>
      <c r="I25" s="7" t="str">
        <f aca="false">IF(H25&gt;10,"High",IF(H25&gt;5,"Medium",IF(H25&gt;0,"Low","On Target")))</f>
        <v>On Target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30" t="n">
        <f aca="false">IF(D26&gt;0,E26/D26,0)</f>
        <v>0</v>
      </c>
      <c r="G26" s="17"/>
      <c r="H26" s="42" t="n">
        <f aca="false">IF(AND(F26&gt;0,G26&gt;0),F26-G26,0)</f>
        <v>0</v>
      </c>
      <c r="I26" s="11" t="str">
        <f aca="false">IF(H26&gt;10,"High",IF(H26&gt;5,"Medium",IF(H26&gt;0,"Low","On Target")))</f>
        <v>On Target</v>
      </c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33" t="n">
        <f aca="false">IF(D27&gt;0,E27/D27,0)</f>
        <v>0</v>
      </c>
      <c r="G27" s="18"/>
      <c r="H27" s="43" t="n">
        <f aca="false">IF(AND(F27&gt;0,G27&gt;0),F27-G27,0)</f>
        <v>0</v>
      </c>
      <c r="I27" s="7" t="str">
        <f aca="false">IF(H27&gt;10,"High",IF(H27&gt;5,"Medium",IF(H27&gt;0,"Low","On Target")))</f>
        <v>On Target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30" t="n">
        <f aca="false">IF(D28&gt;0,E28/D28,0)</f>
        <v>0</v>
      </c>
      <c r="G28" s="17"/>
      <c r="H28" s="42" t="n">
        <f aca="false">IF(AND(F28&gt;0,G28&gt;0),F28-G28,0)</f>
        <v>0</v>
      </c>
      <c r="I28" s="11" t="str">
        <f aca="false">IF(H28&gt;10,"High",IF(H28&gt;5,"Medium",IF(H28&gt;0,"Low","On Target")))</f>
        <v>On Target</v>
      </c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33" t="n">
        <f aca="false">IF(D29&gt;0,E29/D29,0)</f>
        <v>0</v>
      </c>
      <c r="G29" s="18"/>
      <c r="H29" s="43" t="n">
        <f aca="false">IF(AND(F29&gt;0,G29&gt;0),F29-G29,0)</f>
        <v>0</v>
      </c>
      <c r="I29" s="7" t="str">
        <f aca="false">IF(H29&gt;10,"High",IF(H29&gt;5,"Medium",IF(H29&gt;0,"Low","On Target")))</f>
        <v>On Target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30" t="n">
        <f aca="false">IF(D30&gt;0,E30/D30,0)</f>
        <v>0</v>
      </c>
      <c r="G30" s="17"/>
      <c r="H30" s="42" t="n">
        <f aca="false">IF(AND(F30&gt;0,G30&gt;0),F30-G30,0)</f>
        <v>0</v>
      </c>
      <c r="I30" s="11" t="str">
        <f aca="false">IF(H30&gt;10,"High",IF(H30&gt;5,"Medium",IF(H30&gt;0,"Low","On Target")))</f>
        <v>On Target</v>
      </c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33" t="n">
        <f aca="false">IF(D31&gt;0,E31/D31,0)</f>
        <v>0</v>
      </c>
      <c r="G31" s="18"/>
      <c r="H31" s="43" t="n">
        <f aca="false">IF(AND(F31&gt;0,G31&gt;0),F31-G31,0)</f>
        <v>0</v>
      </c>
      <c r="I31" s="7" t="str">
        <f aca="false">IF(H31&gt;10,"High",IF(H31&gt;5,"Medium",IF(H31&gt;0,"Low","On Target")))</f>
        <v>On Target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30" t="n">
        <f aca="false">IF(D32&gt;0,E32/D32,0)</f>
        <v>0</v>
      </c>
      <c r="G32" s="17"/>
      <c r="H32" s="42" t="n">
        <f aca="false">IF(AND(F32&gt;0,G32&gt;0),F32-G32,0)</f>
        <v>0</v>
      </c>
      <c r="I32" s="11" t="str">
        <f aca="false">IF(H32&gt;10,"High",IF(H32&gt;5,"Medium",IF(H32&gt;0,"Low","On Target")))</f>
        <v>On Target</v>
      </c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33" t="n">
        <f aca="false">IF(D33&gt;0,E33/D33,0)</f>
        <v>0</v>
      </c>
      <c r="G33" s="18"/>
      <c r="H33" s="43" t="n">
        <f aca="false">IF(AND(F33&gt;0,G33&gt;0),F33-G33,0)</f>
        <v>0</v>
      </c>
      <c r="I33" s="7" t="str">
        <f aca="false">IF(H33&gt;10,"High",IF(H33&gt;5,"Medium",IF(H33&gt;0,"Low","On Target")))</f>
        <v>On Target</v>
      </c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30" t="n">
        <f aca="false">IF(D34&gt;0,E34/D34,0)</f>
        <v>0</v>
      </c>
      <c r="G34" s="17"/>
      <c r="H34" s="42" t="n">
        <f aca="false">IF(AND(F34&gt;0,G34&gt;0),F34-G34,0)</f>
        <v>0</v>
      </c>
      <c r="I34" s="11" t="str">
        <f aca="false">IF(H34&gt;10,"High",IF(H34&gt;5,"Medium",IF(H34&gt;0,"Low","On Target")))</f>
        <v>On Target</v>
      </c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33" t="n">
        <f aca="false">IF(D35&gt;0,E35/D35,0)</f>
        <v>0</v>
      </c>
      <c r="G35" s="18"/>
      <c r="H35" s="43" t="n">
        <f aca="false">IF(AND(F35&gt;0,G35&gt;0),F35-G35,0)</f>
        <v>0</v>
      </c>
      <c r="I35" s="7" t="str">
        <f aca="false">IF(H35&gt;10,"High",IF(H35&gt;5,"Medium",IF(H35&gt;0,"Low","On Target")))</f>
        <v>On Target</v>
      </c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30" t="n">
        <f aca="false">IF(D36&gt;0,E36/D36,0)</f>
        <v>0</v>
      </c>
      <c r="G36" s="17"/>
      <c r="H36" s="42" t="n">
        <f aca="false">IF(AND(F36&gt;0,G36&gt;0),F36-G36,0)</f>
        <v>0</v>
      </c>
      <c r="I36" s="11" t="str">
        <f aca="false">IF(H36&gt;10,"High",IF(H36&gt;5,"Medium",IF(H36&gt;0,"Low","On Target")))</f>
        <v>On Target</v>
      </c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33" t="n">
        <f aca="false">IF(D37&gt;0,E37/D37,0)</f>
        <v>0</v>
      </c>
      <c r="G37" s="18"/>
      <c r="H37" s="43" t="n">
        <f aca="false">IF(AND(F37&gt;0,G37&gt;0),F37-G37,0)</f>
        <v>0</v>
      </c>
      <c r="I37" s="7" t="str">
        <f aca="false">IF(H37&gt;10,"High",IF(H37&gt;5,"Medium",IF(H37&gt;0,"Low","On Target")))</f>
        <v>On Target</v>
      </c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30" t="n">
        <f aca="false">IF(D38&gt;0,E38/D38,0)</f>
        <v>0</v>
      </c>
      <c r="G38" s="17"/>
      <c r="H38" s="42" t="n">
        <f aca="false">IF(AND(F38&gt;0,G38&gt;0),F38-G38,0)</f>
        <v>0</v>
      </c>
      <c r="I38" s="11" t="str">
        <f aca="false">IF(H38&gt;10,"High",IF(H38&gt;5,"Medium",IF(H38&gt;0,"Low","On Target")))</f>
        <v>On Target</v>
      </c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33" t="n">
        <f aca="false">IF(D39&gt;0,E39/D39,0)</f>
        <v>0</v>
      </c>
      <c r="G39" s="18"/>
      <c r="H39" s="43" t="n">
        <f aca="false">IF(AND(F39&gt;0,G39&gt;0),F39-G39,0)</f>
        <v>0</v>
      </c>
      <c r="I39" s="7" t="str">
        <f aca="false">IF(H39&gt;10,"High",IF(H39&gt;5,"Medium",IF(H39&gt;0,"Low","On Target")))</f>
        <v>On Target</v>
      </c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30" t="n">
        <f aca="false">IF(D40&gt;0,E40/D40,0)</f>
        <v>0</v>
      </c>
      <c r="G40" s="17"/>
      <c r="H40" s="42" t="n">
        <f aca="false">IF(AND(F40&gt;0,G40&gt;0),F40-G40,0)</f>
        <v>0</v>
      </c>
      <c r="I40" s="11" t="str">
        <f aca="false">IF(H40&gt;10,"High",IF(H40&gt;5,"Medium",IF(H40&gt;0,"Low","On Target")))</f>
        <v>On Target</v>
      </c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33" t="n">
        <f aca="false">IF(D41&gt;0,E41/D41,0)</f>
        <v>0</v>
      </c>
      <c r="G41" s="18"/>
      <c r="H41" s="43" t="n">
        <f aca="false">IF(AND(F41&gt;0,G41&gt;0),F41-G41,0)</f>
        <v>0</v>
      </c>
      <c r="I41" s="7" t="str">
        <f aca="false">IF(H41&gt;10,"High",IF(H41&gt;5,"Medium",IF(H41&gt;0,"Low","On Target")))</f>
        <v>On Target</v>
      </c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30" t="n">
        <f aca="false">IF(D42&gt;0,E42/D42,0)</f>
        <v>0</v>
      </c>
      <c r="G42" s="17"/>
      <c r="H42" s="42" t="n">
        <f aca="false">IF(AND(F42&gt;0,G42&gt;0),F42-G42,0)</f>
        <v>0</v>
      </c>
      <c r="I42" s="11" t="str">
        <f aca="false">IF(H42&gt;10,"High",IF(H42&gt;5,"Medium",IF(H42&gt;0,"Low","On Target")))</f>
        <v>On Target</v>
      </c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33" t="n">
        <f aca="false">IF(D43&gt;0,E43/D43,0)</f>
        <v>0</v>
      </c>
      <c r="G43" s="18"/>
      <c r="H43" s="43" t="n">
        <f aca="false">IF(AND(F43&gt;0,G43&gt;0),F43-G43,0)</f>
        <v>0</v>
      </c>
      <c r="I43" s="7" t="str">
        <f aca="false">IF(H43&gt;10,"High",IF(H43&gt;5,"Medium",IF(H43&gt;0,"Low","On Target")))</f>
        <v>On Target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6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4" t="s">
        <v>87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customFormat="false" ht="25.5" hidden="false" customHeight="true" outlineLevel="0" collapsed="false">
      <c r="A2" s="45" t="s">
        <v>88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customFormat="false" ht="23.85" hidden="false" customHeight="false" outlineLevel="0" collapsed="false">
      <c r="A3" s="46" t="s">
        <v>31</v>
      </c>
      <c r="B3" s="46" t="s">
        <v>32</v>
      </c>
      <c r="C3" s="46" t="s">
        <v>33</v>
      </c>
      <c r="D3" s="46" t="s">
        <v>89</v>
      </c>
      <c r="E3" s="46" t="s">
        <v>90</v>
      </c>
      <c r="F3" s="46" t="s">
        <v>91</v>
      </c>
      <c r="G3" s="46" t="s">
        <v>92</v>
      </c>
      <c r="H3" s="46" t="s">
        <v>93</v>
      </c>
      <c r="I3" s="46" t="s">
        <v>94</v>
      </c>
      <c r="J3" s="46" t="s">
        <v>95</v>
      </c>
      <c r="K3" s="46" t="s">
        <v>96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30" t="n">
        <f aca="false">IF(AND(D4&gt;0,H4&gt;0),D4-H4,0)</f>
        <v>0</v>
      </c>
      <c r="J4" s="42" t="n">
        <f aca="false">IFERROR(IF(D4&gt;0,(D4-H4)/D4*100,0),0)</f>
        <v>0</v>
      </c>
      <c r="K4" s="11" t="str">
        <f aca="false">IF(I4&gt;2,"Improving",IF(I4&gt;0,"Stable",IF(I4&lt;-2,"Worsening","Flat")))</f>
        <v>Flat</v>
      </c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33" t="n">
        <f aca="false">IF(AND(D5&gt;0,H5&gt;0),D5-H5,0)</f>
        <v>0</v>
      </c>
      <c r="J5" s="43" t="n">
        <f aca="false">IFERROR(IF(D5&gt;0,(D5-H5)/D5*100,0),0)</f>
        <v>0</v>
      </c>
      <c r="K5" s="7" t="str">
        <f aca="false">IF(I5&gt;2,"Improving",IF(I5&gt;0,"Stable",IF(I5&lt;-2,"Worsening","Flat")))</f>
        <v>Flat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30" t="n">
        <f aca="false">IF(AND(D6&gt;0,H6&gt;0),D6-H6,0)</f>
        <v>0</v>
      </c>
      <c r="J6" s="42" t="n">
        <f aca="false">IFERROR(IF(D6&gt;0,(D6-H6)/D6*100,0),0)</f>
        <v>0</v>
      </c>
      <c r="K6" s="11" t="str">
        <f aca="false">IF(I6&gt;2,"Improving",IF(I6&gt;0,"Stable",IF(I6&lt;-2,"Worsening","Flat")))</f>
        <v>Flat</v>
      </c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33" t="n">
        <f aca="false">IF(AND(D7&gt;0,H7&gt;0),D7-H7,0)</f>
        <v>0</v>
      </c>
      <c r="J7" s="43" t="n">
        <f aca="false">IFERROR(IF(D7&gt;0,(D7-H7)/D7*100,0),0)</f>
        <v>0</v>
      </c>
      <c r="K7" s="7" t="str">
        <f aca="false">IF(I7&gt;2,"Improving",IF(I7&gt;0,"Stable",IF(I7&lt;-2,"Worsening","Flat")))</f>
        <v>Flat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30" t="n">
        <f aca="false">IF(AND(D8&gt;0,H8&gt;0),D8-H8,0)</f>
        <v>0</v>
      </c>
      <c r="J8" s="42" t="n">
        <f aca="false">IFERROR(IF(D8&gt;0,(D8-H8)/D8*100,0),0)</f>
        <v>0</v>
      </c>
      <c r="K8" s="11" t="str">
        <f aca="false">IF(I8&gt;2,"Improving",IF(I8&gt;0,"Stable",IF(I8&lt;-2,"Worsening","Flat")))</f>
        <v>Flat</v>
      </c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33" t="n">
        <f aca="false">IF(AND(D9&gt;0,H9&gt;0),D9-H9,0)</f>
        <v>0</v>
      </c>
      <c r="J9" s="43" t="n">
        <f aca="false">IFERROR(IF(D9&gt;0,(D9-H9)/D9*100,0),0)</f>
        <v>0</v>
      </c>
      <c r="K9" s="7" t="str">
        <f aca="false">IF(I9&gt;2,"Improving",IF(I9&gt;0,"Stable",IF(I9&lt;-2,"Worsening","Flat")))</f>
        <v>Flat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30" t="n">
        <f aca="false">IF(AND(D10&gt;0,H10&gt;0),D10-H10,0)</f>
        <v>0</v>
      </c>
      <c r="J10" s="42" t="n">
        <f aca="false">IFERROR(IF(D10&gt;0,(D10-H10)/D10*100,0),0)</f>
        <v>0</v>
      </c>
      <c r="K10" s="11" t="str">
        <f aca="false">IF(I10&gt;2,"Improving",IF(I10&gt;0,"Stable",IF(I10&lt;-2,"Worsening","Flat")))</f>
        <v>Flat</v>
      </c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33" t="n">
        <f aca="false">IF(AND(D11&gt;0,H11&gt;0),D11-H11,0)</f>
        <v>0</v>
      </c>
      <c r="J11" s="43" t="n">
        <f aca="false">IFERROR(IF(D11&gt;0,(D11-H11)/D11*100,0),0)</f>
        <v>0</v>
      </c>
      <c r="K11" s="7" t="str">
        <f aca="false">IF(I11&gt;2,"Improving",IF(I11&gt;0,"Stable",IF(I11&lt;-2,"Worsening","Flat")))</f>
        <v>Flat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30" t="n">
        <f aca="false">IF(AND(D12&gt;0,H12&gt;0),D12-H12,0)</f>
        <v>0</v>
      </c>
      <c r="J12" s="42" t="n">
        <f aca="false">IFERROR(IF(D12&gt;0,(D12-H12)/D12*100,0),0)</f>
        <v>0</v>
      </c>
      <c r="K12" s="11" t="str">
        <f aca="false">IF(I12&gt;2,"Improving",IF(I12&gt;0,"Stable",IF(I12&lt;-2,"Worsening","Flat")))</f>
        <v>Flat</v>
      </c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33" t="n">
        <f aca="false">IF(AND(D13&gt;0,H13&gt;0),D13-H13,0)</f>
        <v>0</v>
      </c>
      <c r="J13" s="43" t="n">
        <f aca="false">IFERROR(IF(D13&gt;0,(D13-H13)/D13*100,0),0)</f>
        <v>0</v>
      </c>
      <c r="K13" s="7" t="str">
        <f aca="false">IF(I13&gt;2,"Improving",IF(I13&gt;0,"Stable",IF(I13&lt;-2,"Worsening","Flat")))</f>
        <v>Flat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30" t="n">
        <f aca="false">IF(AND(D14&gt;0,H14&gt;0),D14-H14,0)</f>
        <v>0</v>
      </c>
      <c r="J14" s="42" t="n">
        <f aca="false">IFERROR(IF(D14&gt;0,(D14-H14)/D14*100,0),0)</f>
        <v>0</v>
      </c>
      <c r="K14" s="11" t="str">
        <f aca="false">IF(I14&gt;2,"Improving",IF(I14&gt;0,"Stable",IF(I14&lt;-2,"Worsening","Flat")))</f>
        <v>Flat</v>
      </c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33" t="n">
        <f aca="false">IF(AND(D15&gt;0,H15&gt;0),D15-H15,0)</f>
        <v>0</v>
      </c>
      <c r="J15" s="43" t="n">
        <f aca="false">IFERROR(IF(D15&gt;0,(D15-H15)/D15*100,0),0)</f>
        <v>0</v>
      </c>
      <c r="K15" s="7" t="str">
        <f aca="false">IF(I15&gt;2,"Improving",IF(I15&gt;0,"Stable",IF(I15&lt;-2,"Worsening","Flat")))</f>
        <v>Flat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30" t="n">
        <f aca="false">IF(AND(D16&gt;0,H16&gt;0),D16-H16,0)</f>
        <v>0</v>
      </c>
      <c r="J16" s="42" t="n">
        <f aca="false">IFERROR(IF(D16&gt;0,(D16-H16)/D16*100,0),0)</f>
        <v>0</v>
      </c>
      <c r="K16" s="11" t="str">
        <f aca="false">IF(I16&gt;2,"Improving",IF(I16&gt;0,"Stable",IF(I16&lt;-2,"Worsening","Flat")))</f>
        <v>Flat</v>
      </c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33" t="n">
        <f aca="false">IF(AND(D17&gt;0,H17&gt;0),D17-H17,0)</f>
        <v>0</v>
      </c>
      <c r="J17" s="43" t="n">
        <f aca="false">IFERROR(IF(D17&gt;0,(D17-H17)/D17*100,0),0)</f>
        <v>0</v>
      </c>
      <c r="K17" s="7" t="str">
        <f aca="false">IF(I17&gt;2,"Improving",IF(I17&gt;0,"Stable",IF(I17&lt;-2,"Worsening","Flat")))</f>
        <v>Flat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30" t="n">
        <f aca="false">IF(AND(D18&gt;0,H18&gt;0),D18-H18,0)</f>
        <v>0</v>
      </c>
      <c r="J18" s="42" t="n">
        <f aca="false">IFERROR(IF(D18&gt;0,(D18-H18)/D18*100,0),0)</f>
        <v>0</v>
      </c>
      <c r="K18" s="11" t="str">
        <f aca="false">IF(I18&gt;2,"Improving",IF(I18&gt;0,"Stable",IF(I18&lt;-2,"Worsening","Flat")))</f>
        <v>Flat</v>
      </c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33" t="n">
        <f aca="false">IF(AND(D19&gt;0,H19&gt;0),D19-H19,0)</f>
        <v>0</v>
      </c>
      <c r="J19" s="43" t="n">
        <f aca="false">IFERROR(IF(D19&gt;0,(D19-H19)/D19*100,0),0)</f>
        <v>0</v>
      </c>
      <c r="K19" s="7" t="str">
        <f aca="false">IF(I19&gt;2,"Improving",IF(I19&gt;0,"Stable",IF(I19&lt;-2,"Worsening","Flat")))</f>
        <v>Flat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30" t="n">
        <f aca="false">IF(AND(D20&gt;0,H20&gt;0),D20-H20,0)</f>
        <v>0</v>
      </c>
      <c r="J20" s="42" t="n">
        <f aca="false">IFERROR(IF(D20&gt;0,(D20-H20)/D20*100,0),0)</f>
        <v>0</v>
      </c>
      <c r="K20" s="11" t="str">
        <f aca="false">IF(I20&gt;2,"Improving",IF(I20&gt;0,"Stable",IF(I20&lt;-2,"Worsening","Flat")))</f>
        <v>Flat</v>
      </c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33" t="n">
        <f aca="false">IF(AND(D21&gt;0,H21&gt;0),D21-H21,0)</f>
        <v>0</v>
      </c>
      <c r="J21" s="43" t="n">
        <f aca="false">IFERROR(IF(D21&gt;0,(D21-H21)/D21*100,0),0)</f>
        <v>0</v>
      </c>
      <c r="K21" s="7" t="str">
        <f aca="false">IF(I21&gt;2,"Improving",IF(I21&gt;0,"Stable",IF(I21&lt;-2,"Worsening","Flat")))</f>
        <v>Flat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30" t="n">
        <f aca="false">IF(AND(D22&gt;0,H22&gt;0),D22-H22,0)</f>
        <v>0</v>
      </c>
      <c r="J22" s="42" t="n">
        <f aca="false">IFERROR(IF(D22&gt;0,(D22-H22)/D22*100,0),0)</f>
        <v>0</v>
      </c>
      <c r="K22" s="11" t="str">
        <f aca="false">IF(I22&gt;2,"Improving",IF(I22&gt;0,"Stable",IF(I22&lt;-2,"Worsening","Flat")))</f>
        <v>Flat</v>
      </c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33" t="n">
        <f aca="false">IF(AND(D23&gt;0,H23&gt;0),D23-H23,0)</f>
        <v>0</v>
      </c>
      <c r="J23" s="43" t="n">
        <f aca="false">IFERROR(IF(D23&gt;0,(D23-H23)/D23*100,0),0)</f>
        <v>0</v>
      </c>
      <c r="K23" s="7" t="str">
        <f aca="false">IF(I23&gt;2,"Improving",IF(I23&gt;0,"Stable",IF(I23&lt;-2,"Worsening","Flat")))</f>
        <v>Flat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30" t="n">
        <f aca="false">IF(AND(D24&gt;0,H24&gt;0),D24-H24,0)</f>
        <v>0</v>
      </c>
      <c r="J24" s="42" t="n">
        <f aca="false">IFERROR(IF(D24&gt;0,(D24-H24)/D24*100,0),0)</f>
        <v>0</v>
      </c>
      <c r="K24" s="11" t="str">
        <f aca="false">IF(I24&gt;2,"Improving",IF(I24&gt;0,"Stable",IF(I24&lt;-2,"Worsening","Flat")))</f>
        <v>Flat</v>
      </c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33" t="n">
        <f aca="false">IF(AND(D25&gt;0,H25&gt;0),D25-H25,0)</f>
        <v>0</v>
      </c>
      <c r="J25" s="43" t="n">
        <f aca="false">IFERROR(IF(D25&gt;0,(D25-H25)/D25*100,0),0)</f>
        <v>0</v>
      </c>
      <c r="K25" s="7" t="str">
        <f aca="false">IF(I25&gt;2,"Improving",IF(I25&gt;0,"Stable",IF(I25&lt;-2,"Worsening","Flat")))</f>
        <v>Flat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30" t="n">
        <f aca="false">IF(AND(D26&gt;0,H26&gt;0),D26-H26,0)</f>
        <v>0</v>
      </c>
      <c r="J26" s="42" t="n">
        <f aca="false">IFERROR(IF(D26&gt;0,(D26-H26)/D26*100,0),0)</f>
        <v>0</v>
      </c>
      <c r="K26" s="11" t="str">
        <f aca="false">IF(I26&gt;2,"Improving",IF(I26&gt;0,"Stable",IF(I26&lt;-2,"Worsening","Flat")))</f>
        <v>Flat</v>
      </c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33" t="n">
        <f aca="false">IF(AND(D27&gt;0,H27&gt;0),D27-H27,0)</f>
        <v>0</v>
      </c>
      <c r="J27" s="43" t="n">
        <f aca="false">IFERROR(IF(D27&gt;0,(D27-H27)/D27*100,0),0)</f>
        <v>0</v>
      </c>
      <c r="K27" s="7" t="str">
        <f aca="false">IF(I27&gt;2,"Improving",IF(I27&gt;0,"Stable",IF(I27&lt;-2,"Worsening","Flat")))</f>
        <v>Flat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30" t="n">
        <f aca="false">IF(AND(D28&gt;0,H28&gt;0),D28-H28,0)</f>
        <v>0</v>
      </c>
      <c r="J28" s="42" t="n">
        <f aca="false">IFERROR(IF(D28&gt;0,(D28-H28)/D28*100,0),0)</f>
        <v>0</v>
      </c>
      <c r="K28" s="11" t="str">
        <f aca="false">IF(I28&gt;2,"Improving",IF(I28&gt;0,"Stable",IF(I28&lt;-2,"Worsening","Flat")))</f>
        <v>Flat</v>
      </c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33" t="n">
        <f aca="false">IF(AND(D29&gt;0,H29&gt;0),D29-H29,0)</f>
        <v>0</v>
      </c>
      <c r="J29" s="43" t="n">
        <f aca="false">IFERROR(IF(D29&gt;0,(D29-H29)/D29*100,0),0)</f>
        <v>0</v>
      </c>
      <c r="K29" s="7" t="str">
        <f aca="false">IF(I29&gt;2,"Improving",IF(I29&gt;0,"Stable",IF(I29&lt;-2,"Worsening","Flat")))</f>
        <v>Flat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30" t="n">
        <f aca="false">IF(AND(D30&gt;0,H30&gt;0),D30-H30,0)</f>
        <v>0</v>
      </c>
      <c r="J30" s="42" t="n">
        <f aca="false">IFERROR(IF(D30&gt;0,(D30-H30)/D30*100,0),0)</f>
        <v>0</v>
      </c>
      <c r="K30" s="11" t="str">
        <f aca="false">IF(I30&gt;2,"Improving",IF(I30&gt;0,"Stable",IF(I30&lt;-2,"Worsening","Flat")))</f>
        <v>Flat</v>
      </c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33" t="n">
        <f aca="false">IF(AND(D31&gt;0,H31&gt;0),D31-H31,0)</f>
        <v>0</v>
      </c>
      <c r="J31" s="43" t="n">
        <f aca="false">IFERROR(IF(D31&gt;0,(D31-H31)/D31*100,0),0)</f>
        <v>0</v>
      </c>
      <c r="K31" s="7" t="str">
        <f aca="false">IF(I31&gt;2,"Improving",IF(I31&gt;0,"Stable",IF(I31&lt;-2,"Worsening","Flat")))</f>
        <v>Flat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30" t="n">
        <f aca="false">IF(AND(D32&gt;0,H32&gt;0),D32-H32,0)</f>
        <v>0</v>
      </c>
      <c r="J32" s="42" t="n">
        <f aca="false">IFERROR(IF(D32&gt;0,(D32-H32)/D32*100,0),0)</f>
        <v>0</v>
      </c>
      <c r="K32" s="11" t="str">
        <f aca="false">IF(I32&gt;2,"Improving",IF(I32&gt;0,"Stable",IF(I32&lt;-2,"Worsening","Flat")))</f>
        <v>Flat</v>
      </c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33" t="n">
        <f aca="false">IF(AND(D33&gt;0,H33&gt;0),D33-H33,0)</f>
        <v>0</v>
      </c>
      <c r="J33" s="43" t="n">
        <f aca="false">IFERROR(IF(D33&gt;0,(D33-H33)/D33*100,0),0)</f>
        <v>0</v>
      </c>
      <c r="K33" s="7" t="str">
        <f aca="false">IF(I33&gt;2,"Improving",IF(I33&gt;0,"Stable",IF(I33&lt;-2,"Worsening","Flat")))</f>
        <v>Flat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7" t="s">
        <v>97</v>
      </c>
      <c r="B1" s="47"/>
      <c r="C1" s="47"/>
      <c r="D1" s="47"/>
      <c r="E1" s="47"/>
      <c r="F1" s="47"/>
      <c r="G1" s="47"/>
      <c r="H1" s="47"/>
      <c r="I1" s="47"/>
    </row>
    <row r="2" customFormat="false" ht="25.5" hidden="false" customHeight="true" outlineLevel="0" collapsed="false">
      <c r="A2" s="24" t="s">
        <v>98</v>
      </c>
      <c r="B2" s="24"/>
      <c r="C2" s="24"/>
      <c r="D2" s="24"/>
      <c r="E2" s="24"/>
      <c r="F2" s="24"/>
      <c r="G2" s="24"/>
      <c r="H2" s="24"/>
      <c r="I2" s="24"/>
    </row>
    <row r="3" customFormat="false" ht="35.05" hidden="false" customHeight="false" outlineLevel="0" collapsed="false">
      <c r="A3" s="25" t="s">
        <v>31</v>
      </c>
      <c r="B3" s="25" t="s">
        <v>82</v>
      </c>
      <c r="C3" s="25" t="s">
        <v>99</v>
      </c>
      <c r="D3" s="25" t="s">
        <v>84</v>
      </c>
      <c r="E3" s="25" t="s">
        <v>100</v>
      </c>
      <c r="F3" s="25" t="s">
        <v>101</v>
      </c>
      <c r="G3" s="25" t="s">
        <v>102</v>
      </c>
      <c r="H3" s="25" t="s">
        <v>103</v>
      </c>
      <c r="I3" s="25" t="s">
        <v>104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48" t="n">
        <f aca="false">IF(AND(C4&gt;0,D4&gt;0),CEILING((C4-D4)/D4*10,1),0)</f>
        <v>0</v>
      </c>
      <c r="F4" s="17"/>
      <c r="G4" s="17"/>
      <c r="H4" s="17"/>
      <c r="I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49" t="n">
        <f aca="false">IF(AND(C5&gt;0,D5&gt;0),CEILING((C5-D5)/D5*10,1),0)</f>
        <v>0</v>
      </c>
      <c r="F5" s="18"/>
      <c r="G5" s="18"/>
      <c r="H5" s="18"/>
      <c r="I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48" t="n">
        <f aca="false">IF(AND(C6&gt;0,D6&gt;0),CEILING((C6-D6)/D6*10,1),0)</f>
        <v>0</v>
      </c>
      <c r="F6" s="17"/>
      <c r="G6" s="17"/>
      <c r="H6" s="17"/>
      <c r="I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49" t="n">
        <f aca="false">IF(AND(C7&gt;0,D7&gt;0),CEILING((C7-D7)/D7*10,1),0)</f>
        <v>0</v>
      </c>
      <c r="F7" s="18"/>
      <c r="G7" s="18"/>
      <c r="H7" s="18"/>
      <c r="I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48" t="n">
        <f aca="false">IF(AND(C8&gt;0,D8&gt;0),CEILING((C8-D8)/D8*10,1),0)</f>
        <v>0</v>
      </c>
      <c r="F8" s="17"/>
      <c r="G8" s="17"/>
      <c r="H8" s="17"/>
      <c r="I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49" t="n">
        <f aca="false">IF(AND(C9&gt;0,D9&gt;0),CEILING((C9-D9)/D9*10,1),0)</f>
        <v>0</v>
      </c>
      <c r="F9" s="18"/>
      <c r="G9" s="18"/>
      <c r="H9" s="18"/>
      <c r="I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48" t="n">
        <f aca="false">IF(AND(C10&gt;0,D10&gt;0),CEILING((C10-D10)/D10*10,1),0)</f>
        <v>0</v>
      </c>
      <c r="F10" s="17"/>
      <c r="G10" s="17"/>
      <c r="H10" s="17"/>
      <c r="I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49" t="n">
        <f aca="false">IF(AND(C11&gt;0,D11&gt;0),CEILING((C11-D11)/D11*10,1),0)</f>
        <v>0</v>
      </c>
      <c r="F11" s="18"/>
      <c r="G11" s="18"/>
      <c r="H11" s="18"/>
      <c r="I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48" t="n">
        <f aca="false">IF(AND(C12&gt;0,D12&gt;0),CEILING((C12-D12)/D12*10,1),0)</f>
        <v>0</v>
      </c>
      <c r="F12" s="17"/>
      <c r="G12" s="17"/>
      <c r="H12" s="17"/>
      <c r="I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49" t="n">
        <f aca="false">IF(AND(C13&gt;0,D13&gt;0),CEILING((C13-D13)/D13*10,1),0)</f>
        <v>0</v>
      </c>
      <c r="F13" s="18"/>
      <c r="G13" s="18"/>
      <c r="H13" s="18"/>
      <c r="I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48" t="n">
        <f aca="false">IF(AND(C14&gt;0,D14&gt;0),CEILING((C14-D14)/D14*10,1),0)</f>
        <v>0</v>
      </c>
      <c r="F14" s="17"/>
      <c r="G14" s="17"/>
      <c r="H14" s="17"/>
      <c r="I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49" t="n">
        <f aca="false">IF(AND(C15&gt;0,D15&gt;0),CEILING((C15-D15)/D15*10,1),0)</f>
        <v>0</v>
      </c>
      <c r="F15" s="18"/>
      <c r="G15" s="18"/>
      <c r="H15" s="18"/>
      <c r="I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48" t="n">
        <f aca="false">IF(AND(C16&gt;0,D16&gt;0),CEILING((C16-D16)/D16*10,1),0)</f>
        <v>0</v>
      </c>
      <c r="F16" s="17"/>
      <c r="G16" s="17"/>
      <c r="H16" s="17"/>
      <c r="I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49" t="n">
        <f aca="false">IF(AND(C17&gt;0,D17&gt;0),CEILING((C17-D17)/D17*10,1),0)</f>
        <v>0</v>
      </c>
      <c r="F17" s="18"/>
      <c r="G17" s="18"/>
      <c r="H17" s="18"/>
      <c r="I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48" t="n">
        <f aca="false">IF(AND(C18&gt;0,D18&gt;0),CEILING((C18-D18)/D18*10,1),0)</f>
        <v>0</v>
      </c>
      <c r="F18" s="17"/>
      <c r="G18" s="17"/>
      <c r="H18" s="17"/>
      <c r="I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49" t="n">
        <f aca="false">IF(AND(C19&gt;0,D19&gt;0),CEILING((C19-D19)/D19*10,1),0)</f>
        <v>0</v>
      </c>
      <c r="F19" s="18"/>
      <c r="G19" s="18"/>
      <c r="H19" s="18"/>
      <c r="I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48" t="n">
        <f aca="false">IF(AND(C20&gt;0,D20&gt;0),CEILING((C20-D20)/D20*10,1),0)</f>
        <v>0</v>
      </c>
      <c r="F20" s="17"/>
      <c r="G20" s="17"/>
      <c r="H20" s="17"/>
      <c r="I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49" t="n">
        <f aca="false">IF(AND(C21&gt;0,D21&gt;0),CEILING((C21-D21)/D21*10,1),0)</f>
        <v>0</v>
      </c>
      <c r="F21" s="18"/>
      <c r="G21" s="18"/>
      <c r="H21" s="18"/>
      <c r="I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48" t="n">
        <f aca="false">IF(AND(C22&gt;0,D22&gt;0),CEILING((C22-D22)/D22*10,1),0)</f>
        <v>0</v>
      </c>
      <c r="F22" s="17"/>
      <c r="G22" s="17"/>
      <c r="H22" s="17"/>
      <c r="I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49" t="n">
        <f aca="false">IF(AND(C23&gt;0,D23&gt;0),CEILING((C23-D23)/D23*10,1),0)</f>
        <v>0</v>
      </c>
      <c r="F23" s="18"/>
      <c r="G23" s="18"/>
      <c r="H23" s="18"/>
      <c r="I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48" t="n">
        <f aca="false">IF(AND(C24&gt;0,D24&gt;0),CEILING((C24-D24)/D24*10,1),0)</f>
        <v>0</v>
      </c>
      <c r="F24" s="17"/>
      <c r="G24" s="17"/>
      <c r="H24" s="17"/>
      <c r="I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49" t="n">
        <f aca="false">IF(AND(C25&gt;0,D25&gt;0),CEILING((C25-D25)/D25*10,1),0)</f>
        <v>0</v>
      </c>
      <c r="F25" s="18"/>
      <c r="G25" s="18"/>
      <c r="H25" s="18"/>
      <c r="I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48" t="n">
        <f aca="false">IF(AND(C26&gt;0,D26&gt;0),CEILING((C26-D26)/D26*10,1),0)</f>
        <v>0</v>
      </c>
      <c r="F26" s="17"/>
      <c r="G26" s="17"/>
      <c r="H26" s="17"/>
      <c r="I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49" t="n">
        <f aca="false">IF(AND(C27&gt;0,D27&gt;0),CEILING((C27-D27)/D27*10,1),0)</f>
        <v>0</v>
      </c>
      <c r="F27" s="18"/>
      <c r="G27" s="18"/>
      <c r="H27" s="18"/>
      <c r="I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48" t="n">
        <f aca="false">IF(AND(C28&gt;0,D28&gt;0),CEILING((C28-D28)/D28*10,1),0)</f>
        <v>0</v>
      </c>
      <c r="F28" s="17"/>
      <c r="G28" s="17"/>
      <c r="H28" s="17"/>
      <c r="I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49" t="n">
        <f aca="false">IF(AND(C29&gt;0,D29&gt;0),CEILING((C29-D29)/D29*10,1),0)</f>
        <v>0</v>
      </c>
      <c r="F29" s="18"/>
      <c r="G29" s="18"/>
      <c r="H29" s="18"/>
      <c r="I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48" t="n">
        <f aca="false">IF(AND(C30&gt;0,D30&gt;0),CEILING((C30-D30)/D30*10,1),0)</f>
        <v>0</v>
      </c>
      <c r="F30" s="17"/>
      <c r="G30" s="17"/>
      <c r="H30" s="17"/>
      <c r="I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49" t="n">
        <f aca="false">IF(AND(C31&gt;0,D31&gt;0),CEILING((C31-D31)/D31*10,1),0)</f>
        <v>0</v>
      </c>
      <c r="F31" s="18"/>
      <c r="G31" s="18"/>
      <c r="H31" s="18"/>
      <c r="I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48" t="n">
        <f aca="false">IF(AND(C32&gt;0,D32&gt;0),CEILING((C32-D32)/D32*10,1),0)</f>
        <v>0</v>
      </c>
      <c r="F32" s="17"/>
      <c r="G32" s="17"/>
      <c r="H32" s="17"/>
      <c r="I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49" t="n">
        <f aca="false">IF(AND(C33&gt;0,D33&gt;0),CEILING((C33-D33)/D33*10,1),0)</f>
        <v>0</v>
      </c>
      <c r="F33" s="18"/>
      <c r="G33" s="18"/>
      <c r="H33" s="18"/>
      <c r="I33" s="18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50" t="s">
        <v>105</v>
      </c>
      <c r="B1" s="50"/>
      <c r="C1" s="50"/>
      <c r="D1" s="50"/>
      <c r="E1" s="50"/>
    </row>
    <row r="2" customFormat="false" ht="25.5" hidden="false" customHeight="true" outlineLevel="0" collapsed="false">
      <c r="A2" s="51" t="s">
        <v>106</v>
      </c>
      <c r="B2" s="51"/>
      <c r="C2" s="51"/>
      <c r="D2" s="51"/>
      <c r="E2" s="51"/>
    </row>
    <row r="3" customFormat="false" ht="15" hidden="false" customHeight="false" outlineLevel="0" collapsed="false">
      <c r="A3" s="52" t="s">
        <v>2</v>
      </c>
      <c r="B3" s="52" t="s">
        <v>107</v>
      </c>
      <c r="C3" s="52" t="s">
        <v>108</v>
      </c>
      <c r="D3" s="52" t="s">
        <v>109</v>
      </c>
      <c r="E3" s="52" t="s">
        <v>110</v>
      </c>
    </row>
    <row r="4" customFormat="false" ht="27.75" hidden="false" customHeight="true" outlineLevel="0" collapsed="false">
      <c r="A4" s="8" t="n">
        <v>1</v>
      </c>
      <c r="B4" s="11" t="s">
        <v>111</v>
      </c>
      <c r="C4" s="10" t="s">
        <v>112</v>
      </c>
      <c r="D4" s="53" t="s">
        <v>113</v>
      </c>
      <c r="E4" s="10" t="s">
        <v>114</v>
      </c>
    </row>
    <row r="5" customFormat="false" ht="27.75" hidden="false" customHeight="true" outlineLevel="0" collapsed="false">
      <c r="A5" s="4" t="n">
        <v>2</v>
      </c>
      <c r="B5" s="7" t="s">
        <v>111</v>
      </c>
      <c r="C5" s="6" t="s">
        <v>115</v>
      </c>
      <c r="D5" s="53" t="s">
        <v>113</v>
      </c>
      <c r="E5" s="6" t="s">
        <v>116</v>
      </c>
    </row>
    <row r="6" customFormat="false" ht="27.75" hidden="false" customHeight="true" outlineLevel="0" collapsed="false">
      <c r="A6" s="8" t="n">
        <v>3</v>
      </c>
      <c r="B6" s="11" t="s">
        <v>111</v>
      </c>
      <c r="C6" s="10" t="s">
        <v>117</v>
      </c>
      <c r="D6" s="53" t="s">
        <v>113</v>
      </c>
      <c r="E6" s="10" t="s">
        <v>118</v>
      </c>
    </row>
    <row r="7" customFormat="false" ht="27.75" hidden="false" customHeight="true" outlineLevel="0" collapsed="false">
      <c r="A7" s="4" t="n">
        <v>4</v>
      </c>
      <c r="B7" s="7" t="s">
        <v>111</v>
      </c>
      <c r="C7" s="6" t="s">
        <v>119</v>
      </c>
      <c r="D7" s="53" t="s">
        <v>113</v>
      </c>
      <c r="E7" s="6" t="s">
        <v>120</v>
      </c>
    </row>
    <row r="8" customFormat="false" ht="27.75" hidden="false" customHeight="true" outlineLevel="0" collapsed="false">
      <c r="A8" s="8" t="n">
        <v>5</v>
      </c>
      <c r="B8" s="11" t="s">
        <v>111</v>
      </c>
      <c r="C8" s="10" t="s">
        <v>121</v>
      </c>
      <c r="D8" s="54" t="s">
        <v>122</v>
      </c>
      <c r="E8" s="10" t="s">
        <v>123</v>
      </c>
    </row>
    <row r="9" customFormat="false" ht="27.75" hidden="false" customHeight="true" outlineLevel="0" collapsed="false">
      <c r="A9" s="4" t="n">
        <v>6</v>
      </c>
      <c r="B9" s="7" t="s">
        <v>111</v>
      </c>
      <c r="C9" s="6" t="s">
        <v>124</v>
      </c>
      <c r="D9" s="54" t="s">
        <v>122</v>
      </c>
      <c r="E9" s="6" t="s">
        <v>125</v>
      </c>
    </row>
    <row r="10" customFormat="false" ht="27.75" hidden="false" customHeight="true" outlineLevel="0" collapsed="false">
      <c r="A10" s="8" t="n">
        <v>7</v>
      </c>
      <c r="B10" s="11" t="s">
        <v>111</v>
      </c>
      <c r="C10" s="10" t="s">
        <v>126</v>
      </c>
      <c r="D10" s="54" t="s">
        <v>122</v>
      </c>
      <c r="E10" s="10" t="s">
        <v>127</v>
      </c>
    </row>
    <row r="11" customFormat="false" ht="27.75" hidden="false" customHeight="true" outlineLevel="0" collapsed="false">
      <c r="A11" s="4" t="n">
        <v>8</v>
      </c>
      <c r="B11" s="7" t="s">
        <v>111</v>
      </c>
      <c r="C11" s="6" t="s">
        <v>128</v>
      </c>
      <c r="D11" s="54" t="s">
        <v>122</v>
      </c>
      <c r="E11" s="6" t="s">
        <v>129</v>
      </c>
    </row>
    <row r="12" customFormat="false" ht="27.75" hidden="false" customHeight="true" outlineLevel="0" collapsed="false">
      <c r="A12" s="8" t="n">
        <v>9</v>
      </c>
      <c r="B12" s="11" t="s">
        <v>111</v>
      </c>
      <c r="C12" s="10" t="s">
        <v>130</v>
      </c>
      <c r="D12" s="53" t="s">
        <v>113</v>
      </c>
      <c r="E12" s="10" t="s">
        <v>131</v>
      </c>
    </row>
    <row r="13" customFormat="false" ht="27.75" hidden="false" customHeight="true" outlineLevel="0" collapsed="false">
      <c r="A13" s="4" t="n">
        <v>10</v>
      </c>
      <c r="B13" s="7" t="s">
        <v>111</v>
      </c>
      <c r="C13" s="6" t="s">
        <v>132</v>
      </c>
      <c r="D13" s="54" t="s">
        <v>122</v>
      </c>
      <c r="E13" s="6" t="s">
        <v>133</v>
      </c>
    </row>
    <row r="14" customFormat="false" ht="27.75" hidden="false" customHeight="true" outlineLevel="0" collapsed="false">
      <c r="A14" s="8" t="n">
        <v>11</v>
      </c>
      <c r="B14" s="11" t="s">
        <v>111</v>
      </c>
      <c r="C14" s="10" t="s">
        <v>134</v>
      </c>
      <c r="D14" s="54" t="s">
        <v>122</v>
      </c>
      <c r="E14" s="10" t="s">
        <v>135</v>
      </c>
    </row>
    <row r="15" customFormat="false" ht="27.75" hidden="false" customHeight="true" outlineLevel="0" collapsed="false">
      <c r="A15" s="4" t="n">
        <v>12</v>
      </c>
      <c r="B15" s="7" t="s">
        <v>111</v>
      </c>
      <c r="C15" s="6" t="s">
        <v>136</v>
      </c>
      <c r="D15" s="54" t="s">
        <v>122</v>
      </c>
      <c r="E15" s="6" t="s">
        <v>129</v>
      </c>
    </row>
    <row r="16" customFormat="false" ht="27.75" hidden="false" customHeight="true" outlineLevel="0" collapsed="false">
      <c r="A16" s="8" t="n">
        <v>13</v>
      </c>
      <c r="B16" s="11" t="s">
        <v>137</v>
      </c>
      <c r="C16" s="10" t="s">
        <v>138</v>
      </c>
      <c r="D16" s="53" t="s">
        <v>113</v>
      </c>
      <c r="E16" s="10" t="s">
        <v>139</v>
      </c>
    </row>
    <row r="17" customFormat="false" ht="27.75" hidden="false" customHeight="true" outlineLevel="0" collapsed="false">
      <c r="A17" s="4" t="n">
        <v>14</v>
      </c>
      <c r="B17" s="7" t="s">
        <v>137</v>
      </c>
      <c r="C17" s="6" t="s">
        <v>140</v>
      </c>
      <c r="D17" s="53" t="s">
        <v>113</v>
      </c>
      <c r="E17" s="6" t="s">
        <v>116</v>
      </c>
    </row>
    <row r="18" customFormat="false" ht="27.75" hidden="false" customHeight="true" outlineLevel="0" collapsed="false">
      <c r="A18" s="8" t="n">
        <v>15</v>
      </c>
      <c r="B18" s="11" t="s">
        <v>137</v>
      </c>
      <c r="C18" s="10" t="s">
        <v>141</v>
      </c>
      <c r="D18" s="53" t="s">
        <v>113</v>
      </c>
      <c r="E18" s="10" t="s">
        <v>139</v>
      </c>
    </row>
    <row r="19" customFormat="false" ht="27.75" hidden="false" customHeight="true" outlineLevel="0" collapsed="false">
      <c r="A19" s="4" t="n">
        <v>16</v>
      </c>
      <c r="B19" s="7" t="s">
        <v>137</v>
      </c>
      <c r="C19" s="6" t="s">
        <v>142</v>
      </c>
      <c r="D19" s="53" t="s">
        <v>113</v>
      </c>
      <c r="E19" s="6" t="s">
        <v>116</v>
      </c>
    </row>
    <row r="20" customFormat="false" ht="27.75" hidden="false" customHeight="true" outlineLevel="0" collapsed="false">
      <c r="A20" s="8" t="n">
        <v>17</v>
      </c>
      <c r="B20" s="11" t="s">
        <v>137</v>
      </c>
      <c r="C20" s="10" t="s">
        <v>143</v>
      </c>
      <c r="D20" s="53" t="s">
        <v>113</v>
      </c>
      <c r="E20" s="10" t="s">
        <v>139</v>
      </c>
    </row>
    <row r="21" customFormat="false" ht="27.75" hidden="false" customHeight="true" outlineLevel="0" collapsed="false">
      <c r="A21" s="4" t="n">
        <v>18</v>
      </c>
      <c r="B21" s="7" t="s">
        <v>137</v>
      </c>
      <c r="C21" s="6" t="s">
        <v>144</v>
      </c>
      <c r="D21" s="53" t="s">
        <v>113</v>
      </c>
      <c r="E21" s="6" t="s">
        <v>116</v>
      </c>
    </row>
    <row r="22" customFormat="false" ht="27.75" hidden="false" customHeight="true" outlineLevel="0" collapsed="false">
      <c r="A22" s="8" t="n">
        <v>19</v>
      </c>
      <c r="B22" s="11" t="s">
        <v>137</v>
      </c>
      <c r="C22" s="10" t="s">
        <v>145</v>
      </c>
      <c r="D22" s="55" t="s">
        <v>146</v>
      </c>
      <c r="E22" s="10" t="s">
        <v>147</v>
      </c>
    </row>
    <row r="23" customFormat="false" ht="27.75" hidden="false" customHeight="true" outlineLevel="0" collapsed="false">
      <c r="A23" s="4" t="n">
        <v>20</v>
      </c>
      <c r="B23" s="7" t="s">
        <v>137</v>
      </c>
      <c r="C23" s="6" t="s">
        <v>148</v>
      </c>
      <c r="D23" s="54" t="s">
        <v>122</v>
      </c>
      <c r="E23" s="6" t="s">
        <v>149</v>
      </c>
    </row>
    <row r="24" customFormat="false" ht="27.75" hidden="false" customHeight="true" outlineLevel="0" collapsed="false">
      <c r="A24" s="8" t="n">
        <v>21</v>
      </c>
      <c r="B24" s="11" t="s">
        <v>137</v>
      </c>
      <c r="C24" s="10" t="s">
        <v>150</v>
      </c>
      <c r="D24" s="54" t="s">
        <v>122</v>
      </c>
      <c r="E24" s="10" t="s">
        <v>151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6" min="3" style="0" width="18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21" t="s">
        <v>152</v>
      </c>
      <c r="B1" s="21"/>
      <c r="C1" s="21"/>
      <c r="D1" s="21"/>
      <c r="E1" s="21"/>
      <c r="F1" s="21"/>
      <c r="G1" s="21"/>
    </row>
    <row r="2" customFormat="false" ht="25.5" hidden="false" customHeight="true" outlineLevel="0" collapsed="false">
      <c r="A2" s="22" t="s">
        <v>153</v>
      </c>
      <c r="B2" s="22"/>
      <c r="C2" s="22"/>
      <c r="D2" s="22"/>
      <c r="E2" s="22"/>
      <c r="F2" s="22"/>
      <c r="G2" s="22"/>
    </row>
    <row r="3" customFormat="false" ht="15" hidden="false" customHeight="false" outlineLevel="0" collapsed="false">
      <c r="A3" s="23" t="s">
        <v>31</v>
      </c>
      <c r="B3" s="23" t="s">
        <v>154</v>
      </c>
      <c r="C3" s="23" t="s">
        <v>83</v>
      </c>
      <c r="D3" s="23" t="s">
        <v>12</v>
      </c>
      <c r="E3" s="23" t="s">
        <v>155</v>
      </c>
      <c r="F3" s="23" t="s">
        <v>156</v>
      </c>
      <c r="G3" s="23" t="s">
        <v>157</v>
      </c>
    </row>
    <row r="4" customFormat="false" ht="15" hidden="false" customHeight="false" outlineLevel="0" collapsed="false">
      <c r="A4" s="56" t="n">
        <v>1</v>
      </c>
      <c r="B4" s="57" t="s">
        <v>158</v>
      </c>
      <c r="C4" s="58"/>
      <c r="D4" s="58"/>
      <c r="E4" s="58"/>
      <c r="F4" s="58"/>
      <c r="G4" s="56" t="s">
        <v>159</v>
      </c>
    </row>
    <row r="5" customFormat="false" ht="15" hidden="false" customHeight="false" outlineLevel="0" collapsed="false">
      <c r="A5" s="4" t="n">
        <v>2</v>
      </c>
      <c r="B5" s="5" t="s">
        <v>160</v>
      </c>
      <c r="C5" s="18"/>
      <c r="D5" s="18"/>
      <c r="E5" s="18"/>
      <c r="F5" s="18"/>
      <c r="G5" s="4" t="s">
        <v>161</v>
      </c>
    </row>
    <row r="6" customFormat="false" ht="15" hidden="false" customHeight="false" outlineLevel="0" collapsed="false">
      <c r="A6" s="8" t="n">
        <v>3</v>
      </c>
      <c r="B6" s="9" t="s">
        <v>162</v>
      </c>
      <c r="C6" s="17"/>
      <c r="D6" s="17"/>
      <c r="E6" s="17"/>
      <c r="F6" s="17"/>
      <c r="G6" s="8" t="s">
        <v>163</v>
      </c>
    </row>
    <row r="7" customFormat="false" ht="15" hidden="false" customHeight="false" outlineLevel="0" collapsed="false">
      <c r="A7" s="4" t="n">
        <v>4</v>
      </c>
      <c r="B7" s="5" t="s">
        <v>164</v>
      </c>
      <c r="C7" s="18"/>
      <c r="D7" s="18"/>
      <c r="E7" s="18"/>
      <c r="F7" s="18"/>
      <c r="G7" s="4" t="s">
        <v>165</v>
      </c>
    </row>
    <row r="8" customFormat="false" ht="15" hidden="false" customHeight="false" outlineLevel="0" collapsed="false">
      <c r="A8" s="8" t="n">
        <v>5</v>
      </c>
      <c r="B8" s="9" t="s">
        <v>166</v>
      </c>
      <c r="C8" s="17"/>
      <c r="D8" s="17"/>
      <c r="E8" s="17"/>
      <c r="F8" s="17"/>
      <c r="G8" s="8" t="s">
        <v>167</v>
      </c>
    </row>
    <row r="9" customFormat="false" ht="15" hidden="false" customHeight="false" outlineLevel="0" collapsed="false">
      <c r="A9" s="4" t="n">
        <v>1</v>
      </c>
      <c r="B9" s="18"/>
      <c r="C9" s="18"/>
      <c r="D9" s="18"/>
      <c r="E9" s="18"/>
      <c r="F9" s="18"/>
      <c r="G9" s="18"/>
    </row>
    <row r="10" customFormat="false" ht="15" hidden="false" customHeight="false" outlineLevel="0" collapsed="false">
      <c r="A10" s="8" t="n">
        <v>2</v>
      </c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4" t="n">
        <v>3</v>
      </c>
      <c r="B11" s="18"/>
      <c r="C11" s="18"/>
      <c r="D11" s="18"/>
      <c r="E11" s="18"/>
      <c r="F11" s="18"/>
      <c r="G11" s="18"/>
    </row>
    <row r="12" customFormat="false" ht="15" hidden="false" customHeight="false" outlineLevel="0" collapsed="false">
      <c r="A12" s="8" t="n">
        <v>4</v>
      </c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4" t="n">
        <v>5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8" t="n">
        <v>6</v>
      </c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4" t="n">
        <v>7</v>
      </c>
      <c r="B15" s="18"/>
      <c r="C15" s="18"/>
      <c r="D15" s="18"/>
      <c r="E15" s="18"/>
      <c r="F15" s="18"/>
      <c r="G15" s="18"/>
    </row>
    <row r="16" customFormat="false" ht="15" hidden="false" customHeight="false" outlineLevel="0" collapsed="false">
      <c r="A16" s="8" t="n">
        <v>8</v>
      </c>
      <c r="B16" s="17"/>
      <c r="C16" s="17"/>
      <c r="D16" s="17"/>
      <c r="E16" s="17"/>
      <c r="F16" s="17"/>
      <c r="G16" s="17"/>
    </row>
    <row r="17" customFormat="false" ht="15" hidden="false" customHeight="false" outlineLevel="0" collapsed="false">
      <c r="A17" s="4" t="n">
        <v>9</v>
      </c>
      <c r="B17" s="18"/>
      <c r="C17" s="18"/>
      <c r="D17" s="18"/>
      <c r="E17" s="18"/>
      <c r="F17" s="18"/>
      <c r="G17" s="18"/>
    </row>
    <row r="18" customFormat="false" ht="15" hidden="false" customHeight="false" outlineLevel="0" collapsed="false">
      <c r="A18" s="8" t="n">
        <v>10</v>
      </c>
      <c r="B18" s="17"/>
      <c r="C18" s="17"/>
      <c r="D18" s="17"/>
      <c r="E18" s="17"/>
      <c r="F18" s="17"/>
      <c r="G18" s="17"/>
    </row>
    <row r="19" customFormat="false" ht="15" hidden="false" customHeight="false" outlineLevel="0" collapsed="false">
      <c r="A19" s="4" t="n">
        <v>11</v>
      </c>
      <c r="B19" s="18"/>
      <c r="C19" s="18"/>
      <c r="D19" s="18"/>
      <c r="E19" s="18"/>
      <c r="F19" s="18"/>
      <c r="G19" s="18"/>
    </row>
    <row r="20" customFormat="false" ht="15" hidden="false" customHeight="false" outlineLevel="0" collapsed="false">
      <c r="A20" s="8" t="n">
        <v>12</v>
      </c>
      <c r="B20" s="17"/>
      <c r="C20" s="17"/>
      <c r="D20" s="17"/>
      <c r="E20" s="17"/>
      <c r="F20" s="17"/>
      <c r="G20" s="17"/>
    </row>
    <row r="21" customFormat="false" ht="15" hidden="false" customHeight="false" outlineLevel="0" collapsed="false">
      <c r="A21" s="4" t="n">
        <v>13</v>
      </c>
      <c r="B21" s="18"/>
      <c r="C21" s="18"/>
      <c r="D21" s="18"/>
      <c r="E21" s="18"/>
      <c r="F21" s="18"/>
      <c r="G21" s="18"/>
    </row>
    <row r="22" customFormat="false" ht="15" hidden="false" customHeight="false" outlineLevel="0" collapsed="false">
      <c r="A22" s="8" t="n">
        <v>14</v>
      </c>
      <c r="B22" s="17"/>
      <c r="C22" s="17"/>
      <c r="D22" s="17"/>
      <c r="E22" s="17"/>
      <c r="F22" s="17"/>
      <c r="G22" s="17"/>
    </row>
    <row r="23" customFormat="false" ht="15" hidden="false" customHeight="false" outlineLevel="0" collapsed="false">
      <c r="A23" s="4" t="n">
        <v>15</v>
      </c>
      <c r="B23" s="18"/>
      <c r="C23" s="18"/>
      <c r="D23" s="18"/>
      <c r="E23" s="18"/>
      <c r="F23" s="18"/>
      <c r="G23" s="1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50" t="s">
        <v>168</v>
      </c>
      <c r="B1" s="50"/>
      <c r="C1" s="50"/>
      <c r="D1" s="50"/>
      <c r="E1" s="50"/>
      <c r="F1" s="50"/>
    </row>
    <row r="2" customFormat="false" ht="25.5" hidden="false" customHeight="true" outlineLevel="0" collapsed="false">
      <c r="A2" s="51" t="s">
        <v>169</v>
      </c>
      <c r="B2" s="51"/>
      <c r="C2" s="51"/>
      <c r="D2" s="51"/>
      <c r="E2" s="51"/>
      <c r="F2" s="51"/>
    </row>
    <row r="3" customFormat="false" ht="15" hidden="false" customHeight="false" outlineLevel="0" collapsed="false">
      <c r="A3" s="52" t="s">
        <v>2</v>
      </c>
      <c r="B3" s="52" t="s">
        <v>170</v>
      </c>
      <c r="C3" s="52" t="s">
        <v>171</v>
      </c>
      <c r="D3" s="52" t="s">
        <v>172</v>
      </c>
      <c r="E3" s="52" t="s">
        <v>173</v>
      </c>
      <c r="F3" s="52" t="s">
        <v>174</v>
      </c>
    </row>
    <row r="4" customFormat="false" ht="49.5" hidden="false" customHeight="true" outlineLevel="0" collapsed="false">
      <c r="A4" s="8" t="n">
        <v>1</v>
      </c>
      <c r="B4" s="9" t="s">
        <v>175</v>
      </c>
      <c r="C4" s="11" t="s">
        <v>176</v>
      </c>
      <c r="D4" s="10" t="s">
        <v>177</v>
      </c>
      <c r="E4" s="10" t="s">
        <v>178</v>
      </c>
      <c r="F4" s="17"/>
    </row>
    <row r="5" customFormat="false" ht="49.5" hidden="false" customHeight="true" outlineLevel="0" collapsed="false">
      <c r="A5" s="4" t="n">
        <v>2</v>
      </c>
      <c r="B5" s="5" t="s">
        <v>179</v>
      </c>
      <c r="C5" s="7" t="s">
        <v>176</v>
      </c>
      <c r="D5" s="6" t="s">
        <v>180</v>
      </c>
      <c r="E5" s="6" t="s">
        <v>181</v>
      </c>
      <c r="F5" s="18"/>
    </row>
    <row r="6" customFormat="false" ht="49.5" hidden="false" customHeight="true" outlineLevel="0" collapsed="false">
      <c r="A6" s="8" t="n">
        <v>3</v>
      </c>
      <c r="B6" s="9" t="s">
        <v>182</v>
      </c>
      <c r="C6" s="11" t="s">
        <v>176</v>
      </c>
      <c r="D6" s="10" t="s">
        <v>183</v>
      </c>
      <c r="E6" s="10" t="s">
        <v>184</v>
      </c>
      <c r="F6" s="17"/>
    </row>
    <row r="7" customFormat="false" ht="49.5" hidden="false" customHeight="true" outlineLevel="0" collapsed="false">
      <c r="A7" s="4" t="n">
        <v>4</v>
      </c>
      <c r="B7" s="5" t="s">
        <v>185</v>
      </c>
      <c r="C7" s="7" t="s">
        <v>186</v>
      </c>
      <c r="D7" s="6" t="s">
        <v>187</v>
      </c>
      <c r="E7" s="6" t="s">
        <v>188</v>
      </c>
      <c r="F7" s="18"/>
    </row>
    <row r="8" customFormat="false" ht="49.5" hidden="false" customHeight="true" outlineLevel="0" collapsed="false">
      <c r="A8" s="8" t="n">
        <v>5</v>
      </c>
      <c r="B8" s="9" t="s">
        <v>189</v>
      </c>
      <c r="C8" s="11" t="s">
        <v>186</v>
      </c>
      <c r="D8" s="10" t="s">
        <v>190</v>
      </c>
      <c r="E8" s="10" t="s">
        <v>191</v>
      </c>
      <c r="F8" s="17"/>
    </row>
    <row r="9" customFormat="false" ht="49.5" hidden="false" customHeight="true" outlineLevel="0" collapsed="false">
      <c r="A9" s="4" t="n">
        <v>6</v>
      </c>
      <c r="B9" s="5" t="s">
        <v>192</v>
      </c>
      <c r="C9" s="7" t="s">
        <v>176</v>
      </c>
      <c r="D9" s="6" t="s">
        <v>193</v>
      </c>
      <c r="E9" s="6" t="s">
        <v>194</v>
      </c>
      <c r="F9" s="18"/>
    </row>
    <row r="10" customFormat="false" ht="49.5" hidden="false" customHeight="true" outlineLevel="0" collapsed="false">
      <c r="A10" s="8" t="n">
        <v>7</v>
      </c>
      <c r="B10" s="9" t="s">
        <v>195</v>
      </c>
      <c r="C10" s="11" t="s">
        <v>176</v>
      </c>
      <c r="D10" s="10" t="s">
        <v>196</v>
      </c>
      <c r="E10" s="10" t="s">
        <v>197</v>
      </c>
      <c r="F10" s="17"/>
    </row>
    <row r="11" customFormat="false" ht="49.5" hidden="false" customHeight="true" outlineLevel="0" collapsed="false">
      <c r="A11" s="4" t="n">
        <v>8</v>
      </c>
      <c r="B11" s="5" t="s">
        <v>198</v>
      </c>
      <c r="C11" s="7" t="s">
        <v>186</v>
      </c>
      <c r="D11" s="6" t="s">
        <v>199</v>
      </c>
      <c r="E11" s="6" t="s">
        <v>200</v>
      </c>
      <c r="F11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201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2" t="s">
        <v>202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6" t="s">
        <v>2</v>
      </c>
      <c r="B3" s="16" t="s">
        <v>203</v>
      </c>
      <c r="C3" s="16" t="s">
        <v>204</v>
      </c>
      <c r="D3" s="16" t="s">
        <v>205</v>
      </c>
      <c r="E3" s="16" t="s">
        <v>206</v>
      </c>
      <c r="F3" s="16" t="s">
        <v>207</v>
      </c>
    </row>
    <row r="4" customFormat="false" ht="31.5" hidden="false" customHeight="true" outlineLevel="0" collapsed="false">
      <c r="A4" s="8" t="n">
        <v>1</v>
      </c>
      <c r="B4" s="9" t="s">
        <v>208</v>
      </c>
      <c r="C4" s="10" t="s">
        <v>209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210</v>
      </c>
      <c r="C5" s="6" t="s">
        <v>211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212</v>
      </c>
      <c r="C6" s="10" t="s">
        <v>213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214</v>
      </c>
      <c r="C7" s="6" t="s">
        <v>215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216</v>
      </c>
      <c r="C8" s="10" t="s">
        <v>217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218</v>
      </c>
      <c r="C9" s="6" t="s">
        <v>219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220</v>
      </c>
      <c r="C10" s="10" t="s">
        <v>221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222</v>
      </c>
      <c r="C11" s="6" t="s">
        <v>223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224</v>
      </c>
      <c r="C12" s="10" t="s">
        <v>225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226</v>
      </c>
      <c r="C13" s="6" t="s">
        <v>227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228</v>
      </c>
      <c r="C14" s="10" t="s">
        <v>229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230</v>
      </c>
      <c r="C15" s="6" t="s">
        <v>231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232</v>
      </c>
      <c r="C16" s="10" t="s">
        <v>233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234</v>
      </c>
      <c r="C17" s="6" t="s">
        <v>235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236</v>
      </c>
      <c r="C18" s="10" t="s">
        <v>237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238</v>
      </c>
      <c r="C19" s="6" t="s">
        <v>239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240</v>
      </c>
      <c r="C20" s="10" t="s">
        <v>241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242</v>
      </c>
      <c r="C21" s="6" t="s">
        <v>243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244</v>
      </c>
      <c r="C22" s="10" t="s">
        <v>245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246</v>
      </c>
      <c r="C23" s="6" t="s">
        <v>247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2026-05-08T08:38:55Z</dcterms:created>
  <dc:creator>openpyxl</dc:creator>
  <dc:description/>
  <dc:language>en-US</dc:language>
  <cp:lastModifiedBy/>
  <dcterms:modified xsi:type="dcterms:W3CDTF">2026-05-08T08:38:55Z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