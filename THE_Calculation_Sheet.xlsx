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icator_Inputs" sheetId="1" r:id="rId1"/>
    <sheet name="ZScore_Normalization" sheetId="2" r:id="rId2"/>
    <sheet name="Exponential_Normalization" sheetId="3" r:id="rId3"/>
    <sheet name="Final_Calculation" sheetId="4" r:id="rId4"/>
    <sheet name="THE_Final_Score" sheetId="5" r:id="rId5"/>
    <sheet name="THE_Compliance" sheetId="6" r:id="rId6"/>
    <sheet name="Dashboard_Notes" sheetId="7" r:id="rId7"/>
  </sheets>
  <calcPr calcId="124519" fullCalcOnLoad="1"/>
</workbook>
</file>

<file path=xl/sharedStrings.xml><?xml version="1.0" encoding="utf-8"?>
<sst xmlns="http://schemas.openxmlformats.org/spreadsheetml/2006/main" count="121" uniqueCount="79">
  <si>
    <t>Indicator_Category</t>
  </si>
  <si>
    <t>Indicator_Name</t>
  </si>
  <si>
    <t>Weight</t>
  </si>
  <si>
    <t>Raw_Value</t>
  </si>
  <si>
    <t>Normalized_Value (Z/Exp Score)</t>
  </si>
  <si>
    <t>Weighted_Score</t>
  </si>
  <si>
    <t>Data_Source</t>
  </si>
  <si>
    <t>Evidence_File</t>
  </si>
  <si>
    <t>Verified_By</t>
  </si>
  <si>
    <t>Remarks</t>
  </si>
  <si>
    <t>Teaching</t>
  </si>
  <si>
    <t>Research Environment</t>
  </si>
  <si>
    <t>Research Quality</t>
  </si>
  <si>
    <t>International Outlook</t>
  </si>
  <si>
    <t>Industry</t>
  </si>
  <si>
    <t>Teaching Reputation</t>
  </si>
  <si>
    <t>Staff–Student Ratio</t>
  </si>
  <si>
    <t>Doctorate–Bachelor Ratio</t>
  </si>
  <si>
    <t>Doctorates Awarded / Staff</t>
  </si>
  <si>
    <t>Institutional Income</t>
  </si>
  <si>
    <t>Research Reputation</t>
  </si>
  <si>
    <t>Research Income</t>
  </si>
  <si>
    <t>Research Productivity</t>
  </si>
  <si>
    <t>Citation Impact</t>
  </si>
  <si>
    <t>Research Strength</t>
  </si>
  <si>
    <t>Research Excellence</t>
  </si>
  <si>
    <t>Research Influence</t>
  </si>
  <si>
    <t>International Students</t>
  </si>
  <si>
    <t>International Staff</t>
  </si>
  <si>
    <t>International Collaboration</t>
  </si>
  <si>
    <t>Industry Income</t>
  </si>
  <si>
    <t>Patents Citing Research</t>
  </si>
  <si>
    <t>Reputation Survey</t>
  </si>
  <si>
    <t>HR + Student Records</t>
  </si>
  <si>
    <t>Academic Office</t>
  </si>
  <si>
    <t>Finance + PPP</t>
  </si>
  <si>
    <t>Scopus</t>
  </si>
  <si>
    <t>Scopus FWCI</t>
  </si>
  <si>
    <t>Top 10%/1% Publications</t>
  </si>
  <si>
    <t>International Collaboration Metrics</t>
  </si>
  <si>
    <t>Admissions Office</t>
  </si>
  <si>
    <t>HR</t>
  </si>
  <si>
    <t>Scopus Co-authorship</t>
  </si>
  <si>
    <t>Finance</t>
  </si>
  <si>
    <t>Elsevier Patent Linkage</t>
  </si>
  <si>
    <t>Value</t>
  </si>
  <si>
    <t>Mean</t>
  </si>
  <si>
    <t>Std_Dev</t>
  </si>
  <si>
    <t>Z_Score Formula</t>
  </si>
  <si>
    <t>Z_Score</t>
  </si>
  <si>
    <t>CDF Score Formula</t>
  </si>
  <si>
    <t>CDF Score</t>
  </si>
  <si>
    <t>Example Indicator</t>
  </si>
  <si>
    <t>Exp_Formula</t>
  </si>
  <si>
    <t>Scaling_Factor</t>
  </si>
  <si>
    <t>Normalized_Score</t>
  </si>
  <si>
    <t>Weighted_Score Formula</t>
  </si>
  <si>
    <t>Metric</t>
  </si>
  <si>
    <t>Formula</t>
  </si>
  <si>
    <t>Score</t>
  </si>
  <si>
    <t>THE Overall Score</t>
  </si>
  <si>
    <t>Requirement</t>
  </si>
  <si>
    <t>Evidence_Required</t>
  </si>
  <si>
    <t>Status</t>
  </si>
  <si>
    <t>All metrics must follow THE mandatory standardization</t>
  </si>
  <si>
    <t>Z-scoring used for symmetric distributions</t>
  </si>
  <si>
    <t>Exponential normalization required for reputation metrics</t>
  </si>
  <si>
    <t>PPP conversion must be applied to all financial indicators</t>
  </si>
  <si>
    <t>FTE normalization must be based on verified HR records</t>
  </si>
  <si>
    <t>All Scopus data must be based on final frozen dataset</t>
  </si>
  <si>
    <t>Notes</t>
  </si>
  <si>
    <t>Suggested Visualizations:</t>
  </si>
  <si>
    <t>• Spider chart of weighted scores by pillar</t>
  </si>
  <si>
    <t>• Teaching vs Research vs International breakdown</t>
  </si>
  <si>
    <t>• Trend of normalized scores across years</t>
  </si>
  <si>
    <t>Insights:</t>
  </si>
  <si>
    <t>• Final THE score = Weighted combination of all 18 metrics</t>
  </si>
  <si>
    <t>• Accurate normalization improves ranking predictability</t>
  </si>
  <si>
    <t>• Financial, HR, and Scopus data must be highly reliable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</si>
</sst>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15</v>
      </c>
      <c r="C2">
        <v>0.15</v>
      </c>
      <c r="G2" t="s">
        <v>32</v>
      </c>
    </row>
    <row r="3" spans="1:10">
      <c r="A3" t="s">
        <v>10</v>
      </c>
      <c r="B3" t="s">
        <v>16</v>
      </c>
      <c r="C3">
        <v>0.045</v>
      </c>
      <c r="G3" t="s">
        <v>33</v>
      </c>
    </row>
    <row r="4" spans="1:10">
      <c r="A4" t="s">
        <v>10</v>
      </c>
      <c r="B4" t="s">
        <v>17</v>
      </c>
      <c r="C4">
        <v>0.02</v>
      </c>
      <c r="G4" t="s">
        <v>34</v>
      </c>
    </row>
    <row r="5" spans="1:10">
      <c r="A5" t="s">
        <v>10</v>
      </c>
      <c r="B5" t="s">
        <v>18</v>
      </c>
      <c r="C5">
        <v>0.055</v>
      </c>
      <c r="G5" t="s">
        <v>34</v>
      </c>
    </row>
    <row r="6" spans="1:10">
      <c r="A6" t="s">
        <v>10</v>
      </c>
      <c r="B6" t="s">
        <v>19</v>
      </c>
      <c r="C6">
        <v>0.025</v>
      </c>
      <c r="G6" t="s">
        <v>35</v>
      </c>
    </row>
    <row r="7" spans="1:10">
      <c r="A7" t="s">
        <v>11</v>
      </c>
      <c r="B7" t="s">
        <v>20</v>
      </c>
      <c r="C7">
        <v>0.18</v>
      </c>
      <c r="G7" t="s">
        <v>32</v>
      </c>
    </row>
    <row r="8" spans="1:10">
      <c r="A8" t="s">
        <v>11</v>
      </c>
      <c r="B8" t="s">
        <v>21</v>
      </c>
      <c r="C8">
        <v>0.055</v>
      </c>
      <c r="G8" t="s">
        <v>35</v>
      </c>
    </row>
    <row r="9" spans="1:10">
      <c r="A9" t="s">
        <v>11</v>
      </c>
      <c r="B9" t="s">
        <v>22</v>
      </c>
      <c r="C9">
        <v>0.055</v>
      </c>
      <c r="G9" t="s">
        <v>36</v>
      </c>
    </row>
    <row r="10" spans="1:10">
      <c r="A10" t="s">
        <v>12</v>
      </c>
      <c r="B10" t="s">
        <v>23</v>
      </c>
      <c r="C10">
        <v>0.15</v>
      </c>
      <c r="G10" t="s">
        <v>37</v>
      </c>
    </row>
    <row r="11" spans="1:10">
      <c r="A11" t="s">
        <v>12</v>
      </c>
      <c r="B11" t="s">
        <v>24</v>
      </c>
      <c r="C11">
        <v>0.05</v>
      </c>
      <c r="G11" t="s">
        <v>36</v>
      </c>
    </row>
    <row r="12" spans="1:10">
      <c r="A12" t="s">
        <v>12</v>
      </c>
      <c r="B12" t="s">
        <v>25</v>
      </c>
      <c r="C12">
        <v>0.05</v>
      </c>
      <c r="G12" t="s">
        <v>38</v>
      </c>
    </row>
    <row r="13" spans="1:10">
      <c r="A13" t="s">
        <v>12</v>
      </c>
      <c r="B13" t="s">
        <v>26</v>
      </c>
      <c r="C13">
        <v>0.05</v>
      </c>
      <c r="G13" t="s">
        <v>39</v>
      </c>
    </row>
    <row r="14" spans="1:10">
      <c r="A14" t="s">
        <v>13</v>
      </c>
      <c r="B14" t="s">
        <v>27</v>
      </c>
      <c r="C14">
        <v>0.025</v>
      </c>
      <c r="G14" t="s">
        <v>40</v>
      </c>
    </row>
    <row r="15" spans="1:10">
      <c r="A15" t="s">
        <v>13</v>
      </c>
      <c r="B15" t="s">
        <v>28</v>
      </c>
      <c r="C15">
        <v>0.025</v>
      </c>
      <c r="G15" t="s">
        <v>41</v>
      </c>
    </row>
    <row r="16" spans="1:10">
      <c r="A16" t="s">
        <v>13</v>
      </c>
      <c r="B16" t="s">
        <v>29</v>
      </c>
      <c r="C16">
        <v>0.025</v>
      </c>
      <c r="G16" t="s">
        <v>42</v>
      </c>
    </row>
    <row r="17" spans="1:7">
      <c r="A17" t="s">
        <v>14</v>
      </c>
      <c r="B17" t="s">
        <v>30</v>
      </c>
      <c r="C17">
        <v>0.02</v>
      </c>
      <c r="G17" t="s">
        <v>43</v>
      </c>
    </row>
    <row r="18" spans="1:7">
      <c r="A18" t="s">
        <v>14</v>
      </c>
      <c r="B18" t="s">
        <v>31</v>
      </c>
      <c r="C18">
        <v>0.02</v>
      </c>
      <c r="G18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1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</row>
    <row r="2" spans="1:8">
      <c r="A2" t="s">
        <v>52</v>
      </c>
      <c r="E2">
        <f>(B2-C2)/D2</f>
        <v>0</v>
      </c>
      <c r="G2">
        <f>NORM.S.DIST(E2, TRUE)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</v>
      </c>
      <c r="B1" s="1" t="s">
        <v>3</v>
      </c>
      <c r="C1" s="1" t="s">
        <v>53</v>
      </c>
      <c r="D1" s="1" t="s">
        <v>54</v>
      </c>
      <c r="E1" s="1" t="s">
        <v>55</v>
      </c>
    </row>
    <row r="2" spans="1:5">
      <c r="A2" t="s">
        <v>32</v>
      </c>
      <c r="C2">
        <f>1-EXP(-Raw_Value/Scaling_Factor)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FormatPr defaultRowHeight="15"/>
  <sheetData>
    <row r="1" spans="1:5">
      <c r="A1" s="1" t="s">
        <v>1</v>
      </c>
      <c r="B1" s="1" t="s">
        <v>55</v>
      </c>
      <c r="C1" s="1" t="s">
        <v>2</v>
      </c>
      <c r="D1" s="1" t="s">
        <v>56</v>
      </c>
      <c r="E1" s="1" t="s">
        <v>5</v>
      </c>
    </row>
    <row r="2" spans="1:5">
      <c r="A2" t="s">
        <v>15</v>
      </c>
      <c r="C2">
        <v>0.15</v>
      </c>
      <c r="D2">
        <f>B2*C2</f>
        <v>0</v>
      </c>
    </row>
    <row r="3" spans="1:5">
      <c r="A3" t="s">
        <v>16</v>
      </c>
      <c r="C3">
        <v>0.045</v>
      </c>
      <c r="D3">
        <f>B3*C3</f>
        <v>0</v>
      </c>
    </row>
    <row r="4" spans="1:5">
      <c r="A4" t="s">
        <v>17</v>
      </c>
      <c r="C4">
        <v>0.02</v>
      </c>
      <c r="D4">
        <f>B4*C4</f>
        <v>0</v>
      </c>
    </row>
    <row r="5" spans="1:5">
      <c r="A5" t="s">
        <v>18</v>
      </c>
      <c r="C5">
        <v>0.055</v>
      </c>
      <c r="D5">
        <f>B5*C5</f>
        <v>0</v>
      </c>
    </row>
    <row r="6" spans="1:5">
      <c r="A6" t="s">
        <v>19</v>
      </c>
      <c r="C6">
        <v>0.025</v>
      </c>
      <c r="D6">
        <f>B6*C6</f>
        <v>0</v>
      </c>
    </row>
    <row r="7" spans="1:5">
      <c r="A7" t="s">
        <v>20</v>
      </c>
      <c r="C7">
        <v>0.18</v>
      </c>
      <c r="D7">
        <f>B7*C7</f>
        <v>0</v>
      </c>
    </row>
    <row r="8" spans="1:5">
      <c r="A8" t="s">
        <v>21</v>
      </c>
      <c r="C8">
        <v>0.055</v>
      </c>
      <c r="D8">
        <f>B8*C8</f>
        <v>0</v>
      </c>
    </row>
    <row r="9" spans="1:5">
      <c r="A9" t="s">
        <v>22</v>
      </c>
      <c r="C9">
        <v>0.055</v>
      </c>
      <c r="D9">
        <f>B9*C9</f>
        <v>0</v>
      </c>
    </row>
    <row r="10" spans="1:5">
      <c r="A10" t="s">
        <v>23</v>
      </c>
      <c r="C10">
        <v>0.15</v>
      </c>
      <c r="D10">
        <f>B10*C10</f>
        <v>0</v>
      </c>
    </row>
    <row r="11" spans="1:5">
      <c r="A11" t="s">
        <v>24</v>
      </c>
      <c r="C11">
        <v>0.05</v>
      </c>
      <c r="D11">
        <f>B11*C11</f>
        <v>0</v>
      </c>
    </row>
    <row r="12" spans="1:5">
      <c r="A12" t="s">
        <v>25</v>
      </c>
      <c r="C12">
        <v>0.05</v>
      </c>
      <c r="D12">
        <f>B12*C12</f>
        <v>0</v>
      </c>
    </row>
    <row r="13" spans="1:5">
      <c r="A13" t="s">
        <v>26</v>
      </c>
      <c r="C13">
        <v>0.05</v>
      </c>
      <c r="D13">
        <f>B13*C13</f>
        <v>0</v>
      </c>
    </row>
    <row r="14" spans="1:5">
      <c r="A14" t="s">
        <v>27</v>
      </c>
      <c r="C14">
        <v>0.025</v>
      </c>
      <c r="D14">
        <f>B14*C14</f>
        <v>0</v>
      </c>
    </row>
    <row r="15" spans="1:5">
      <c r="A15" t="s">
        <v>28</v>
      </c>
      <c r="C15">
        <v>0.025</v>
      </c>
      <c r="D15">
        <f>B15*C15</f>
        <v>0</v>
      </c>
    </row>
    <row r="16" spans="1:5">
      <c r="A16" t="s">
        <v>29</v>
      </c>
      <c r="C16">
        <v>0.025</v>
      </c>
      <c r="D16">
        <f>B16*C16</f>
        <v>0</v>
      </c>
    </row>
    <row r="17" spans="1:4">
      <c r="A17" t="s">
        <v>30</v>
      </c>
      <c r="C17">
        <v>0.02</v>
      </c>
      <c r="D17">
        <f>B17*C17</f>
        <v>0</v>
      </c>
    </row>
    <row r="18" spans="1:4">
      <c r="A18" t="s">
        <v>31</v>
      </c>
      <c r="C18">
        <v>0.02</v>
      </c>
      <c r="D18">
        <f>B18*C18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57</v>
      </c>
      <c r="B1" s="1" t="s">
        <v>58</v>
      </c>
      <c r="C1" s="1" t="s">
        <v>59</v>
      </c>
    </row>
    <row r="2" spans="1:3">
      <c r="A2" t="s">
        <v>60</v>
      </c>
      <c r="B2">
        <f>SUM(Final_Calculation!D2:D18)</f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s="1" t="s">
        <v>61</v>
      </c>
      <c r="B1" s="1" t="s">
        <v>62</v>
      </c>
      <c r="C1" s="1" t="s">
        <v>63</v>
      </c>
      <c r="D1" s="1" t="s">
        <v>9</v>
      </c>
    </row>
    <row r="2" spans="1:4">
      <c r="A2" t="s">
        <v>64</v>
      </c>
    </row>
    <row r="3" spans="1:4">
      <c r="A3" t="s">
        <v>65</v>
      </c>
    </row>
    <row r="4" spans="1:4">
      <c r="A4" t="s">
        <v>66</v>
      </c>
    </row>
    <row r="5" spans="1:4">
      <c r="A5" t="s">
        <v>67</v>
      </c>
    </row>
    <row r="6" spans="1:4">
      <c r="A6" t="s">
        <v>68</v>
      </c>
    </row>
    <row r="7" spans="1:4">
      <c r="A7" t="s">
        <v>69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10"/>
  <sheetViews>
    <sheetView workbookViewId="0"/>
  </sheetViews>
  <sheetFormatPr defaultRowHeight="15"/>
  <sheetData>
    <row r="1" spans="1:1">
      <c r="A1" s="1" t="s">
        <v>70</v>
      </c>
    </row>
    <row r="2" spans="1:1">
      <c r="A2" t="s">
        <v>71</v>
      </c>
    </row>
    <row r="3" spans="1:1">
      <c r="A3" t="s">
        <v>72</v>
      </c>
    </row>
    <row r="4" spans="1:1">
      <c r="A4" t="s">
        <v>73</v>
      </c>
    </row>
    <row r="5" spans="1:1">
      <c r="A5" t="s">
        <v>74</v>
      </c>
    </row>
    <row r="7" spans="1:1">
      <c r="A7" t="s">
        <v>75</v>
      </c>
    </row>
    <row r="8" spans="1:1">
      <c r="A8" t="s">
        <v>76</v>
      </c>
    </row>
    <row r="9" spans="1:1">
      <c r="A9" t="s">
        <v>77</v>
      </c>
    </row>
    <row r="10" spans="1:1">
      <c r="A10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Indicator_Inputs</vt:lpstr>
      <vt:lpstr>ZScore_Normalization</vt:lpstr>
      <vt:lpstr>Exponential_Normalization</vt:lpstr>
      <vt:lpstr>Final_Calculation</vt:lpstr>
      <vt:lpstr>THE_Final_Score</vt:lpstr>
      <vt:lpstr>THE_Compliance</vt:lpstr>
      <vt:lpstr>Dashboard_Notes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2025-12-07T03:04:28Z</dcterms:created>
  <dcterms:modified xsi:type="dcterms:W3CDTF">2025-12-07T03:04:28Z</dcterms:modified>
</cp:coreProperties>
</file>