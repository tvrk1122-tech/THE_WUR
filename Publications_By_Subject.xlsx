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wise_Publication_Master" sheetId="1" r:id="rId1"/>
    <sheet name="Subjectwise_Summary" sheetId="2" r:id="rId2"/>
    <sheet name="ASJC_Reference" sheetId="3" r:id="rId3"/>
    <sheet name="Yearwise_Subject_Trend" sheetId="4" r:id="rId4"/>
    <sheet name="Formulas" sheetId="5" r:id="rId5"/>
    <sheet name="Audit_Rules" sheetId="6" r:id="rId6"/>
    <sheet name="Compliance_Checklist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<sst xmlns="http://schemas.openxmlformats.org/spreadsheetml/2006/main" count="90" uniqueCount="80">
  <si>
    <t>ASJC_Code</t>
  </si>
  <si>
    <t>ASJC_Field_Name</t>
  </si>
  <si>
    <t>Publication_DOI</t>
  </si>
  <si>
    <t>Scopus_EID</t>
  </si>
  <si>
    <t>Title</t>
  </si>
  <si>
    <t>Authors</t>
  </si>
  <si>
    <t>Affiliations_Raw</t>
  </si>
  <si>
    <t>Cleaned_Affiliation</t>
  </si>
  <si>
    <t>Publication_Year</t>
  </si>
  <si>
    <t>Document_Type (Article/Review/Conference/etc.)</t>
  </si>
  <si>
    <t>Journal_or_Conference</t>
  </si>
  <si>
    <t>Publisher</t>
  </si>
  <si>
    <t>Citations</t>
  </si>
  <si>
    <t>FWCI</t>
  </si>
  <si>
    <t>Open_Access (Yes/No)</t>
  </si>
  <si>
    <t>Link</t>
  </si>
  <si>
    <t>Remarks</t>
  </si>
  <si>
    <t>Total_Publications</t>
  </si>
  <si>
    <t>Articles</t>
  </si>
  <si>
    <t>Reviews</t>
  </si>
  <si>
    <t>Conference_Papers</t>
  </si>
  <si>
    <t>Book_Chapters</t>
  </si>
  <si>
    <t>Average_Citations</t>
  </si>
  <si>
    <t>Average_FWCI</t>
  </si>
  <si>
    <t>Open_Access_Count</t>
  </si>
  <si>
    <t>Top_Journal</t>
  </si>
  <si>
    <t>Description</t>
  </si>
  <si>
    <t>Example_Journals</t>
  </si>
  <si>
    <t>2018</t>
  </si>
  <si>
    <t>2019</t>
  </si>
  <si>
    <t>2020</t>
  </si>
  <si>
    <t>2021</t>
  </si>
  <si>
    <t>2022</t>
  </si>
  <si>
    <t>2023</t>
  </si>
  <si>
    <t>6Year_Total</t>
  </si>
  <si>
    <t>Trend (Increasing/Stable/Decreasing)</t>
  </si>
  <si>
    <t>Metric</t>
  </si>
  <si>
    <t>Formula</t>
  </si>
  <si>
    <t>Explanation</t>
  </si>
  <si>
    <t>Average Citations</t>
  </si>
  <si>
    <t>Average FWCI</t>
  </si>
  <si>
    <t>Open Access %</t>
  </si>
  <si>
    <t>Subject Contribution %</t>
  </si>
  <si>
    <t>Shows citation performance within subject.</t>
  </si>
  <si>
    <t>Indicates research quality relative to field.</t>
  </si>
  <si>
    <t>Measures OA adoption rate.</t>
  </si>
  <si>
    <t>Shows the share of each subject area in total output.</t>
  </si>
  <si>
    <t>Rule</t>
  </si>
  <si>
    <t>ASJC classification must follow Scopus official mapping.</t>
  </si>
  <si>
    <t>Document types must match Scopus metadata.</t>
  </si>
  <si>
    <t>Suspended/predatory journals must be removed.</t>
  </si>
  <si>
    <t>Affiliation cleaning must match institutional dictionary.</t>
  </si>
  <si>
    <t>DOI + Scopus EID must be unique per publication.</t>
  </si>
  <si>
    <t>Publication year must match Scopus verified data.</t>
  </si>
  <si>
    <t>Ensures subject field accuracy.</t>
  </si>
  <si>
    <t>Prevents wrong category assignments.</t>
  </si>
  <si>
    <t>Improves dataset quality.</t>
  </si>
  <si>
    <t>Ensures valid attribution to institution.</t>
  </si>
  <si>
    <t>Avoids duplicate entries.</t>
  </si>
  <si>
    <t>Avoids year-window mistakes affecting FWCI and counts.</t>
  </si>
  <si>
    <t>Requirement</t>
  </si>
  <si>
    <t>Evidence_Required</t>
  </si>
  <si>
    <t>Status</t>
  </si>
  <si>
    <t>ASJC mapping completed</t>
  </si>
  <si>
    <t>Document type cleaned</t>
  </si>
  <si>
    <t>Suspended journals removed</t>
  </si>
  <si>
    <t>Affiliations verified</t>
  </si>
  <si>
    <t>DOI/EID duplicates removed</t>
  </si>
  <si>
    <t>Subject-level FWCI calculated</t>
  </si>
  <si>
    <t>Notes</t>
  </si>
  <si>
    <t>Suggested Dashboards:</t>
  </si>
  <si>
    <t>• Publications by Subject (Bar Chart)</t>
  </si>
  <si>
    <t>• Subjectwise FWCI Comparison</t>
  </si>
  <si>
    <t>• Open Access % per Subject</t>
  </si>
  <si>
    <t>• Yearwise Subject Growth Trend</t>
  </si>
  <si>
    <t>Insights:</t>
  </si>
  <si>
    <t>• Identifies strongest research fields.</t>
  </si>
  <si>
    <t>• Helps determine subject focus for rankings.</t>
  </si>
  <si>
    <t>• Supports THE research quality analysis.</t>
  </si>
  <si>
    <t>• Useful for departmental strategy &amp; annual reports.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</si>
</sst>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26</v>
      </c>
      <c r="D1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36</v>
      </c>
      <c r="B1" s="1" t="s">
        <v>37</v>
      </c>
      <c r="C1" s="1" t="s">
        <v>38</v>
      </c>
    </row>
    <row r="2" spans="1:3">
      <c r="A2" t="s">
        <v>39</v>
      </c>
      <c r="B2">
        <f>AVERAGE(Citations)</f>
        <v>0</v>
      </c>
      <c r="C2" t="s">
        <v>43</v>
      </c>
    </row>
    <row r="3" spans="1:3">
      <c r="A3" t="s">
        <v>40</v>
      </c>
      <c r="B3">
        <f>AVERAGE(FWCI)</f>
        <v>0</v>
      </c>
      <c r="C3" t="s">
        <v>44</v>
      </c>
    </row>
    <row r="4" spans="1:3">
      <c r="A4" t="s">
        <v>41</v>
      </c>
      <c r="B4">
        <f>Open_Access_Count / Total_Publications</f>
        <v>0</v>
      </c>
      <c r="C4" t="s">
        <v>45</v>
      </c>
    </row>
    <row r="5" spans="1:3">
      <c r="A5" t="s">
        <v>42</v>
      </c>
      <c r="B5">
        <f>Subject_Publications / SUM(All_Subject_Publications)</f>
        <v>0</v>
      </c>
      <c r="C5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47</v>
      </c>
      <c r="B1" s="1" t="s">
        <v>38</v>
      </c>
    </row>
    <row r="2" spans="1:2">
      <c r="A2" t="s">
        <v>48</v>
      </c>
      <c r="B2" t="s">
        <v>54</v>
      </c>
    </row>
    <row r="3" spans="1:2">
      <c r="A3" t="s">
        <v>49</v>
      </c>
      <c r="B3" t="s">
        <v>55</v>
      </c>
    </row>
    <row r="4" spans="1:2">
      <c r="A4" t="s">
        <v>50</v>
      </c>
      <c r="B4" t="s">
        <v>56</v>
      </c>
    </row>
    <row r="5" spans="1:2">
      <c r="A5" t="s">
        <v>51</v>
      </c>
      <c r="B5" t="s">
        <v>57</v>
      </c>
    </row>
    <row r="6" spans="1:2">
      <c r="A6" t="s">
        <v>52</v>
      </c>
      <c r="B6" t="s">
        <v>58</v>
      </c>
    </row>
    <row r="7" spans="1:2">
      <c r="A7" t="s">
        <v>53</v>
      </c>
      <c r="B7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60</v>
      </c>
      <c r="B1" s="1" t="s">
        <v>61</v>
      </c>
      <c r="C1" s="1" t="s">
        <v>62</v>
      </c>
      <c r="D1" s="1" t="s">
        <v>16</v>
      </c>
    </row>
    <row r="2" spans="1:4">
      <c r="A2" t="s">
        <v>63</v>
      </c>
    </row>
    <row r="3" spans="1:4">
      <c r="A3" t="s">
        <v>64</v>
      </c>
    </row>
    <row r="4" spans="1:4">
      <c r="A4" t="s">
        <v>65</v>
      </c>
    </row>
    <row r="5" spans="1:4">
      <c r="A5" t="s">
        <v>66</v>
      </c>
    </row>
    <row r="6" spans="1:4">
      <c r="A6" t="s">
        <v>67</v>
      </c>
    </row>
    <row r="7" spans="1:4">
      <c r="A7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69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8" spans="1:1">
      <c r="A8" t="s">
        <v>75</v>
      </c>
    </row>
    <row r="9" spans="1:1">
      <c r="A9" t="s">
        <v>76</v>
      </c>
    </row>
    <row r="10" spans="1:1">
      <c r="A10" t="s">
        <v>77</v>
      </c>
    </row>
    <row r="11" spans="1:1">
      <c r="A11" t="s">
        <v>78</v>
      </c>
    </row>
    <row r="12" spans="1:1">
      <c r="A1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Subjectwise_Publication_Master</vt:lpstr>
      <vt:lpstr>Subjectwise_Summary</vt:lpstr>
      <vt:lpstr>ASJC_Reference</vt:lpstr>
      <vt:lpstr>Yearwise_Subject_Trend</vt:lpstr>
      <vt:lpstr>Formulas</vt:lpstr>
      <vt:lpstr>Audit_Rules</vt:lpstr>
      <vt:lpstr>Compliance_Checklist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2025-12-07T12:08:00Z</dcterms:created>
  <dcterms:modified xsi:type="dcterms:W3CDTF">2025-12-07T12:08:00Z</dcterms:modified>
</cp:coreProperties>
</file>