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ology Overview" sheetId="1" state="visible" r:id="rId3"/>
    <sheet name="1. Citations Summary" sheetId="2" state="visible" r:id="rId4"/>
    <sheet name="2. Citation Reach" sheetId="3" state="visible" r:id="rId5"/>
    <sheet name="3. Patent &amp; Policy Cit." sheetId="4" state="visible" r:id="rId6"/>
    <sheet name="4. h-index Analysis" sheetId="5" state="visible" r:id="rId7"/>
    <sheet name="5. Dept Influence" sheetId="6" state="visible" r:id="rId8"/>
    <sheet name="6. Scoring" sheetId="7" state="visible" r:id="rId9"/>
    <sheet name="7. Action Plan" sheetId="8" state="visible" r:id="rId10"/>
    <sheet name="8. Benchmarking" sheetId="9" state="visible" r:id="rId11"/>
    <sheet name="9. Risk Assessment" sheetId="10" state="visible" r:id="rId12"/>
    <sheet name="10. Data Quality Audit"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<sst xmlns="http://schemas.openxmlformats.org/spreadsheetml/2006/main" count="282" uniqueCount="232">
  <si>
    <t xml:space="preserve">THE WUR — Research Quality (30%) → Research Influence (5%)</t>
  </si>
  <si>
    <t xml:space="preserve">Total Citation Volume &amp; Sustained Scholarly Influence | h-index, Total Citations, Patent Citations</t>
  </si>
  <si>
    <t xml:space="preserve">#</t>
  </si>
  <si>
    <t xml:space="preserve">Component</t>
  </si>
  <si>
    <t xml:space="preserve">Description &amp; Methodology</t>
  </si>
  <si>
    <t xml:space="preserve">Weight</t>
  </si>
  <si>
    <t xml:space="preserve">Research Influence</t>
  </si>
  <si>
    <t xml:space="preserve">Captures the TOTAL citation footprint and sustained scholarly influence of an institution's research. Unlike FWCI (average impact per paper) or top-percentile metrics (proportion of elite papers), Research Influence measures the AGGREGATE volume of influence: how many times the institution's work is cited overall and how consistently impactful it is over time. Combines citation volume, h-index, and broader influence signals.</t>
  </si>
  <si>
    <t xml:space="preserve">5% of WUR</t>
  </si>
  <si>
    <t xml:space="preserve">Total Citations (Normalized)</t>
  </si>
  <si>
    <t xml:space="preserve">Total number of citations received by the institution's Scopus publications over the 5-year window, normalized by academic staff FTE or publication count. Excludes institutional self-citations. Captures absolute scholarly influence — raw volume of knowledge impact across the global research community.</t>
  </si>
  <si>
    <t xml:space="preserve">Sub-metric</t>
  </si>
  <si>
    <t xml:space="preserve">Institutional h-index</t>
  </si>
  <si>
    <t xml:space="preserve">The institution's h-index computed from Scopus data: the institution has h papers that have each been cited at least h times. Captures SUSTAINED influence — not just a few mega-cited papers but a consistent body of well-cited work. Higher h-index = broader and deeper research impact.</t>
  </si>
  <si>
    <t xml:space="preserve">Citation Reach / Breadth</t>
  </si>
  <si>
    <t xml:space="preserve">How widely the institution's research is cited across different ASJC subject areas. Institutions whose work influences many fields (not just their own) demonstrate broader research influence. Measured via entropy on citing-field distribution or count of distinct ASJC areas citing the institution.</t>
  </si>
  <si>
    <t xml:space="preserve">Patent &amp; Policy Citations</t>
  </si>
  <si>
    <t xml:space="preserve">Citations received from patent literature (USPTO, EPO, WIPO) and policy documents, indicating that research has influenced technological innovation and policy-making beyond academia. Measured via Scopus patent-citation linkages and Overton/Altmetric policy citation data.</t>
  </si>
  <si>
    <t xml:space="preserve">Context: Research Quality Pillar</t>
  </si>
  <si>
    <t xml:space="preserve">Research Quality (30%) = Citation Impact/FWCI (15%) + Research Strength/Top 10% (5%) + Research Excellence/Top 1% (5%) + Research Influence (5%). Influence captures the TOTAL FOOTPRINT dimension — complements FWCI (average), Strength (breadth of quality), and Excellence (peak quality). Difficulty: 🟡 Moderate (1–3 years).</t>
  </si>
  <si>
    <t xml:space="preserve">5% of 30%</t>
  </si>
  <si>
    <t xml:space="preserve">How Research Influence Completes the Research Quality Picture</t>
  </si>
  <si>
    <t xml:space="preserve">Indicator</t>
  </si>
  <si>
    <t xml:space="preserve">Dimension Measured</t>
  </si>
  <si>
    <t xml:space="preserve">Analogy</t>
  </si>
  <si>
    <t xml:space="preserve">Citation Impact (FWCI)</t>
  </si>
  <si>
    <t xml:space="preserve">15%</t>
  </si>
  <si>
    <t xml:space="preserve">AVERAGE impact per paper</t>
  </si>
  <si>
    <t xml:space="preserve">Average batting score</t>
  </si>
  <si>
    <t xml:space="preserve">Research Strength (Top 10%)</t>
  </si>
  <si>
    <t xml:space="preserve">5%</t>
  </si>
  <si>
    <t xml:space="preserve">BREADTH of quality — many good papers</t>
  </si>
  <si>
    <t xml:space="preserve">How many centuries scored</t>
  </si>
  <si>
    <t xml:space="preserve">Research Excellence (Top 1%)</t>
  </si>
  <si>
    <t xml:space="preserve">PEAK quality — breakthrough papers</t>
  </si>
  <si>
    <t xml:space="preserve">Double/triple centuries</t>
  </si>
  <si>
    <t xml:space="preserve">TOTAL footprint — aggregate citation volume, h-index, reach</t>
  </si>
  <si>
    <t xml:space="preserve">Total career runs scored</t>
  </si>
  <si>
    <t xml:space="preserve">Improvement Strategies</t>
  </si>
  <si>
    <t xml:space="preserve">• Grow total citations by publishing in high-impact Q1/Q2 journals.</t>
  </si>
  <si>
    <t xml:space="preserve">• Build international co-authorship networks — intl papers get cited 2–3× more.</t>
  </si>
  <si>
    <t xml:space="preserve">• Increase h-index through sustained, consistent publishing of well-cited papers.</t>
  </si>
  <si>
    <t xml:space="preserve">• Broaden citation reach by conducting interdisciplinary research spanning ASJC areas.</t>
  </si>
  <si>
    <t xml:space="preserve">• Pursue research with industry / patent relevance for non-academic citation impact.</t>
  </si>
  <si>
    <t xml:space="preserve">• Engage in policy-relevant research to generate Overton / policy document citations.</t>
  </si>
  <si>
    <t xml:space="preserve">• Promote open access publishing — OA papers receive more total citations over time.</t>
  </si>
  <si>
    <t xml:space="preserve">• Difficulty: 🟡 Moderate (1–3 years). Total citation volume grows with each publishing cycle.</t>
  </si>
  <si>
    <t xml:space="preserve">Total Citations &amp; Influence Metrics — University-Level (5-Year Window)</t>
  </si>
  <si>
    <t xml:space="preserve">Aggregate citation volume, h-index, citations per paper, citations per staff | Self-citations excluded</t>
  </si>
  <si>
    <t xml:space="preserve">S.No.</t>
  </si>
  <si>
    <t xml:space="preserve">University Name</t>
  </si>
  <si>
    <t xml:space="preserve">Country</t>
  </si>
  <si>
    <t xml:space="preserve">Total Scopus Pubs (5yr)</t>
  </si>
  <si>
    <t xml:space="preserve">Total Citations (Excl Self-Cit.)</t>
  </si>
  <si>
    <t xml:space="preserve">Citations per Publication</t>
  </si>
  <si>
    <t xml:space="preserve">Citations per Staff FTE</t>
  </si>
  <si>
    <t xml:space="preserve">% Papers Cited ≥1 Time</t>
  </si>
  <si>
    <t xml:space="preserve">Analysis Period</t>
  </si>
  <si>
    <t xml:space="preserve">Summary Statistics</t>
  </si>
  <si>
    <t xml:space="preserve">Total Citations (All Universities)</t>
  </si>
  <si>
    <t xml:space="preserve">Average Citations per Pub</t>
  </si>
  <si>
    <t xml:space="preserve">Average h-index</t>
  </si>
  <si>
    <t xml:space="preserve">Highest h-index</t>
  </si>
  <si>
    <t xml:space="preserve">Average Citations per Staff</t>
  </si>
  <si>
    <t xml:space="preserve">Citation Reach — Cross-Field Influence (How Broadly Work is Cited)</t>
  </si>
  <si>
    <t xml:space="preserve">Unique ASJC areas citing the institution's work | Entropy on citing-field distribution</t>
  </si>
  <si>
    <t xml:space="preserve">Unique ASJC Areas Citing (of 27)</t>
  </si>
  <si>
    <t xml:space="preserve">Citation Reach Entropy H (bits)</t>
  </si>
  <si>
    <t xml:space="preserve">Max Entropy log₂(27)</t>
  </si>
  <si>
    <t xml:space="preserve">Normalized Reach (H/Hmax)</t>
  </si>
  <si>
    <t xml:space="preserve">Patent &amp; Policy Citations — Non-Academic Influence</t>
  </si>
  <si>
    <t xml:space="preserve">Citations from patent literature (USPTO/EPO/WIPO) and policy documents (Overton/Altmetric)</t>
  </si>
  <si>
    <t xml:space="preserve">Patent Citations Received</t>
  </si>
  <si>
    <t xml:space="preserve">% Pubs Cited in Patents</t>
  </si>
  <si>
    <t xml:space="preserve">Policy Document Citations (Overton)</t>
  </si>
  <si>
    <t xml:space="preserve">% Pubs Cited in Policy Docs</t>
  </si>
  <si>
    <t xml:space="preserve">Altmetric Attention Score (Avg)</t>
  </si>
  <si>
    <t xml:space="preserve">Institutional h-index — Sustained Citation Influence</t>
  </si>
  <si>
    <t xml:space="preserve">h-index = institution has h papers cited ≥h times | Measures consistent depth of impact</t>
  </si>
  <si>
    <t xml:space="preserve">h-index (5yr window)</t>
  </si>
  <si>
    <t xml:space="preserve">h-index (All-time)</t>
  </si>
  <si>
    <t xml:space="preserve">h5-index (last 5 years only)</t>
  </si>
  <si>
    <t xml:space="preserve">Total Pubs (5yr)</t>
  </si>
  <si>
    <t xml:space="preserve">h-index per 100 Pubs</t>
  </si>
  <si>
    <t xml:space="preserve">h-index per 100 Staff FTE</t>
  </si>
  <si>
    <t xml:space="preserve">h-index 5-Year Trend</t>
  </si>
  <si>
    <t xml:space="preserve">Year 1 h-index</t>
  </si>
  <si>
    <t xml:space="preserve">Year 2</t>
  </si>
  <si>
    <t xml:space="preserve">Year 3</t>
  </si>
  <si>
    <t xml:space="preserve">Year 4</t>
  </si>
  <si>
    <t xml:space="preserve">Year 5 (Current)</t>
  </si>
  <si>
    <t xml:space="preserve">5-Year Change</t>
  </si>
  <si>
    <t xml:space="preserve">Growth (%)</t>
  </si>
  <si>
    <t xml:space="preserve">Department-Level Research Influence</t>
  </si>
  <si>
    <t xml:space="preserve">Citations per pub, h-index, and % cited by department | Identifies high &amp; low influence departments</t>
  </si>
  <si>
    <t xml:space="preserve">Department / School</t>
  </si>
  <si>
    <t xml:space="preserve">Faculty / College</t>
  </si>
  <si>
    <t xml:space="preserve">Citations (Excl Self)</t>
  </si>
  <si>
    <t xml:space="preserve">Citations per Pub</t>
  </si>
  <si>
    <t xml:space="preserve">Dept h-index</t>
  </si>
  <si>
    <t xml:space="preserve">% Papers Cited ≥1</t>
  </si>
  <si>
    <t xml:space="preserve">Priority</t>
  </si>
  <si>
    <t xml:space="preserve">Research Influence — Composite Score (0–100) | 5% of Total WUR</t>
  </si>
  <si>
    <t xml:space="preserve">Weighted: Citations/Staff (40%) + h-index (30%) + Citation Reach (15%) + Patent/Policy Cit. (15%)</t>
  </si>
  <si>
    <t xml:space="preserve">Citations/Staff Score (A)</t>
  </si>
  <si>
    <t xml:space="preserve">h-index Score (B)</t>
  </si>
  <si>
    <t xml:space="preserve">Citation Reach Score (C)</t>
  </si>
  <si>
    <t xml:space="preserve">Patent/Policy Score (D)</t>
  </si>
  <si>
    <t xml:space="preserve">Composite Influence Score (0–100)</t>
  </si>
  <si>
    <t xml:space="preserve">Global Rank</t>
  </si>
  <si>
    <t xml:space="preserve">Weights →</t>
  </si>
  <si>
    <t xml:space="preserve">Research Influence — Strategic Action Plan</t>
  </si>
  <si>
    <t xml:space="preserve">Action Item</t>
  </si>
  <si>
    <t xml:space="preserve">Phase</t>
  </si>
  <si>
    <t xml:space="preserve">Status</t>
  </si>
  <si>
    <t xml:space="preserve">Target Date</t>
  </si>
  <si>
    <t xml:space="preserve">Remarks</t>
  </si>
  <si>
    <t xml:space="preserve">Audit institutional h-index and citations per staff via SciVal</t>
  </si>
  <si>
    <t xml:space="preserve">1 (0–6mo)</t>
  </si>
  <si>
    <t xml:space="preserve">Identify low-citation departments and set citation growth targets</t>
  </si>
  <si>
    <t xml:space="preserve">Train faculty on citation-maximizing strategies: OA, co-authorship, dissemination</t>
  </si>
  <si>
    <t xml:space="preserve">Launch open access publishing fund for citation visibility</t>
  </si>
  <si>
    <t xml:space="preserve">Build international co-authorship networks for higher citation rates</t>
  </si>
  <si>
    <t xml:space="preserve">2 (6–18mo)</t>
  </si>
  <si>
    <t xml:space="preserve">Pursue interdisciplinary research to broaden citation reach across ASJC fields</t>
  </si>
  <si>
    <t xml:space="preserve">Encourage research with patent / industry relevance for non-academic citations</t>
  </si>
  <si>
    <t xml:space="preserve">Engage in policy-relevant research for Overton / policy document citations</t>
  </si>
  <si>
    <t xml:space="preserve">Promote social media dissemination and preprint sharing for Altmetric visibility</t>
  </si>
  <si>
    <t xml:space="preserve">Target 25–40% growth in total citations (excl self) from Year 1 baseline</t>
  </si>
  <si>
    <t xml:space="preserve">3 (18–36mo)</t>
  </si>
  <si>
    <t xml:space="preserve">Grow institutional h-index by 15–25% over 3 years</t>
  </si>
  <si>
    <t xml:space="preserve">Achieve citation reach across ≥20 of 27 ASJC areas</t>
  </si>
  <si>
    <t xml:space="preserve">Embed citation and h-index targets in faculty annual appraisal</t>
  </si>
  <si>
    <t xml:space="preserve">Progress</t>
  </si>
  <si>
    <t xml:space="preserve">Completed</t>
  </si>
  <si>
    <t xml:space="preserve">In Progress</t>
  </si>
  <si>
    <t xml:space="preserve">Completion (%)</t>
  </si>
  <si>
    <t xml:space="preserve">Benchmarking — Research Influence</t>
  </si>
  <si>
    <t xml:space="preserve">University / Benchmark</t>
  </si>
  <si>
    <t xml:space="preserve">Cit/Staff</t>
  </si>
  <si>
    <t xml:space="preserve">h-index</t>
  </si>
  <si>
    <t xml:space="preserve">Citation Reach</t>
  </si>
  <si>
    <t xml:space="preserve">Patent/Policy</t>
  </si>
  <si>
    <t xml:space="preserve">Score (0–100)</t>
  </si>
  <si>
    <t xml:space="preserve">Peer Group</t>
  </si>
  <si>
    <t xml:space="preserve">Your Institution</t>
  </si>
  <si>
    <t xml:space="preserve">Target</t>
  </si>
  <si>
    <t xml:space="preserve">Global Top 10 Average</t>
  </si>
  <si>
    <t xml:space="preserve">Aspirational</t>
  </si>
  <si>
    <t xml:space="preserve">National Average</t>
  </si>
  <si>
    <t xml:space="preserve">National</t>
  </si>
  <si>
    <t xml:space="preserve">Peer Group Average</t>
  </si>
  <si>
    <t xml:space="preserve">Peer</t>
  </si>
  <si>
    <t xml:space="preserve">Research Influence — Risk Assessment</t>
  </si>
  <si>
    <t xml:space="preserve">Risk</t>
  </si>
  <si>
    <t xml:space="preserve">Level</t>
  </si>
  <si>
    <t xml:space="preserve">Impact</t>
  </si>
  <si>
    <t xml:space="preserve">Mitigation</t>
  </si>
  <si>
    <t xml:space="preserve">Owner</t>
  </si>
  <si>
    <t xml:space="preserve">Low total citation volume</t>
  </si>
  <si>
    <t xml:space="preserve">🟡 Medium</t>
  </si>
  <si>
    <t xml:space="preserve">Aggregate influence metric depressed vs larger institutions</t>
  </si>
  <si>
    <t xml:space="preserve">Grow output strategically; publish in high-citation journals; OA strategy</t>
  </si>
  <si>
    <t xml:space="preserve">High self-citation rate inflating totals</t>
  </si>
  <si>
    <t xml:space="preserve">🔴 High</t>
  </si>
  <si>
    <t xml:space="preserve">Self-citations excluded by THE; real influence lower</t>
  </si>
  <si>
    <t xml:space="preserve">Focus on external citations; monitor self-citation rate &lt;15%</t>
  </si>
  <si>
    <t xml:space="preserve">Narrow citation reach (few citing fields)</t>
  </si>
  <si>
    <t xml:space="preserve">Low citation breadth; influence concentrated in 1–2 fields</t>
  </si>
  <si>
    <t xml:space="preserve">Pursue interdisciplinary research; publish in multi-domain journals</t>
  </si>
  <si>
    <t xml:space="preserve">Low h-index relative to output</t>
  </si>
  <si>
    <t xml:space="preserve">Many papers but few well-cited; inconsistent quality</t>
  </si>
  <si>
    <t xml:space="preserve">Focus on fewer, higher-quality papers; strategic journal selection</t>
  </si>
  <si>
    <t xml:space="preserve">No patent / policy citations</t>
  </si>
  <si>
    <t xml:space="preserve">Zero score on non-academic influence sub-metric</t>
  </si>
  <si>
    <t xml:space="preserve">Pursue applied / translatable research; engage with industry &amp; policy-makers</t>
  </si>
  <si>
    <t xml:space="preserve">Scopus affiliation errors</t>
  </si>
  <si>
    <t xml:space="preserve">Citations not attributed; h-index and totals underestimated</t>
  </si>
  <si>
    <t xml:space="preserve">Quarterly Scopus audit; fix affiliations</t>
  </si>
  <si>
    <t xml:space="preserve">Over-reliance on a few mega-cited papers</t>
  </si>
  <si>
    <t xml:space="preserve">h-index stagnates; total citations concentrated</t>
  </si>
  <si>
    <t xml:space="preserve">Build broad citing base; distributed quality across departments</t>
  </si>
  <si>
    <t xml:space="preserve">Publishing in non-Scopus journals</t>
  </si>
  <si>
    <t xml:space="preserve">Citations in non-Scopus ecosystem not counted</t>
  </si>
  <si>
    <t xml:space="preserve">Ensure all target journals are Scopus-indexed</t>
  </si>
  <si>
    <t xml:space="preserve">Research Influence — Data Quality &amp; Audit Checklist</t>
  </si>
  <si>
    <t xml:space="preserve">Validation checks for this indicator (5% of total WUR score)</t>
  </si>
  <si>
    <t xml:space="preserve">Quality Check</t>
  </si>
  <si>
    <t xml:space="preserve">Description</t>
  </si>
  <si>
    <t xml:space="preserve">Status (✓/✗/IP)</t>
  </si>
  <si>
    <t xml:space="preserve">Date</t>
  </si>
  <si>
    <t xml:space="preserve">Reviewer</t>
  </si>
  <si>
    <t xml:space="preserve">Scopus source verification</t>
  </si>
  <si>
    <t xml:space="preserve">All citation and h-index data sourced exclusively from Scopus</t>
  </si>
  <si>
    <t xml:space="preserve">5-year window confirmation</t>
  </si>
  <si>
    <t xml:space="preserve">Citation counts cover publications within the 5-year analysis window</t>
  </si>
  <si>
    <t xml:space="preserve">Self-citation exclusion</t>
  </si>
  <si>
    <t xml:space="preserve">Institutional self-citations excluded from total citation count</t>
  </si>
  <si>
    <t xml:space="preserve">Self-citation rate documented</t>
  </si>
  <si>
    <t xml:space="preserve">Self-citation rate monitored and documented; &gt;20% flagged</t>
  </si>
  <si>
    <t xml:space="preserve">h-index computation verified</t>
  </si>
  <si>
    <t xml:space="preserve">h-index computed from Scopus publication set; verified against SciVal</t>
  </si>
  <si>
    <t xml:space="preserve">h-index scope documented</t>
  </si>
  <si>
    <t xml:space="preserve">h-index computed on 5-year window (h5) or all-time — method documented</t>
  </si>
  <si>
    <t xml:space="preserve">Citations per staff FTE</t>
  </si>
  <si>
    <t xml:space="preserve">Staff FTE matches THE-compliant definition; same FTE as other indicators</t>
  </si>
  <si>
    <t xml:space="preserve">Citation reach methodology</t>
  </si>
  <si>
    <t xml:space="preserve">Unique citing ASJC areas counted from Scopus citation linkages</t>
  </si>
  <si>
    <t xml:space="preserve">Citation reach entropy</t>
  </si>
  <si>
    <t xml:space="preserve">Shannon entropy on citing-field distribution computed with log₂; verified</t>
  </si>
  <si>
    <t xml:space="preserve">Patent citation data source</t>
  </si>
  <si>
    <t xml:space="preserve">Patent citations sourced from Scopus patent-citation linkages or Lens.org</t>
  </si>
  <si>
    <t xml:space="preserve">Policy citation data source</t>
  </si>
  <si>
    <t xml:space="preserve">Policy citations from Overton or Altmetric policy citation module</t>
  </si>
  <si>
    <t xml:space="preserve">Altmetric score verification</t>
  </si>
  <si>
    <t xml:space="preserve">Altmetric Attention Score linked via DOI matching; coverage documented</t>
  </si>
  <si>
    <t xml:space="preserve">Scopus Affiliation ID verification</t>
  </si>
  <si>
    <t xml:space="preserve">All institutional affiliations correctly mapped for citation attribution</t>
  </si>
  <si>
    <t xml:space="preserve">Department-level consistency</t>
  </si>
  <si>
    <t xml:space="preserve">Sum of department citations ≈ institutional total</t>
  </si>
  <si>
    <t xml:space="preserve">Suspended journal exclusion</t>
  </si>
  <si>
    <t xml:space="preserve">Citations from/to papers in suspended journals excluded</t>
  </si>
  <si>
    <t xml:space="preserve">Duplicate citation removal</t>
  </si>
  <si>
    <t xml:space="preserve">Duplicate citation records identified and removed</t>
  </si>
  <si>
    <t xml:space="preserve">Year-on-year trend check</t>
  </si>
  <si>
    <t xml:space="preserve">Current metrics compared with previous cycle; &gt;15% changes documented</t>
  </si>
  <si>
    <t xml:space="preserve">Consistency with other RQ indicators</t>
  </si>
  <si>
    <t xml:space="preserve">Influence metrics consistent with FWCI, Strength, Excellence data</t>
  </si>
  <si>
    <t xml:space="preserve">Snapshot date documentation</t>
  </si>
  <si>
    <t xml:space="preserve">Scopus snapshot date documented; consistent across all universities</t>
  </si>
  <si>
    <t xml:space="preserve">Reproducibility test</t>
  </si>
  <si>
    <t xml:space="preserve">All influence metrics reproducible from Scopus/SciVal within ±5%</t>
  </si>
</sst>
</file>

<file path=xl/styles.xml><?xml version="1.0" encoding="utf-8"?>
<styleSheet xmlns="http://schemas.openxmlformats.org/spreadsheetml/2006/main">
  <numFmts count="6">
    <numFmt numFmtId="164" formatCode="General"/>
    <numFmt numFmtId="165" formatCode="0.0"/>
    <numFmt numFmtId="166" formatCode="#,##0"/>
    <numFmt numFmtId="167" formatCode="0"/>
    <numFmt numFmtId="168" formatCode="0.000"/>
    <numFmt numFmtId="169" formatCode="0.0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1"/>
      <color rgb="FFFFFFFF"/>
      <name val="Arial"/>
      <family val="0"/>
      <charset val="1"/>
    </font>
    <font>
      <b val="true"/>
      <sz val="10"/>
      <color rgb="FFFFFFFF"/>
      <name val="Arial"/>
      <family val="0"/>
      <charset val="1"/>
    </font>
    <font>
      <sz val="10"/>
      <color rgb="FF404040"/>
      <name val="Arial"/>
      <family val="0"/>
      <charset val="1"/>
    </font>
    <font>
      <b val="true"/>
      <sz val="10"/>
      <color rgb="FF1A2E4F"/>
      <name val="Arial"/>
      <family val="0"/>
      <charset val="1"/>
    </font>
    <font>
      <b val="true"/>
      <sz val="10"/>
      <name val="Arial"/>
      <family val="0"/>
      <charset val="1"/>
    </font>
    <font>
      <sz val="10"/>
      <color rgb="FF0000FF"/>
      <name val="Arial"/>
      <family val="0"/>
      <charset val="1"/>
    </font>
  </fonts>
  <fills count="16">
    <fill>
      <patternFill patternType="none"/>
    </fill>
    <fill>
      <patternFill patternType="gray125"/>
    </fill>
    <fill>
      <patternFill patternType="solid">
        <fgColor rgb="FF2F8F9D"/>
        <bgColor rgb="FF2E75B6"/>
      </patternFill>
    </fill>
    <fill>
      <patternFill patternType="solid">
        <fgColor rgb="FFFFFFFF"/>
        <bgColor rgb="FFF2F2F2"/>
      </patternFill>
    </fill>
    <fill>
      <patternFill patternType="solid">
        <fgColor rgb="FFF2F2F2"/>
        <bgColor rgb="FFFFF5D9"/>
      </patternFill>
    </fill>
    <fill>
      <patternFill patternType="solid">
        <fgColor rgb="FF1A2E4F"/>
        <bgColor rgb="FF404040"/>
      </patternFill>
    </fill>
    <fill>
      <patternFill patternType="solid">
        <fgColor rgb="FFFFF5D9"/>
        <bgColor rgb="FFF2F2F2"/>
      </patternFill>
    </fill>
    <fill>
      <patternFill patternType="solid">
        <fgColor rgb="FF548235"/>
        <bgColor rgb="FF808080"/>
      </patternFill>
    </fill>
    <fill>
      <patternFill patternType="solid">
        <fgColor rgb="FFC8102E"/>
        <bgColor rgb="FF8B0000"/>
      </patternFill>
    </fill>
    <fill>
      <patternFill patternType="solid">
        <fgColor rgb="FFE2EFDA"/>
        <bgColor rgb="FFF2F2F2"/>
      </patternFill>
    </fill>
    <fill>
      <patternFill patternType="solid">
        <fgColor rgb="FF3F51B5"/>
        <bgColor rgb="FF666699"/>
      </patternFill>
    </fill>
    <fill>
      <patternFill patternType="solid">
        <fgColor rgb="FFBF8F00"/>
        <bgColor rgb="FFED7D31"/>
      </patternFill>
    </fill>
    <fill>
      <patternFill patternType="solid">
        <fgColor rgb="FF7030A0"/>
        <bgColor rgb="FF993366"/>
      </patternFill>
    </fill>
    <fill>
      <patternFill patternType="solid">
        <fgColor rgb="FFED7D31"/>
        <bgColor rgb="FFFF8080"/>
      </patternFill>
    </fill>
    <fill>
      <patternFill patternType="solid">
        <fgColor rgb="FF8B0000"/>
        <bgColor rgb="FF800000"/>
      </patternFill>
    </fill>
    <fill>
      <patternFill patternType="solid">
        <fgColor rgb="FF2E75B6"/>
        <bgColor rgb="FF2F8F9D"/>
      </patternFill>
    </fill>
  </fills>
  <borders count="2">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5" fillId="5" borderId="0"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5" fillId="7"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4" fillId="8" borderId="0" xfId="0" applyFont="true" applyBorder="true" applyAlignment="true" applyProtection="false">
      <alignment horizontal="center" vertical="center" textRotation="0" wrapText="true" indent="0" shrinkToFit="false"/>
      <protection locked="true" hidden="false"/>
    </xf>
    <xf numFmtId="164" fontId="5" fillId="8" borderId="0"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5" fontId="7" fillId="4" borderId="1" xfId="0" applyFont="true" applyBorder="true" applyAlignment="true" applyProtection="false">
      <alignment horizontal="center" vertical="center" textRotation="0" wrapText="true" indent="0" shrinkToFit="false"/>
      <protection locked="true" hidden="false"/>
    </xf>
    <xf numFmtId="166" fontId="10" fillId="4" borderId="1" xfId="0" applyFont="true" applyBorder="true" applyAlignment="true" applyProtection="false">
      <alignment horizontal="center" vertical="center" textRotation="0" wrapText="true" indent="0" shrinkToFit="false"/>
      <protection locked="true" hidden="false"/>
    </xf>
    <xf numFmtId="165" fontId="10" fillId="4"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5" fontId="7" fillId="3" borderId="1" xfId="0" applyFont="true" applyBorder="true" applyAlignment="true" applyProtection="false">
      <alignment horizontal="center" vertical="center" textRotation="0" wrapText="true" indent="0" shrinkToFit="false"/>
      <protection locked="true" hidden="false"/>
    </xf>
    <xf numFmtId="166" fontId="10" fillId="3" borderId="1" xfId="0" applyFont="true" applyBorder="true" applyAlignment="true" applyProtection="false">
      <alignment horizontal="center" vertical="center" textRotation="0" wrapText="true" indent="0" shrinkToFit="false"/>
      <protection locked="true" hidden="false"/>
    </xf>
    <xf numFmtId="165" fontId="10" fillId="3"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6" fontId="9" fillId="9" borderId="1" xfId="0" applyFont="true" applyBorder="true" applyAlignment="true" applyProtection="false">
      <alignment horizontal="center" vertical="center" textRotation="0" wrapText="tru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5" fontId="9" fillId="9" borderId="1" xfId="0" applyFont="true" applyBorder="true" applyAlignment="true" applyProtection="false">
      <alignment horizontal="center" vertical="center" textRotation="0" wrapText="true" indent="0" shrinkToFit="false"/>
      <protection locked="true" hidden="false"/>
    </xf>
    <xf numFmtId="167" fontId="9" fillId="9" borderId="1" xfId="0" applyFont="true" applyBorder="true" applyAlignment="true" applyProtection="false">
      <alignment horizontal="center" vertical="center" textRotation="0" wrapText="true" indent="0" shrinkToFit="false"/>
      <protection locked="true" hidden="false"/>
    </xf>
    <xf numFmtId="164" fontId="4" fillId="10" borderId="0" xfId="0" applyFont="true" applyBorder="true" applyAlignment="true" applyProtection="false">
      <alignment horizontal="center" vertical="center" textRotation="0" wrapText="true" indent="0" shrinkToFit="false"/>
      <protection locked="true" hidden="false"/>
    </xf>
    <xf numFmtId="164" fontId="5" fillId="10" borderId="0"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8" fontId="10" fillId="4" borderId="1" xfId="0" applyFont="true" applyBorder="true" applyAlignment="true" applyProtection="false">
      <alignment horizontal="center" vertical="center" textRotation="0" wrapText="true" indent="0" shrinkToFit="false"/>
      <protection locked="true" hidden="false"/>
    </xf>
    <xf numFmtId="168" fontId="7" fillId="4" borderId="1" xfId="0" applyFont="true" applyBorder="true" applyAlignment="true" applyProtection="false">
      <alignment horizontal="center" vertical="center" textRotation="0" wrapText="true" indent="0" shrinkToFit="false"/>
      <protection locked="true" hidden="false"/>
    </xf>
    <xf numFmtId="168" fontId="9" fillId="4" borderId="1" xfId="0" applyFont="true" applyBorder="true" applyAlignment="true" applyProtection="false">
      <alignment horizontal="center" vertical="center" textRotation="0" wrapText="true" indent="0" shrinkToFit="false"/>
      <protection locked="true" hidden="false"/>
    </xf>
    <xf numFmtId="168" fontId="10" fillId="3" borderId="1" xfId="0" applyFont="true" applyBorder="true" applyAlignment="true" applyProtection="false">
      <alignment horizontal="center" vertical="center" textRotation="0" wrapText="true" indent="0" shrinkToFit="false"/>
      <protection locked="true" hidden="false"/>
    </xf>
    <xf numFmtId="168" fontId="7" fillId="3" borderId="1" xfId="0" applyFont="true" applyBorder="true" applyAlignment="true" applyProtection="false">
      <alignment horizontal="center" vertical="center" textRotation="0" wrapText="true" indent="0" shrinkToFit="false"/>
      <protection locked="true" hidden="false"/>
    </xf>
    <xf numFmtId="168" fontId="9" fillId="3" borderId="1" xfId="0" applyFont="true" applyBorder="true" applyAlignment="true" applyProtection="false">
      <alignment horizontal="center" vertical="center" textRotation="0" wrapText="true" indent="0" shrinkToFit="false"/>
      <protection locked="true" hidden="false"/>
    </xf>
    <xf numFmtId="164" fontId="4" fillId="11" borderId="0" xfId="0" applyFont="true" applyBorder="true" applyAlignment="true" applyProtection="false">
      <alignment horizontal="center" vertical="center" textRotation="0" wrapText="true" indent="0" shrinkToFit="false"/>
      <protection locked="true" hidden="false"/>
    </xf>
    <xf numFmtId="164" fontId="5" fillId="11" borderId="0"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4" fillId="12" borderId="0" xfId="0" applyFont="true" applyBorder="true" applyAlignment="true" applyProtection="false">
      <alignment horizontal="center" vertical="center" textRotation="0" wrapText="true" indent="0" shrinkToFit="false"/>
      <protection locked="true" hidden="false"/>
    </xf>
    <xf numFmtId="164" fontId="5" fillId="12" borderId="0" xfId="0" applyFont="true" applyBorder="true" applyAlignment="true" applyProtection="false">
      <alignment horizontal="center" vertical="center" textRotation="0" wrapText="tru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4" fontId="4" fillId="13" borderId="0" xfId="0" applyFont="true" applyBorder="true" applyAlignment="true" applyProtection="false">
      <alignment horizontal="center" vertical="center" textRotation="0" wrapText="true" indent="0" shrinkToFit="false"/>
      <protection locked="true" hidden="false"/>
    </xf>
    <xf numFmtId="164" fontId="5" fillId="13" borderId="0" xfId="0" applyFont="true" applyBorder="true" applyAlignment="true" applyProtection="false">
      <alignment horizontal="center" vertical="center" textRotation="0" wrapText="true" indent="0" shrinkToFit="false"/>
      <protection locked="true" hidden="false"/>
    </xf>
    <xf numFmtId="164" fontId="6" fillId="13" borderId="1" xfId="0" applyFont="true" applyBorder="tru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5" fontId="9" fillId="3" borderId="1"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9" fontId="9" fillId="6" borderId="1" xfId="0" applyFont="true" applyBorder="true" applyAlignment="true" applyProtection="false">
      <alignment horizontal="center" vertical="center" textRotation="0" wrapText="true" indent="0" shrinkToFit="false"/>
      <protection locked="true" hidden="false"/>
    </xf>
    <xf numFmtId="164" fontId="4" fillId="7" borderId="0"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4" fillId="14" borderId="0" xfId="0" applyFont="true" applyBorder="true" applyAlignment="true" applyProtection="false">
      <alignment horizontal="center" vertical="center" textRotation="0" wrapText="true" indent="0" shrinkToFit="false"/>
      <protection locked="true" hidden="false"/>
    </xf>
    <xf numFmtId="164" fontId="6" fillId="14" borderId="1" xfId="0" applyFont="true" applyBorder="true" applyAlignment="true" applyProtection="false">
      <alignment horizontal="center" vertical="center" textRotation="0" wrapText="true" indent="0" shrinkToFit="false"/>
      <protection locked="true" hidden="false"/>
    </xf>
    <xf numFmtId="164" fontId="5" fillId="15"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8102E"/>
      <rgbColor rgb="FF00FF00"/>
      <rgbColor rgb="FF0000FF"/>
      <rgbColor rgb="FFFFFF00"/>
      <rgbColor rgb="FFFF00FF"/>
      <rgbColor rgb="FF00FFFF"/>
      <rgbColor rgb="FF8B0000"/>
      <rgbColor rgb="FF008000"/>
      <rgbColor rgb="FF000080"/>
      <rgbColor rgb="FF548235"/>
      <rgbColor rgb="FF800080"/>
      <rgbColor rgb="FF008080"/>
      <rgbColor rgb="FFB4B4B4"/>
      <rgbColor rgb="FF808080"/>
      <rgbColor rgb="FF9999FF"/>
      <rgbColor rgb="FF7030A0"/>
      <rgbColor rgb="FFFFF5D9"/>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BF8F00"/>
      <rgbColor rgb="FFED7D31"/>
      <rgbColor rgb="FF666699"/>
      <rgbColor rgb="FF969696"/>
      <rgbColor rgb="FF1A2E4F"/>
      <rgbColor rgb="FF2F8F9D"/>
      <rgbColor rgb="FF003300"/>
      <rgbColor rgb="FF333300"/>
      <rgbColor rgb="FF993300"/>
      <rgbColor rgb="FF993366"/>
      <rgbColor rgb="FF3F51B5"/>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8F9D"/>
    <pageSetUpPr fitToPage="false"/>
  </sheetPr>
  <dimension ref="A1:D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55"/>
    <col collapsed="false" customWidth="true" hidden="false" outlineLevel="0" max="4" min="4" style="0" width="16"/>
  </cols>
  <sheetData>
    <row r="1" customFormat="false" ht="33.75" hidden="false" customHeight="true" outlineLevel="0" collapsed="false">
      <c r="A1" s="1" t="s">
        <v>0</v>
      </c>
      <c r="B1" s="1"/>
      <c r="C1" s="1"/>
      <c r="D1" s="1"/>
    </row>
    <row r="2" customFormat="false" ht="25.5" hidden="false" customHeight="true" outlineLevel="0" collapsed="false">
      <c r="A2" s="2" t="s">
        <v>1</v>
      </c>
      <c r="B2" s="2"/>
      <c r="C2" s="2"/>
      <c r="D2" s="2"/>
    </row>
    <row r="4" customFormat="false" ht="15" hidden="false" customHeight="false" outlineLevel="0" collapsed="false">
      <c r="A4" s="3" t="s">
        <v>2</v>
      </c>
      <c r="B4" s="3" t="s">
        <v>3</v>
      </c>
      <c r="C4" s="3" t="s">
        <v>4</v>
      </c>
      <c r="D4" s="3" t="s">
        <v>5</v>
      </c>
    </row>
    <row r="5" customFormat="false" ht="84.75" hidden="false" customHeight="true" outlineLevel="0" collapsed="false">
      <c r="A5" s="4" t="n">
        <v>1</v>
      </c>
      <c r="B5" s="5" t="s">
        <v>6</v>
      </c>
      <c r="C5" s="6" t="s">
        <v>7</v>
      </c>
      <c r="D5" s="7" t="s">
        <v>8</v>
      </c>
    </row>
    <row r="6" customFormat="false" ht="84.75" hidden="false" customHeight="true" outlineLevel="0" collapsed="false">
      <c r="A6" s="8" t="n">
        <v>2</v>
      </c>
      <c r="B6" s="9" t="s">
        <v>9</v>
      </c>
      <c r="C6" s="10" t="s">
        <v>10</v>
      </c>
      <c r="D6" s="11" t="s">
        <v>11</v>
      </c>
    </row>
    <row r="7" customFormat="false" ht="84.75" hidden="false" customHeight="true" outlineLevel="0" collapsed="false">
      <c r="A7" s="4" t="n">
        <v>3</v>
      </c>
      <c r="B7" s="5" t="s">
        <v>12</v>
      </c>
      <c r="C7" s="6" t="s">
        <v>13</v>
      </c>
      <c r="D7" s="7" t="s">
        <v>11</v>
      </c>
    </row>
    <row r="8" customFormat="false" ht="84.75" hidden="false" customHeight="true" outlineLevel="0" collapsed="false">
      <c r="A8" s="8" t="n">
        <v>4</v>
      </c>
      <c r="B8" s="9" t="s">
        <v>14</v>
      </c>
      <c r="C8" s="10" t="s">
        <v>15</v>
      </c>
      <c r="D8" s="11" t="s">
        <v>11</v>
      </c>
    </row>
    <row r="9" customFormat="false" ht="84.75" hidden="false" customHeight="true" outlineLevel="0" collapsed="false">
      <c r="A9" s="4" t="n">
        <v>5</v>
      </c>
      <c r="B9" s="5" t="s">
        <v>16</v>
      </c>
      <c r="C9" s="6" t="s">
        <v>17</v>
      </c>
      <c r="D9" s="7" t="s">
        <v>11</v>
      </c>
    </row>
    <row r="10" customFormat="false" ht="84.75" hidden="false" customHeight="true" outlineLevel="0" collapsed="false">
      <c r="A10" s="8" t="n">
        <v>6</v>
      </c>
      <c r="B10" s="9" t="s">
        <v>18</v>
      </c>
      <c r="C10" s="10" t="s">
        <v>19</v>
      </c>
      <c r="D10" s="11" t="s">
        <v>20</v>
      </c>
    </row>
    <row r="12" customFormat="false" ht="25.5" hidden="false" customHeight="true" outlineLevel="0" collapsed="false">
      <c r="A12" s="12" t="s">
        <v>21</v>
      </c>
      <c r="B12" s="12"/>
      <c r="C12" s="12"/>
      <c r="D12" s="12"/>
    </row>
    <row r="13" customFormat="false" ht="23.85" hidden="false" customHeight="false" outlineLevel="0" collapsed="false">
      <c r="A13" s="13" t="s">
        <v>22</v>
      </c>
      <c r="B13" s="13" t="s">
        <v>5</v>
      </c>
      <c r="C13" s="13" t="s">
        <v>23</v>
      </c>
      <c r="D13" s="13" t="s">
        <v>24</v>
      </c>
    </row>
    <row r="14" customFormat="false" ht="31.5" hidden="false" customHeight="true" outlineLevel="0" collapsed="false">
      <c r="A14" s="9" t="s">
        <v>25</v>
      </c>
      <c r="B14" s="11" t="s">
        <v>26</v>
      </c>
      <c r="C14" s="10" t="s">
        <v>27</v>
      </c>
      <c r="D14" s="10" t="s">
        <v>28</v>
      </c>
    </row>
    <row r="15" customFormat="false" ht="31.5" hidden="false" customHeight="true" outlineLevel="0" collapsed="false">
      <c r="A15" s="5" t="s">
        <v>29</v>
      </c>
      <c r="B15" s="7" t="s">
        <v>30</v>
      </c>
      <c r="C15" s="6" t="s">
        <v>31</v>
      </c>
      <c r="D15" s="6" t="s">
        <v>32</v>
      </c>
    </row>
    <row r="16" customFormat="false" ht="31.5" hidden="false" customHeight="true" outlineLevel="0" collapsed="false">
      <c r="A16" s="9" t="s">
        <v>33</v>
      </c>
      <c r="B16" s="11" t="s">
        <v>30</v>
      </c>
      <c r="C16" s="10" t="s">
        <v>34</v>
      </c>
      <c r="D16" s="10" t="s">
        <v>35</v>
      </c>
    </row>
    <row r="17" customFormat="false" ht="31.5" hidden="false" customHeight="true" outlineLevel="0" collapsed="false">
      <c r="A17" s="14" t="s">
        <v>6</v>
      </c>
      <c r="B17" s="15" t="s">
        <v>30</v>
      </c>
      <c r="C17" s="16" t="s">
        <v>36</v>
      </c>
      <c r="D17" s="16" t="s">
        <v>37</v>
      </c>
    </row>
    <row r="19" customFormat="false" ht="25.5" hidden="false" customHeight="true" outlineLevel="0" collapsed="false">
      <c r="A19" s="17" t="s">
        <v>38</v>
      </c>
      <c r="B19" s="17"/>
      <c r="C19" s="17"/>
      <c r="D19" s="17"/>
    </row>
    <row r="20" customFormat="false" ht="15" hidden="false" customHeight="true" outlineLevel="0" collapsed="false">
      <c r="A20" s="18" t="s">
        <v>39</v>
      </c>
      <c r="B20" s="18"/>
      <c r="C20" s="18"/>
      <c r="D20" s="18"/>
    </row>
    <row r="21" customFormat="false" ht="15" hidden="false" customHeight="true" outlineLevel="0" collapsed="false">
      <c r="A21" s="18" t="s">
        <v>40</v>
      </c>
      <c r="B21" s="18"/>
      <c r="C21" s="18"/>
      <c r="D21" s="18"/>
    </row>
    <row r="22" customFormat="false" ht="15" hidden="false" customHeight="true" outlineLevel="0" collapsed="false">
      <c r="A22" s="18" t="s">
        <v>41</v>
      </c>
      <c r="B22" s="18"/>
      <c r="C22" s="18"/>
      <c r="D22" s="18"/>
    </row>
    <row r="23" customFormat="false" ht="15" hidden="false" customHeight="true" outlineLevel="0" collapsed="false">
      <c r="A23" s="18" t="s">
        <v>42</v>
      </c>
      <c r="B23" s="18"/>
      <c r="C23" s="18"/>
      <c r="D23" s="18"/>
    </row>
    <row r="24" customFormat="false" ht="15" hidden="false" customHeight="true" outlineLevel="0" collapsed="false">
      <c r="A24" s="18" t="s">
        <v>43</v>
      </c>
      <c r="B24" s="18"/>
      <c r="C24" s="18"/>
      <c r="D24" s="18"/>
    </row>
    <row r="25" customFormat="false" ht="15" hidden="false" customHeight="true" outlineLevel="0" collapsed="false">
      <c r="A25" s="18" t="s">
        <v>44</v>
      </c>
      <c r="B25" s="18"/>
      <c r="C25" s="18"/>
      <c r="D25" s="18"/>
    </row>
    <row r="26" customFormat="false" ht="15" hidden="false" customHeight="true" outlineLevel="0" collapsed="false">
      <c r="A26" s="18" t="s">
        <v>45</v>
      </c>
      <c r="B26" s="18"/>
      <c r="C26" s="18"/>
      <c r="D26" s="18"/>
    </row>
    <row r="27" customFormat="false" ht="15" hidden="false" customHeight="true" outlineLevel="0" collapsed="false">
      <c r="A27" s="18" t="s">
        <v>46</v>
      </c>
      <c r="B27" s="18"/>
      <c r="C27" s="18"/>
      <c r="D27" s="18"/>
    </row>
  </sheetData>
  <mergeCells count="12">
    <mergeCell ref="A1:D1"/>
    <mergeCell ref="A2:D2"/>
    <mergeCell ref="A12:D12"/>
    <mergeCell ref="A19:D19"/>
    <mergeCell ref="A20:D20"/>
    <mergeCell ref="A21:D21"/>
    <mergeCell ref="A22:D22"/>
    <mergeCell ref="A23:D23"/>
    <mergeCell ref="A24:D24"/>
    <mergeCell ref="A25:D25"/>
    <mergeCell ref="A26:D26"/>
    <mergeCell ref="A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102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9" min="4" style="0" width="18"/>
    <col collapsed="false" customWidth="true" hidden="false" outlineLevel="0" max="10" min="10" style="0" width="14"/>
  </cols>
  <sheetData>
    <row r="1" customFormat="false" ht="33.75" hidden="false" customHeight="true" outlineLevel="0" collapsed="false">
      <c r="A1" s="19" t="s">
        <v>47</v>
      </c>
      <c r="B1" s="19"/>
      <c r="C1" s="19"/>
      <c r="D1" s="19"/>
      <c r="E1" s="19"/>
      <c r="F1" s="19"/>
      <c r="G1" s="19"/>
      <c r="H1" s="19"/>
      <c r="I1" s="19"/>
      <c r="J1" s="19"/>
    </row>
    <row r="2" customFormat="false" ht="25.5" hidden="false" customHeight="true" outlineLevel="0" collapsed="false">
      <c r="A2" s="20" t="s">
        <v>48</v>
      </c>
      <c r="B2" s="20"/>
      <c r="C2" s="20"/>
      <c r="D2" s="20"/>
      <c r="E2" s="20"/>
      <c r="F2" s="20"/>
      <c r="G2" s="20"/>
      <c r="H2" s="20"/>
      <c r="I2" s="20"/>
      <c r="J2" s="20"/>
    </row>
    <row r="3" customFormat="false" ht="23.85" hidden="false" customHeight="false" outlineLevel="0" collapsed="false">
      <c r="A3" s="21" t="s">
        <v>49</v>
      </c>
      <c r="B3" s="21" t="s">
        <v>50</v>
      </c>
      <c r="C3" s="21" t="s">
        <v>51</v>
      </c>
      <c r="D3" s="21" t="s">
        <v>52</v>
      </c>
      <c r="E3" s="21" t="s">
        <v>53</v>
      </c>
      <c r="F3" s="21" t="s">
        <v>54</v>
      </c>
      <c r="G3" s="21" t="s">
        <v>55</v>
      </c>
      <c r="H3" s="21" t="s">
        <v>12</v>
      </c>
      <c r="I3" s="21" t="s">
        <v>56</v>
      </c>
      <c r="J3" s="21" t="s">
        <v>57</v>
      </c>
    </row>
    <row r="4" customFormat="false" ht="15" hidden="false" customHeight="false" outlineLevel="0" collapsed="false">
      <c r="A4" s="8" t="n">
        <v>1</v>
      </c>
      <c r="B4" s="22"/>
      <c r="C4" s="22"/>
      <c r="D4" s="22"/>
      <c r="E4" s="22"/>
      <c r="F4" s="23" t="n">
        <f aca="false">IF(D4&gt;0,E4/D4,0)</f>
        <v>0</v>
      </c>
      <c r="G4" s="24"/>
      <c r="H4" s="22"/>
      <c r="I4" s="25"/>
      <c r="J4" s="22"/>
    </row>
    <row r="5" customFormat="false" ht="15" hidden="false" customHeight="false" outlineLevel="0" collapsed="false">
      <c r="A5" s="4" t="n">
        <v>2</v>
      </c>
      <c r="B5" s="26"/>
      <c r="C5" s="26"/>
      <c r="D5" s="26"/>
      <c r="E5" s="26"/>
      <c r="F5" s="27" t="n">
        <f aca="false">IF(D5&gt;0,E5/D5,0)</f>
        <v>0</v>
      </c>
      <c r="G5" s="28"/>
      <c r="H5" s="26"/>
      <c r="I5" s="29"/>
      <c r="J5" s="26"/>
    </row>
    <row r="6" customFormat="false" ht="15" hidden="false" customHeight="false" outlineLevel="0" collapsed="false">
      <c r="A6" s="8" t="n">
        <v>3</v>
      </c>
      <c r="B6" s="22"/>
      <c r="C6" s="22"/>
      <c r="D6" s="22"/>
      <c r="E6" s="22"/>
      <c r="F6" s="23" t="n">
        <f aca="false">IF(D6&gt;0,E6/D6,0)</f>
        <v>0</v>
      </c>
      <c r="G6" s="24"/>
      <c r="H6" s="22"/>
      <c r="I6" s="25"/>
      <c r="J6" s="22"/>
    </row>
    <row r="7" customFormat="false" ht="15" hidden="false" customHeight="false" outlineLevel="0" collapsed="false">
      <c r="A7" s="4" t="n">
        <v>4</v>
      </c>
      <c r="B7" s="26"/>
      <c r="C7" s="26"/>
      <c r="D7" s="26"/>
      <c r="E7" s="26"/>
      <c r="F7" s="27" t="n">
        <f aca="false">IF(D7&gt;0,E7/D7,0)</f>
        <v>0</v>
      </c>
      <c r="G7" s="28"/>
      <c r="H7" s="26"/>
      <c r="I7" s="29"/>
      <c r="J7" s="26"/>
    </row>
    <row r="8" customFormat="false" ht="15" hidden="false" customHeight="false" outlineLevel="0" collapsed="false">
      <c r="A8" s="8" t="n">
        <v>5</v>
      </c>
      <c r="B8" s="22"/>
      <c r="C8" s="22"/>
      <c r="D8" s="22"/>
      <c r="E8" s="22"/>
      <c r="F8" s="23" t="n">
        <f aca="false">IF(D8&gt;0,E8/D8,0)</f>
        <v>0</v>
      </c>
      <c r="G8" s="24"/>
      <c r="H8" s="22"/>
      <c r="I8" s="25"/>
      <c r="J8" s="22"/>
    </row>
    <row r="9" customFormat="false" ht="15" hidden="false" customHeight="false" outlineLevel="0" collapsed="false">
      <c r="A9" s="4" t="n">
        <v>6</v>
      </c>
      <c r="B9" s="26"/>
      <c r="C9" s="26"/>
      <c r="D9" s="26"/>
      <c r="E9" s="26"/>
      <c r="F9" s="27" t="n">
        <f aca="false">IF(D9&gt;0,E9/D9,0)</f>
        <v>0</v>
      </c>
      <c r="G9" s="28"/>
      <c r="H9" s="26"/>
      <c r="I9" s="29"/>
      <c r="J9" s="26"/>
    </row>
    <row r="10" customFormat="false" ht="15" hidden="false" customHeight="false" outlineLevel="0" collapsed="false">
      <c r="A10" s="8" t="n">
        <v>7</v>
      </c>
      <c r="B10" s="22"/>
      <c r="C10" s="22"/>
      <c r="D10" s="22"/>
      <c r="E10" s="22"/>
      <c r="F10" s="23" t="n">
        <f aca="false">IF(D10&gt;0,E10/D10,0)</f>
        <v>0</v>
      </c>
      <c r="G10" s="24"/>
      <c r="H10" s="22"/>
      <c r="I10" s="25"/>
      <c r="J10" s="22"/>
    </row>
    <row r="11" customFormat="false" ht="15" hidden="false" customHeight="false" outlineLevel="0" collapsed="false">
      <c r="A11" s="4" t="n">
        <v>8</v>
      </c>
      <c r="B11" s="26"/>
      <c r="C11" s="26"/>
      <c r="D11" s="26"/>
      <c r="E11" s="26"/>
      <c r="F11" s="27" t="n">
        <f aca="false">IF(D11&gt;0,E11/D11,0)</f>
        <v>0</v>
      </c>
      <c r="G11" s="28"/>
      <c r="H11" s="26"/>
      <c r="I11" s="29"/>
      <c r="J11" s="26"/>
    </row>
    <row r="12" customFormat="false" ht="15" hidden="false" customHeight="false" outlineLevel="0" collapsed="false">
      <c r="A12" s="8" t="n">
        <v>9</v>
      </c>
      <c r="B12" s="22"/>
      <c r="C12" s="22"/>
      <c r="D12" s="22"/>
      <c r="E12" s="22"/>
      <c r="F12" s="23" t="n">
        <f aca="false">IF(D12&gt;0,E12/D12,0)</f>
        <v>0</v>
      </c>
      <c r="G12" s="24"/>
      <c r="H12" s="22"/>
      <c r="I12" s="25"/>
      <c r="J12" s="22"/>
    </row>
    <row r="13" customFormat="false" ht="15" hidden="false" customHeight="false" outlineLevel="0" collapsed="false">
      <c r="A13" s="4" t="n">
        <v>10</v>
      </c>
      <c r="B13" s="26"/>
      <c r="C13" s="26"/>
      <c r="D13" s="26"/>
      <c r="E13" s="26"/>
      <c r="F13" s="27" t="n">
        <f aca="false">IF(D13&gt;0,E13/D13,0)</f>
        <v>0</v>
      </c>
      <c r="G13" s="28"/>
      <c r="H13" s="26"/>
      <c r="I13" s="29"/>
      <c r="J13" s="26"/>
    </row>
    <row r="14" customFormat="false" ht="15" hidden="false" customHeight="false" outlineLevel="0" collapsed="false">
      <c r="A14" s="8" t="n">
        <v>11</v>
      </c>
      <c r="B14" s="22"/>
      <c r="C14" s="22"/>
      <c r="D14" s="22"/>
      <c r="E14" s="22"/>
      <c r="F14" s="23" t="n">
        <f aca="false">IF(D14&gt;0,E14/D14,0)</f>
        <v>0</v>
      </c>
      <c r="G14" s="24"/>
      <c r="H14" s="22"/>
      <c r="I14" s="25"/>
      <c r="J14" s="22"/>
    </row>
    <row r="15" customFormat="false" ht="15" hidden="false" customHeight="false" outlineLevel="0" collapsed="false">
      <c r="A15" s="4" t="n">
        <v>12</v>
      </c>
      <c r="B15" s="26"/>
      <c r="C15" s="26"/>
      <c r="D15" s="26"/>
      <c r="E15" s="26"/>
      <c r="F15" s="27" t="n">
        <f aca="false">IF(D15&gt;0,E15/D15,0)</f>
        <v>0</v>
      </c>
      <c r="G15" s="28"/>
      <c r="H15" s="26"/>
      <c r="I15" s="29"/>
      <c r="J15" s="26"/>
    </row>
    <row r="16" customFormat="false" ht="15" hidden="false" customHeight="false" outlineLevel="0" collapsed="false">
      <c r="A16" s="8" t="n">
        <v>13</v>
      </c>
      <c r="B16" s="22"/>
      <c r="C16" s="22"/>
      <c r="D16" s="22"/>
      <c r="E16" s="22"/>
      <c r="F16" s="23" t="n">
        <f aca="false">IF(D16&gt;0,E16/D16,0)</f>
        <v>0</v>
      </c>
      <c r="G16" s="24"/>
      <c r="H16" s="22"/>
      <c r="I16" s="25"/>
      <c r="J16" s="22"/>
    </row>
    <row r="17" customFormat="false" ht="15" hidden="false" customHeight="false" outlineLevel="0" collapsed="false">
      <c r="A17" s="4" t="n">
        <v>14</v>
      </c>
      <c r="B17" s="26"/>
      <c r="C17" s="26"/>
      <c r="D17" s="26"/>
      <c r="E17" s="26"/>
      <c r="F17" s="27" t="n">
        <f aca="false">IF(D17&gt;0,E17/D17,0)</f>
        <v>0</v>
      </c>
      <c r="G17" s="28"/>
      <c r="H17" s="26"/>
      <c r="I17" s="29"/>
      <c r="J17" s="26"/>
    </row>
    <row r="18" customFormat="false" ht="15" hidden="false" customHeight="false" outlineLevel="0" collapsed="false">
      <c r="A18" s="8" t="n">
        <v>15</v>
      </c>
      <c r="B18" s="22"/>
      <c r="C18" s="22"/>
      <c r="D18" s="22"/>
      <c r="E18" s="22"/>
      <c r="F18" s="23" t="n">
        <f aca="false">IF(D18&gt;0,E18/D18,0)</f>
        <v>0</v>
      </c>
      <c r="G18" s="24"/>
      <c r="H18" s="22"/>
      <c r="I18" s="25"/>
      <c r="J18" s="22"/>
    </row>
    <row r="19" customFormat="false" ht="15" hidden="false" customHeight="false" outlineLevel="0" collapsed="false">
      <c r="A19" s="4" t="n">
        <v>16</v>
      </c>
      <c r="B19" s="26"/>
      <c r="C19" s="26"/>
      <c r="D19" s="26"/>
      <c r="E19" s="26"/>
      <c r="F19" s="27" t="n">
        <f aca="false">IF(D19&gt;0,E19/D19,0)</f>
        <v>0</v>
      </c>
      <c r="G19" s="28"/>
      <c r="H19" s="26"/>
      <c r="I19" s="29"/>
      <c r="J19" s="26"/>
    </row>
    <row r="20" customFormat="false" ht="15" hidden="false" customHeight="false" outlineLevel="0" collapsed="false">
      <c r="A20" s="8" t="n">
        <v>17</v>
      </c>
      <c r="B20" s="22"/>
      <c r="C20" s="22"/>
      <c r="D20" s="22"/>
      <c r="E20" s="22"/>
      <c r="F20" s="23" t="n">
        <f aca="false">IF(D20&gt;0,E20/D20,0)</f>
        <v>0</v>
      </c>
      <c r="G20" s="24"/>
      <c r="H20" s="22"/>
      <c r="I20" s="25"/>
      <c r="J20" s="22"/>
    </row>
    <row r="21" customFormat="false" ht="15" hidden="false" customHeight="false" outlineLevel="0" collapsed="false">
      <c r="A21" s="4" t="n">
        <v>18</v>
      </c>
      <c r="B21" s="26"/>
      <c r="C21" s="26"/>
      <c r="D21" s="26"/>
      <c r="E21" s="26"/>
      <c r="F21" s="27" t="n">
        <f aca="false">IF(D21&gt;0,E21/D21,0)</f>
        <v>0</v>
      </c>
      <c r="G21" s="28"/>
      <c r="H21" s="26"/>
      <c r="I21" s="29"/>
      <c r="J21" s="26"/>
    </row>
    <row r="22" customFormat="false" ht="15" hidden="false" customHeight="false" outlineLevel="0" collapsed="false">
      <c r="A22" s="8" t="n">
        <v>19</v>
      </c>
      <c r="B22" s="22"/>
      <c r="C22" s="22"/>
      <c r="D22" s="22"/>
      <c r="E22" s="22"/>
      <c r="F22" s="23" t="n">
        <f aca="false">IF(D22&gt;0,E22/D22,0)</f>
        <v>0</v>
      </c>
      <c r="G22" s="24"/>
      <c r="H22" s="22"/>
      <c r="I22" s="25"/>
      <c r="J22" s="22"/>
    </row>
    <row r="23" customFormat="false" ht="15" hidden="false" customHeight="false" outlineLevel="0" collapsed="false">
      <c r="A23" s="4" t="n">
        <v>20</v>
      </c>
      <c r="B23" s="26"/>
      <c r="C23" s="26"/>
      <c r="D23" s="26"/>
      <c r="E23" s="26"/>
      <c r="F23" s="27" t="n">
        <f aca="false">IF(D23&gt;0,E23/D23,0)</f>
        <v>0</v>
      </c>
      <c r="G23" s="28"/>
      <c r="H23" s="26"/>
      <c r="I23" s="29"/>
      <c r="J23" s="26"/>
    </row>
    <row r="24" customFormat="false" ht="15" hidden="false" customHeight="false" outlineLevel="0" collapsed="false">
      <c r="A24" s="8" t="n">
        <v>21</v>
      </c>
      <c r="B24" s="22"/>
      <c r="C24" s="22"/>
      <c r="D24" s="22"/>
      <c r="E24" s="22"/>
      <c r="F24" s="23" t="n">
        <f aca="false">IF(D24&gt;0,E24/D24,0)</f>
        <v>0</v>
      </c>
      <c r="G24" s="24"/>
      <c r="H24" s="22"/>
      <c r="I24" s="25"/>
      <c r="J24" s="22"/>
    </row>
    <row r="25" customFormat="false" ht="15" hidden="false" customHeight="false" outlineLevel="0" collapsed="false">
      <c r="A25" s="4" t="n">
        <v>22</v>
      </c>
      <c r="B25" s="26"/>
      <c r="C25" s="26"/>
      <c r="D25" s="26"/>
      <c r="E25" s="26"/>
      <c r="F25" s="27" t="n">
        <f aca="false">IF(D25&gt;0,E25/D25,0)</f>
        <v>0</v>
      </c>
      <c r="G25" s="28"/>
      <c r="H25" s="26"/>
      <c r="I25" s="29"/>
      <c r="J25" s="26"/>
    </row>
    <row r="26" customFormat="false" ht="15" hidden="false" customHeight="false" outlineLevel="0" collapsed="false">
      <c r="A26" s="8" t="n">
        <v>23</v>
      </c>
      <c r="B26" s="22"/>
      <c r="C26" s="22"/>
      <c r="D26" s="22"/>
      <c r="E26" s="22"/>
      <c r="F26" s="23" t="n">
        <f aca="false">IF(D26&gt;0,E26/D26,0)</f>
        <v>0</v>
      </c>
      <c r="G26" s="24"/>
      <c r="H26" s="22"/>
      <c r="I26" s="25"/>
      <c r="J26" s="22"/>
    </row>
    <row r="27" customFormat="false" ht="15" hidden="false" customHeight="false" outlineLevel="0" collapsed="false">
      <c r="A27" s="4" t="n">
        <v>24</v>
      </c>
      <c r="B27" s="26"/>
      <c r="C27" s="26"/>
      <c r="D27" s="26"/>
      <c r="E27" s="26"/>
      <c r="F27" s="27" t="n">
        <f aca="false">IF(D27&gt;0,E27/D27,0)</f>
        <v>0</v>
      </c>
      <c r="G27" s="28"/>
      <c r="H27" s="26"/>
      <c r="I27" s="29"/>
      <c r="J27" s="26"/>
    </row>
    <row r="28" customFormat="false" ht="15" hidden="false" customHeight="false" outlineLevel="0" collapsed="false">
      <c r="A28" s="8" t="n">
        <v>25</v>
      </c>
      <c r="B28" s="22"/>
      <c r="C28" s="22"/>
      <c r="D28" s="22"/>
      <c r="E28" s="22"/>
      <c r="F28" s="23" t="n">
        <f aca="false">IF(D28&gt;0,E28/D28,0)</f>
        <v>0</v>
      </c>
      <c r="G28" s="24"/>
      <c r="H28" s="22"/>
      <c r="I28" s="25"/>
      <c r="J28" s="22"/>
    </row>
    <row r="29" customFormat="false" ht="15" hidden="false" customHeight="false" outlineLevel="0" collapsed="false">
      <c r="A29" s="4" t="n">
        <v>26</v>
      </c>
      <c r="B29" s="26"/>
      <c r="C29" s="26"/>
      <c r="D29" s="26"/>
      <c r="E29" s="26"/>
      <c r="F29" s="27" t="n">
        <f aca="false">IF(D29&gt;0,E29/D29,0)</f>
        <v>0</v>
      </c>
      <c r="G29" s="28"/>
      <c r="H29" s="26"/>
      <c r="I29" s="29"/>
      <c r="J29" s="26"/>
    </row>
    <row r="30" customFormat="false" ht="15" hidden="false" customHeight="false" outlineLevel="0" collapsed="false">
      <c r="A30" s="8" t="n">
        <v>27</v>
      </c>
      <c r="B30" s="22"/>
      <c r="C30" s="22"/>
      <c r="D30" s="22"/>
      <c r="E30" s="22"/>
      <c r="F30" s="23" t="n">
        <f aca="false">IF(D30&gt;0,E30/D30,0)</f>
        <v>0</v>
      </c>
      <c r="G30" s="24"/>
      <c r="H30" s="22"/>
      <c r="I30" s="25"/>
      <c r="J30" s="22"/>
    </row>
    <row r="31" customFormat="false" ht="15" hidden="false" customHeight="false" outlineLevel="0" collapsed="false">
      <c r="A31" s="4" t="n">
        <v>28</v>
      </c>
      <c r="B31" s="26"/>
      <c r="C31" s="26"/>
      <c r="D31" s="26"/>
      <c r="E31" s="26"/>
      <c r="F31" s="27" t="n">
        <f aca="false">IF(D31&gt;0,E31/D31,0)</f>
        <v>0</v>
      </c>
      <c r="G31" s="28"/>
      <c r="H31" s="26"/>
      <c r="I31" s="29"/>
      <c r="J31" s="26"/>
    </row>
    <row r="32" customFormat="false" ht="15" hidden="false" customHeight="false" outlineLevel="0" collapsed="false">
      <c r="A32" s="8" t="n">
        <v>29</v>
      </c>
      <c r="B32" s="22"/>
      <c r="C32" s="22"/>
      <c r="D32" s="22"/>
      <c r="E32" s="22"/>
      <c r="F32" s="23" t="n">
        <f aca="false">IF(D32&gt;0,E32/D32,0)</f>
        <v>0</v>
      </c>
      <c r="G32" s="24"/>
      <c r="H32" s="22"/>
      <c r="I32" s="25"/>
      <c r="J32" s="22"/>
    </row>
    <row r="33" customFormat="false" ht="15" hidden="false" customHeight="false" outlineLevel="0" collapsed="false">
      <c r="A33" s="4" t="n">
        <v>30</v>
      </c>
      <c r="B33" s="26"/>
      <c r="C33" s="26"/>
      <c r="D33" s="26"/>
      <c r="E33" s="26"/>
      <c r="F33" s="27" t="n">
        <f aca="false">IF(D33&gt;0,E33/D33,0)</f>
        <v>0</v>
      </c>
      <c r="G33" s="28"/>
      <c r="H33" s="26"/>
      <c r="I33" s="29"/>
      <c r="J33" s="26"/>
    </row>
    <row r="35" customFormat="false" ht="25.5" hidden="false" customHeight="true" outlineLevel="0" collapsed="false">
      <c r="A35" s="12" t="s">
        <v>58</v>
      </c>
      <c r="B35" s="12"/>
      <c r="C35" s="12"/>
      <c r="D35" s="12"/>
      <c r="E35" s="12"/>
      <c r="F35" s="12"/>
      <c r="G35" s="12"/>
      <c r="H35" s="12"/>
      <c r="I35" s="12"/>
      <c r="J35" s="12"/>
    </row>
    <row r="36" customFormat="false" ht="15" hidden="false" customHeight="true" outlineLevel="0" collapsed="false">
      <c r="A36" s="30" t="s">
        <v>59</v>
      </c>
      <c r="B36" s="30"/>
      <c r="C36" s="30"/>
      <c r="D36" s="30"/>
      <c r="E36" s="30"/>
      <c r="F36" s="31" t="n">
        <f aca="false">SUM(E4:E33)</f>
        <v>0</v>
      </c>
      <c r="G36" s="32"/>
      <c r="H36" s="32"/>
      <c r="I36" s="32"/>
      <c r="J36" s="32"/>
    </row>
    <row r="37" customFormat="false" ht="15" hidden="false" customHeight="true" outlineLevel="0" collapsed="false">
      <c r="A37" s="30" t="s">
        <v>60</v>
      </c>
      <c r="B37" s="30"/>
      <c r="C37" s="30"/>
      <c r="D37" s="30"/>
      <c r="E37" s="30"/>
      <c r="F37" s="33" t="n">
        <f aca="false">IF(COUNTA(F4:F33)&gt;0,AVERAGE(F4:F33),0)</f>
        <v>0</v>
      </c>
      <c r="G37" s="32"/>
      <c r="H37" s="32"/>
      <c r="I37" s="32"/>
      <c r="J37" s="32"/>
    </row>
    <row r="38" customFormat="false" ht="15" hidden="false" customHeight="true" outlineLevel="0" collapsed="false">
      <c r="A38" s="30" t="s">
        <v>61</v>
      </c>
      <c r="B38" s="30"/>
      <c r="C38" s="30"/>
      <c r="D38" s="30"/>
      <c r="E38" s="30"/>
      <c r="F38" s="34" t="n">
        <f aca="false">IF(COUNTA(H4:H33)&gt;0,AVERAGE(H4:H33),0)</f>
        <v>0</v>
      </c>
      <c r="G38" s="32"/>
      <c r="H38" s="32"/>
      <c r="I38" s="32"/>
      <c r="J38" s="32"/>
    </row>
    <row r="39" customFormat="false" ht="15" hidden="false" customHeight="true" outlineLevel="0" collapsed="false">
      <c r="A39" s="30" t="s">
        <v>62</v>
      </c>
      <c r="B39" s="30"/>
      <c r="C39" s="30"/>
      <c r="D39" s="30"/>
      <c r="E39" s="30"/>
      <c r="F39" s="34" t="n">
        <f aca="false">MAX(H4:H33)</f>
        <v>0</v>
      </c>
      <c r="G39" s="32"/>
      <c r="H39" s="32"/>
      <c r="I39" s="32"/>
      <c r="J39" s="32"/>
    </row>
    <row r="40" customFormat="false" ht="15" hidden="false" customHeight="true" outlineLevel="0" collapsed="false">
      <c r="A40" s="30" t="s">
        <v>63</v>
      </c>
      <c r="B40" s="30"/>
      <c r="C40" s="30"/>
      <c r="D40" s="30"/>
      <c r="E40" s="30"/>
      <c r="F40" s="31" t="n">
        <f aca="false">IF(COUNTA(G4:G33)&gt;0,AVERAGE(G4:G33),0)</f>
        <v>0</v>
      </c>
      <c r="G40" s="32"/>
      <c r="H40" s="32"/>
      <c r="I40" s="32"/>
      <c r="J40" s="32"/>
    </row>
  </sheetData>
  <mergeCells count="8">
    <mergeCell ref="A1:J1"/>
    <mergeCell ref="A2:J2"/>
    <mergeCell ref="A35:J35"/>
    <mergeCell ref="A36:E36"/>
    <mergeCell ref="A37:E37"/>
    <mergeCell ref="A38:E38"/>
    <mergeCell ref="A39:E39"/>
    <mergeCell ref="A40:E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51B5"/>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5" min="4" style="0" width="18"/>
    <col collapsed="false" customWidth="true" hidden="false" outlineLevel="0" max="6" min="6" style="0" width="20"/>
    <col collapsed="false" customWidth="true" hidden="false" outlineLevel="0" max="8" min="7" style="0" width="18"/>
    <col collapsed="false" customWidth="true" hidden="false" outlineLevel="0" max="9" min="9" style="0" width="14"/>
  </cols>
  <sheetData>
    <row r="1" customFormat="false" ht="33.75" hidden="false" customHeight="true" outlineLevel="0" collapsed="false">
      <c r="A1" s="35" t="s">
        <v>64</v>
      </c>
      <c r="B1" s="35"/>
      <c r="C1" s="35"/>
      <c r="D1" s="35"/>
      <c r="E1" s="35"/>
      <c r="F1" s="35"/>
      <c r="G1" s="35"/>
      <c r="H1" s="35"/>
      <c r="I1" s="35"/>
    </row>
    <row r="2" customFormat="false" ht="25.5" hidden="false" customHeight="true" outlineLevel="0" collapsed="false">
      <c r="A2" s="36" t="s">
        <v>65</v>
      </c>
      <c r="B2" s="36"/>
      <c r="C2" s="36"/>
      <c r="D2" s="36"/>
      <c r="E2" s="36"/>
      <c r="F2" s="36"/>
      <c r="G2" s="36"/>
      <c r="H2" s="36"/>
      <c r="I2" s="36"/>
    </row>
    <row r="3" customFormat="false" ht="23.85" hidden="false" customHeight="false" outlineLevel="0" collapsed="false">
      <c r="A3" s="37" t="s">
        <v>49</v>
      </c>
      <c r="B3" s="37" t="s">
        <v>50</v>
      </c>
      <c r="C3" s="37" t="s">
        <v>51</v>
      </c>
      <c r="D3" s="37" t="s">
        <v>53</v>
      </c>
      <c r="E3" s="37" t="s">
        <v>66</v>
      </c>
      <c r="F3" s="37" t="s">
        <v>67</v>
      </c>
      <c r="G3" s="37" t="s">
        <v>68</v>
      </c>
      <c r="H3" s="37" t="s">
        <v>69</v>
      </c>
      <c r="I3" s="37" t="s">
        <v>57</v>
      </c>
    </row>
    <row r="4" customFormat="false" ht="15" hidden="false" customHeight="false" outlineLevel="0" collapsed="false">
      <c r="A4" s="8" t="n">
        <v>1</v>
      </c>
      <c r="B4" s="22"/>
      <c r="C4" s="22"/>
      <c r="D4" s="22"/>
      <c r="E4" s="22"/>
      <c r="F4" s="38"/>
      <c r="G4" s="39" t="n">
        <f aca="false">LOG(27,2)</f>
        <v>4.75488750216347</v>
      </c>
      <c r="H4" s="40" t="n">
        <f aca="false">IFERROR(IF(G4&gt;0,F4/G4,0),0)</f>
        <v>0</v>
      </c>
      <c r="I4" s="22"/>
    </row>
    <row r="5" customFormat="false" ht="15" hidden="false" customHeight="false" outlineLevel="0" collapsed="false">
      <c r="A5" s="4" t="n">
        <v>2</v>
      </c>
      <c r="B5" s="26"/>
      <c r="C5" s="26"/>
      <c r="D5" s="26"/>
      <c r="E5" s="26"/>
      <c r="F5" s="41"/>
      <c r="G5" s="42" t="n">
        <f aca="false">LOG(27,2)</f>
        <v>4.75488750216347</v>
      </c>
      <c r="H5" s="43" t="n">
        <f aca="false">IFERROR(IF(G5&gt;0,F5/G5,0),0)</f>
        <v>0</v>
      </c>
      <c r="I5" s="26"/>
    </row>
    <row r="6" customFormat="false" ht="15" hidden="false" customHeight="false" outlineLevel="0" collapsed="false">
      <c r="A6" s="8" t="n">
        <v>3</v>
      </c>
      <c r="B6" s="22"/>
      <c r="C6" s="22"/>
      <c r="D6" s="22"/>
      <c r="E6" s="22"/>
      <c r="F6" s="38"/>
      <c r="G6" s="39" t="n">
        <f aca="false">LOG(27,2)</f>
        <v>4.75488750216347</v>
      </c>
      <c r="H6" s="40" t="n">
        <f aca="false">IFERROR(IF(G6&gt;0,F6/G6,0),0)</f>
        <v>0</v>
      </c>
      <c r="I6" s="22"/>
    </row>
    <row r="7" customFormat="false" ht="15" hidden="false" customHeight="false" outlineLevel="0" collapsed="false">
      <c r="A7" s="4" t="n">
        <v>4</v>
      </c>
      <c r="B7" s="26"/>
      <c r="C7" s="26"/>
      <c r="D7" s="26"/>
      <c r="E7" s="26"/>
      <c r="F7" s="41"/>
      <c r="G7" s="42" t="n">
        <f aca="false">LOG(27,2)</f>
        <v>4.75488750216347</v>
      </c>
      <c r="H7" s="43" t="n">
        <f aca="false">IFERROR(IF(G7&gt;0,F7/G7,0),0)</f>
        <v>0</v>
      </c>
      <c r="I7" s="26"/>
    </row>
    <row r="8" customFormat="false" ht="15" hidden="false" customHeight="false" outlineLevel="0" collapsed="false">
      <c r="A8" s="8" t="n">
        <v>5</v>
      </c>
      <c r="B8" s="22"/>
      <c r="C8" s="22"/>
      <c r="D8" s="22"/>
      <c r="E8" s="22"/>
      <c r="F8" s="38"/>
      <c r="G8" s="39" t="n">
        <f aca="false">LOG(27,2)</f>
        <v>4.75488750216347</v>
      </c>
      <c r="H8" s="40" t="n">
        <f aca="false">IFERROR(IF(G8&gt;0,F8/G8,0),0)</f>
        <v>0</v>
      </c>
      <c r="I8" s="22"/>
    </row>
    <row r="9" customFormat="false" ht="15" hidden="false" customHeight="false" outlineLevel="0" collapsed="false">
      <c r="A9" s="4" t="n">
        <v>6</v>
      </c>
      <c r="B9" s="26"/>
      <c r="C9" s="26"/>
      <c r="D9" s="26"/>
      <c r="E9" s="26"/>
      <c r="F9" s="41"/>
      <c r="G9" s="42" t="n">
        <f aca="false">LOG(27,2)</f>
        <v>4.75488750216347</v>
      </c>
      <c r="H9" s="43" t="n">
        <f aca="false">IFERROR(IF(G9&gt;0,F9/G9,0),0)</f>
        <v>0</v>
      </c>
      <c r="I9" s="26"/>
    </row>
    <row r="10" customFormat="false" ht="15" hidden="false" customHeight="false" outlineLevel="0" collapsed="false">
      <c r="A10" s="8" t="n">
        <v>7</v>
      </c>
      <c r="B10" s="22"/>
      <c r="C10" s="22"/>
      <c r="D10" s="22"/>
      <c r="E10" s="22"/>
      <c r="F10" s="38"/>
      <c r="G10" s="39" t="n">
        <f aca="false">LOG(27,2)</f>
        <v>4.75488750216347</v>
      </c>
      <c r="H10" s="40" t="n">
        <f aca="false">IFERROR(IF(G10&gt;0,F10/G10,0),0)</f>
        <v>0</v>
      </c>
      <c r="I10" s="22"/>
    </row>
    <row r="11" customFormat="false" ht="15" hidden="false" customHeight="false" outlineLevel="0" collapsed="false">
      <c r="A11" s="4" t="n">
        <v>8</v>
      </c>
      <c r="B11" s="26"/>
      <c r="C11" s="26"/>
      <c r="D11" s="26"/>
      <c r="E11" s="26"/>
      <c r="F11" s="41"/>
      <c r="G11" s="42" t="n">
        <f aca="false">LOG(27,2)</f>
        <v>4.75488750216347</v>
      </c>
      <c r="H11" s="43" t="n">
        <f aca="false">IFERROR(IF(G11&gt;0,F11/G11,0),0)</f>
        <v>0</v>
      </c>
      <c r="I11" s="26"/>
    </row>
    <row r="12" customFormat="false" ht="15" hidden="false" customHeight="false" outlineLevel="0" collapsed="false">
      <c r="A12" s="8" t="n">
        <v>9</v>
      </c>
      <c r="B12" s="22"/>
      <c r="C12" s="22"/>
      <c r="D12" s="22"/>
      <c r="E12" s="22"/>
      <c r="F12" s="38"/>
      <c r="G12" s="39" t="n">
        <f aca="false">LOG(27,2)</f>
        <v>4.75488750216347</v>
      </c>
      <c r="H12" s="40" t="n">
        <f aca="false">IFERROR(IF(G12&gt;0,F12/G12,0),0)</f>
        <v>0</v>
      </c>
      <c r="I12" s="22"/>
    </row>
    <row r="13" customFormat="false" ht="15" hidden="false" customHeight="false" outlineLevel="0" collapsed="false">
      <c r="A13" s="4" t="n">
        <v>10</v>
      </c>
      <c r="B13" s="26"/>
      <c r="C13" s="26"/>
      <c r="D13" s="26"/>
      <c r="E13" s="26"/>
      <c r="F13" s="41"/>
      <c r="G13" s="42" t="n">
        <f aca="false">LOG(27,2)</f>
        <v>4.75488750216347</v>
      </c>
      <c r="H13" s="43" t="n">
        <f aca="false">IFERROR(IF(G13&gt;0,F13/G13,0),0)</f>
        <v>0</v>
      </c>
      <c r="I13" s="26"/>
    </row>
    <row r="14" customFormat="false" ht="15" hidden="false" customHeight="false" outlineLevel="0" collapsed="false">
      <c r="A14" s="8" t="n">
        <v>11</v>
      </c>
      <c r="B14" s="22"/>
      <c r="C14" s="22"/>
      <c r="D14" s="22"/>
      <c r="E14" s="22"/>
      <c r="F14" s="38"/>
      <c r="G14" s="39" t="n">
        <f aca="false">LOG(27,2)</f>
        <v>4.75488750216347</v>
      </c>
      <c r="H14" s="40" t="n">
        <f aca="false">IFERROR(IF(G14&gt;0,F14/G14,0),0)</f>
        <v>0</v>
      </c>
      <c r="I14" s="22"/>
    </row>
    <row r="15" customFormat="false" ht="15" hidden="false" customHeight="false" outlineLevel="0" collapsed="false">
      <c r="A15" s="4" t="n">
        <v>12</v>
      </c>
      <c r="B15" s="26"/>
      <c r="C15" s="26"/>
      <c r="D15" s="26"/>
      <c r="E15" s="26"/>
      <c r="F15" s="41"/>
      <c r="G15" s="42" t="n">
        <f aca="false">LOG(27,2)</f>
        <v>4.75488750216347</v>
      </c>
      <c r="H15" s="43" t="n">
        <f aca="false">IFERROR(IF(G15&gt;0,F15/G15,0),0)</f>
        <v>0</v>
      </c>
      <c r="I15" s="26"/>
    </row>
    <row r="16" customFormat="false" ht="15" hidden="false" customHeight="false" outlineLevel="0" collapsed="false">
      <c r="A16" s="8" t="n">
        <v>13</v>
      </c>
      <c r="B16" s="22"/>
      <c r="C16" s="22"/>
      <c r="D16" s="22"/>
      <c r="E16" s="22"/>
      <c r="F16" s="38"/>
      <c r="G16" s="39" t="n">
        <f aca="false">LOG(27,2)</f>
        <v>4.75488750216347</v>
      </c>
      <c r="H16" s="40" t="n">
        <f aca="false">IFERROR(IF(G16&gt;0,F16/G16,0),0)</f>
        <v>0</v>
      </c>
      <c r="I16" s="22"/>
    </row>
    <row r="17" customFormat="false" ht="15" hidden="false" customHeight="false" outlineLevel="0" collapsed="false">
      <c r="A17" s="4" t="n">
        <v>14</v>
      </c>
      <c r="B17" s="26"/>
      <c r="C17" s="26"/>
      <c r="D17" s="26"/>
      <c r="E17" s="26"/>
      <c r="F17" s="41"/>
      <c r="G17" s="42" t="n">
        <f aca="false">LOG(27,2)</f>
        <v>4.75488750216347</v>
      </c>
      <c r="H17" s="43" t="n">
        <f aca="false">IFERROR(IF(G17&gt;0,F17/G17,0),0)</f>
        <v>0</v>
      </c>
      <c r="I17" s="26"/>
    </row>
    <row r="18" customFormat="false" ht="15" hidden="false" customHeight="false" outlineLevel="0" collapsed="false">
      <c r="A18" s="8" t="n">
        <v>15</v>
      </c>
      <c r="B18" s="22"/>
      <c r="C18" s="22"/>
      <c r="D18" s="22"/>
      <c r="E18" s="22"/>
      <c r="F18" s="38"/>
      <c r="G18" s="39" t="n">
        <f aca="false">LOG(27,2)</f>
        <v>4.75488750216347</v>
      </c>
      <c r="H18" s="40" t="n">
        <f aca="false">IFERROR(IF(G18&gt;0,F18/G18,0),0)</f>
        <v>0</v>
      </c>
      <c r="I18" s="22"/>
    </row>
    <row r="19" customFormat="false" ht="15" hidden="false" customHeight="false" outlineLevel="0" collapsed="false">
      <c r="A19" s="4" t="n">
        <v>16</v>
      </c>
      <c r="B19" s="26"/>
      <c r="C19" s="26"/>
      <c r="D19" s="26"/>
      <c r="E19" s="26"/>
      <c r="F19" s="41"/>
      <c r="G19" s="42" t="n">
        <f aca="false">LOG(27,2)</f>
        <v>4.75488750216347</v>
      </c>
      <c r="H19" s="43" t="n">
        <f aca="false">IFERROR(IF(G19&gt;0,F19/G19,0),0)</f>
        <v>0</v>
      </c>
      <c r="I19" s="26"/>
    </row>
    <row r="20" customFormat="false" ht="15" hidden="false" customHeight="false" outlineLevel="0" collapsed="false">
      <c r="A20" s="8" t="n">
        <v>17</v>
      </c>
      <c r="B20" s="22"/>
      <c r="C20" s="22"/>
      <c r="D20" s="22"/>
      <c r="E20" s="22"/>
      <c r="F20" s="38"/>
      <c r="G20" s="39" t="n">
        <f aca="false">LOG(27,2)</f>
        <v>4.75488750216347</v>
      </c>
      <c r="H20" s="40" t="n">
        <f aca="false">IFERROR(IF(G20&gt;0,F20/G20,0),0)</f>
        <v>0</v>
      </c>
      <c r="I20" s="22"/>
    </row>
    <row r="21" customFormat="false" ht="15" hidden="false" customHeight="false" outlineLevel="0" collapsed="false">
      <c r="A21" s="4" t="n">
        <v>18</v>
      </c>
      <c r="B21" s="26"/>
      <c r="C21" s="26"/>
      <c r="D21" s="26"/>
      <c r="E21" s="26"/>
      <c r="F21" s="41"/>
      <c r="G21" s="42" t="n">
        <f aca="false">LOG(27,2)</f>
        <v>4.75488750216347</v>
      </c>
      <c r="H21" s="43" t="n">
        <f aca="false">IFERROR(IF(G21&gt;0,F21/G21,0),0)</f>
        <v>0</v>
      </c>
      <c r="I21" s="26"/>
    </row>
    <row r="22" customFormat="false" ht="15" hidden="false" customHeight="false" outlineLevel="0" collapsed="false">
      <c r="A22" s="8" t="n">
        <v>19</v>
      </c>
      <c r="B22" s="22"/>
      <c r="C22" s="22"/>
      <c r="D22" s="22"/>
      <c r="E22" s="22"/>
      <c r="F22" s="38"/>
      <c r="G22" s="39" t="n">
        <f aca="false">LOG(27,2)</f>
        <v>4.75488750216347</v>
      </c>
      <c r="H22" s="40" t="n">
        <f aca="false">IFERROR(IF(G22&gt;0,F22/G22,0),0)</f>
        <v>0</v>
      </c>
      <c r="I22" s="22"/>
    </row>
    <row r="23" customFormat="false" ht="15" hidden="false" customHeight="false" outlineLevel="0" collapsed="false">
      <c r="A23" s="4" t="n">
        <v>20</v>
      </c>
      <c r="B23" s="26"/>
      <c r="C23" s="26"/>
      <c r="D23" s="26"/>
      <c r="E23" s="26"/>
      <c r="F23" s="41"/>
      <c r="G23" s="42" t="n">
        <f aca="false">LOG(27,2)</f>
        <v>4.75488750216347</v>
      </c>
      <c r="H23" s="43" t="n">
        <f aca="false">IFERROR(IF(G23&gt;0,F23/G23,0),0)</f>
        <v>0</v>
      </c>
      <c r="I23" s="26"/>
    </row>
    <row r="24" customFormat="false" ht="15" hidden="false" customHeight="false" outlineLevel="0" collapsed="false">
      <c r="A24" s="8" t="n">
        <v>21</v>
      </c>
      <c r="B24" s="22"/>
      <c r="C24" s="22"/>
      <c r="D24" s="22"/>
      <c r="E24" s="22"/>
      <c r="F24" s="38"/>
      <c r="G24" s="39" t="n">
        <f aca="false">LOG(27,2)</f>
        <v>4.75488750216347</v>
      </c>
      <c r="H24" s="40" t="n">
        <f aca="false">IFERROR(IF(G24&gt;0,F24/G24,0),0)</f>
        <v>0</v>
      </c>
      <c r="I24" s="22"/>
    </row>
    <row r="25" customFormat="false" ht="15" hidden="false" customHeight="false" outlineLevel="0" collapsed="false">
      <c r="A25" s="4" t="n">
        <v>22</v>
      </c>
      <c r="B25" s="26"/>
      <c r="C25" s="26"/>
      <c r="D25" s="26"/>
      <c r="E25" s="26"/>
      <c r="F25" s="41"/>
      <c r="G25" s="42" t="n">
        <f aca="false">LOG(27,2)</f>
        <v>4.75488750216347</v>
      </c>
      <c r="H25" s="43" t="n">
        <f aca="false">IFERROR(IF(G25&gt;0,F25/G25,0),0)</f>
        <v>0</v>
      </c>
      <c r="I25" s="26"/>
    </row>
    <row r="26" customFormat="false" ht="15" hidden="false" customHeight="false" outlineLevel="0" collapsed="false">
      <c r="A26" s="8" t="n">
        <v>23</v>
      </c>
      <c r="B26" s="22"/>
      <c r="C26" s="22"/>
      <c r="D26" s="22"/>
      <c r="E26" s="22"/>
      <c r="F26" s="38"/>
      <c r="G26" s="39" t="n">
        <f aca="false">LOG(27,2)</f>
        <v>4.75488750216347</v>
      </c>
      <c r="H26" s="40" t="n">
        <f aca="false">IFERROR(IF(G26&gt;0,F26/G26,0),0)</f>
        <v>0</v>
      </c>
      <c r="I26" s="22"/>
    </row>
    <row r="27" customFormat="false" ht="15" hidden="false" customHeight="false" outlineLevel="0" collapsed="false">
      <c r="A27" s="4" t="n">
        <v>24</v>
      </c>
      <c r="B27" s="26"/>
      <c r="C27" s="26"/>
      <c r="D27" s="26"/>
      <c r="E27" s="26"/>
      <c r="F27" s="41"/>
      <c r="G27" s="42" t="n">
        <f aca="false">LOG(27,2)</f>
        <v>4.75488750216347</v>
      </c>
      <c r="H27" s="43" t="n">
        <f aca="false">IFERROR(IF(G27&gt;0,F27/G27,0),0)</f>
        <v>0</v>
      </c>
      <c r="I27" s="26"/>
    </row>
    <row r="28" customFormat="false" ht="15" hidden="false" customHeight="false" outlineLevel="0" collapsed="false">
      <c r="A28" s="8" t="n">
        <v>25</v>
      </c>
      <c r="B28" s="22"/>
      <c r="C28" s="22"/>
      <c r="D28" s="22"/>
      <c r="E28" s="22"/>
      <c r="F28" s="38"/>
      <c r="G28" s="39" t="n">
        <f aca="false">LOG(27,2)</f>
        <v>4.75488750216347</v>
      </c>
      <c r="H28" s="40" t="n">
        <f aca="false">IFERROR(IF(G28&gt;0,F28/G28,0),0)</f>
        <v>0</v>
      </c>
      <c r="I28" s="22"/>
    </row>
    <row r="29" customFormat="false" ht="15" hidden="false" customHeight="false" outlineLevel="0" collapsed="false">
      <c r="A29" s="4" t="n">
        <v>26</v>
      </c>
      <c r="B29" s="26"/>
      <c r="C29" s="26"/>
      <c r="D29" s="26"/>
      <c r="E29" s="26"/>
      <c r="F29" s="41"/>
      <c r="G29" s="42" t="n">
        <f aca="false">LOG(27,2)</f>
        <v>4.75488750216347</v>
      </c>
      <c r="H29" s="43" t="n">
        <f aca="false">IFERROR(IF(G29&gt;0,F29/G29,0),0)</f>
        <v>0</v>
      </c>
      <c r="I29" s="26"/>
    </row>
    <row r="30" customFormat="false" ht="15" hidden="false" customHeight="false" outlineLevel="0" collapsed="false">
      <c r="A30" s="8" t="n">
        <v>27</v>
      </c>
      <c r="B30" s="22"/>
      <c r="C30" s="22"/>
      <c r="D30" s="22"/>
      <c r="E30" s="22"/>
      <c r="F30" s="38"/>
      <c r="G30" s="39" t="n">
        <f aca="false">LOG(27,2)</f>
        <v>4.75488750216347</v>
      </c>
      <c r="H30" s="40" t="n">
        <f aca="false">IFERROR(IF(G30&gt;0,F30/G30,0),0)</f>
        <v>0</v>
      </c>
      <c r="I30" s="22"/>
    </row>
    <row r="31" customFormat="false" ht="15" hidden="false" customHeight="false" outlineLevel="0" collapsed="false">
      <c r="A31" s="4" t="n">
        <v>28</v>
      </c>
      <c r="B31" s="26"/>
      <c r="C31" s="26"/>
      <c r="D31" s="26"/>
      <c r="E31" s="26"/>
      <c r="F31" s="41"/>
      <c r="G31" s="42" t="n">
        <f aca="false">LOG(27,2)</f>
        <v>4.75488750216347</v>
      </c>
      <c r="H31" s="43" t="n">
        <f aca="false">IFERROR(IF(G31&gt;0,F31/G31,0),0)</f>
        <v>0</v>
      </c>
      <c r="I31" s="26"/>
    </row>
    <row r="32" customFormat="false" ht="15" hidden="false" customHeight="false" outlineLevel="0" collapsed="false">
      <c r="A32" s="8" t="n">
        <v>29</v>
      </c>
      <c r="B32" s="22"/>
      <c r="C32" s="22"/>
      <c r="D32" s="22"/>
      <c r="E32" s="22"/>
      <c r="F32" s="38"/>
      <c r="G32" s="39" t="n">
        <f aca="false">LOG(27,2)</f>
        <v>4.75488750216347</v>
      </c>
      <c r="H32" s="40" t="n">
        <f aca="false">IFERROR(IF(G32&gt;0,F32/G32,0),0)</f>
        <v>0</v>
      </c>
      <c r="I32" s="22"/>
    </row>
    <row r="33" customFormat="false" ht="15" hidden="false" customHeight="false" outlineLevel="0" collapsed="false">
      <c r="A33" s="4" t="n">
        <v>30</v>
      </c>
      <c r="B33" s="26"/>
      <c r="C33" s="26"/>
      <c r="D33" s="26"/>
      <c r="E33" s="26"/>
      <c r="F33" s="41"/>
      <c r="G33" s="42" t="n">
        <f aca="false">LOG(27,2)</f>
        <v>4.75488750216347</v>
      </c>
      <c r="H33" s="43" t="n">
        <f aca="false">IFERROR(IF(G33&gt;0,F33/G33,0),0)</f>
        <v>0</v>
      </c>
      <c r="I33" s="26"/>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J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9" min="4" style="0" width="18"/>
    <col collapsed="false" customWidth="true" hidden="false" outlineLevel="0" max="10" min="10" style="0" width="14"/>
  </cols>
  <sheetData>
    <row r="1" customFormat="false" ht="33.75" hidden="false" customHeight="true" outlineLevel="0" collapsed="false">
      <c r="A1" s="44" t="s">
        <v>70</v>
      </c>
      <c r="B1" s="44"/>
      <c r="C1" s="44"/>
      <c r="D1" s="44"/>
      <c r="E1" s="44"/>
      <c r="F1" s="44"/>
      <c r="G1" s="44"/>
      <c r="H1" s="44"/>
      <c r="I1" s="44"/>
      <c r="J1" s="44"/>
    </row>
    <row r="2" customFormat="false" ht="25.5" hidden="false" customHeight="true" outlineLevel="0" collapsed="false">
      <c r="A2" s="45" t="s">
        <v>71</v>
      </c>
      <c r="B2" s="45"/>
      <c r="C2" s="45"/>
      <c r="D2" s="45"/>
      <c r="E2" s="45"/>
      <c r="F2" s="45"/>
      <c r="G2" s="45"/>
      <c r="H2" s="45"/>
      <c r="I2" s="45"/>
      <c r="J2" s="45"/>
    </row>
    <row r="3" customFormat="false" ht="23.85" hidden="false" customHeight="false" outlineLevel="0" collapsed="false">
      <c r="A3" s="46" t="s">
        <v>49</v>
      </c>
      <c r="B3" s="46" t="s">
        <v>50</v>
      </c>
      <c r="C3" s="46" t="s">
        <v>51</v>
      </c>
      <c r="D3" s="46" t="s">
        <v>52</v>
      </c>
      <c r="E3" s="46" t="s">
        <v>72</v>
      </c>
      <c r="F3" s="46" t="s">
        <v>73</v>
      </c>
      <c r="G3" s="46" t="s">
        <v>74</v>
      </c>
      <c r="H3" s="46" t="s">
        <v>75</v>
      </c>
      <c r="I3" s="46" t="s">
        <v>76</v>
      </c>
      <c r="J3" s="46" t="s">
        <v>57</v>
      </c>
    </row>
    <row r="4" customFormat="false" ht="15" hidden="false" customHeight="false" outlineLevel="0" collapsed="false">
      <c r="A4" s="8" t="n">
        <v>1</v>
      </c>
      <c r="B4" s="22"/>
      <c r="C4" s="22"/>
      <c r="D4" s="22"/>
      <c r="E4" s="22"/>
      <c r="F4" s="23" t="n">
        <f aca="false">IF(D4&gt;0,E4/D4*100,0)</f>
        <v>0</v>
      </c>
      <c r="G4" s="22"/>
      <c r="H4" s="23" t="n">
        <f aca="false">IF(D4&gt;0,G4/D4*100,0)</f>
        <v>0</v>
      </c>
      <c r="I4" s="25"/>
      <c r="J4" s="22"/>
    </row>
    <row r="5" customFormat="false" ht="15" hidden="false" customHeight="false" outlineLevel="0" collapsed="false">
      <c r="A5" s="4" t="n">
        <v>2</v>
      </c>
      <c r="B5" s="26"/>
      <c r="C5" s="26"/>
      <c r="D5" s="26"/>
      <c r="E5" s="26"/>
      <c r="F5" s="27" t="n">
        <f aca="false">IF(D5&gt;0,E5/D5*100,0)</f>
        <v>0</v>
      </c>
      <c r="G5" s="26"/>
      <c r="H5" s="27" t="n">
        <f aca="false">IF(D5&gt;0,G5/D5*100,0)</f>
        <v>0</v>
      </c>
      <c r="I5" s="29"/>
      <c r="J5" s="26"/>
    </row>
    <row r="6" customFormat="false" ht="15" hidden="false" customHeight="false" outlineLevel="0" collapsed="false">
      <c r="A6" s="8" t="n">
        <v>3</v>
      </c>
      <c r="B6" s="22"/>
      <c r="C6" s="22"/>
      <c r="D6" s="22"/>
      <c r="E6" s="22"/>
      <c r="F6" s="23" t="n">
        <f aca="false">IF(D6&gt;0,E6/D6*100,0)</f>
        <v>0</v>
      </c>
      <c r="G6" s="22"/>
      <c r="H6" s="23" t="n">
        <f aca="false">IF(D6&gt;0,G6/D6*100,0)</f>
        <v>0</v>
      </c>
      <c r="I6" s="25"/>
      <c r="J6" s="22"/>
    </row>
    <row r="7" customFormat="false" ht="15" hidden="false" customHeight="false" outlineLevel="0" collapsed="false">
      <c r="A7" s="4" t="n">
        <v>4</v>
      </c>
      <c r="B7" s="26"/>
      <c r="C7" s="26"/>
      <c r="D7" s="26"/>
      <c r="E7" s="26"/>
      <c r="F7" s="27" t="n">
        <f aca="false">IF(D7&gt;0,E7/D7*100,0)</f>
        <v>0</v>
      </c>
      <c r="G7" s="26"/>
      <c r="H7" s="27" t="n">
        <f aca="false">IF(D7&gt;0,G7/D7*100,0)</f>
        <v>0</v>
      </c>
      <c r="I7" s="29"/>
      <c r="J7" s="26"/>
    </row>
    <row r="8" customFormat="false" ht="15" hidden="false" customHeight="false" outlineLevel="0" collapsed="false">
      <c r="A8" s="8" t="n">
        <v>5</v>
      </c>
      <c r="B8" s="22"/>
      <c r="C8" s="22"/>
      <c r="D8" s="22"/>
      <c r="E8" s="22"/>
      <c r="F8" s="23" t="n">
        <f aca="false">IF(D8&gt;0,E8/D8*100,0)</f>
        <v>0</v>
      </c>
      <c r="G8" s="22"/>
      <c r="H8" s="23" t="n">
        <f aca="false">IF(D8&gt;0,G8/D8*100,0)</f>
        <v>0</v>
      </c>
      <c r="I8" s="25"/>
      <c r="J8" s="22"/>
    </row>
    <row r="9" customFormat="false" ht="15" hidden="false" customHeight="false" outlineLevel="0" collapsed="false">
      <c r="A9" s="4" t="n">
        <v>6</v>
      </c>
      <c r="B9" s="26"/>
      <c r="C9" s="26"/>
      <c r="D9" s="26"/>
      <c r="E9" s="26"/>
      <c r="F9" s="27" t="n">
        <f aca="false">IF(D9&gt;0,E9/D9*100,0)</f>
        <v>0</v>
      </c>
      <c r="G9" s="26"/>
      <c r="H9" s="27" t="n">
        <f aca="false">IF(D9&gt;0,G9/D9*100,0)</f>
        <v>0</v>
      </c>
      <c r="I9" s="29"/>
      <c r="J9" s="26"/>
    </row>
    <row r="10" customFormat="false" ht="15" hidden="false" customHeight="false" outlineLevel="0" collapsed="false">
      <c r="A10" s="8" t="n">
        <v>7</v>
      </c>
      <c r="B10" s="22"/>
      <c r="C10" s="22"/>
      <c r="D10" s="22"/>
      <c r="E10" s="22"/>
      <c r="F10" s="23" t="n">
        <f aca="false">IF(D10&gt;0,E10/D10*100,0)</f>
        <v>0</v>
      </c>
      <c r="G10" s="22"/>
      <c r="H10" s="23" t="n">
        <f aca="false">IF(D10&gt;0,G10/D10*100,0)</f>
        <v>0</v>
      </c>
      <c r="I10" s="25"/>
      <c r="J10" s="22"/>
    </row>
    <row r="11" customFormat="false" ht="15" hidden="false" customHeight="false" outlineLevel="0" collapsed="false">
      <c r="A11" s="4" t="n">
        <v>8</v>
      </c>
      <c r="B11" s="26"/>
      <c r="C11" s="26"/>
      <c r="D11" s="26"/>
      <c r="E11" s="26"/>
      <c r="F11" s="27" t="n">
        <f aca="false">IF(D11&gt;0,E11/D11*100,0)</f>
        <v>0</v>
      </c>
      <c r="G11" s="26"/>
      <c r="H11" s="27" t="n">
        <f aca="false">IF(D11&gt;0,G11/D11*100,0)</f>
        <v>0</v>
      </c>
      <c r="I11" s="29"/>
      <c r="J11" s="26"/>
    </row>
    <row r="12" customFormat="false" ht="15" hidden="false" customHeight="false" outlineLevel="0" collapsed="false">
      <c r="A12" s="8" t="n">
        <v>9</v>
      </c>
      <c r="B12" s="22"/>
      <c r="C12" s="22"/>
      <c r="D12" s="22"/>
      <c r="E12" s="22"/>
      <c r="F12" s="23" t="n">
        <f aca="false">IF(D12&gt;0,E12/D12*100,0)</f>
        <v>0</v>
      </c>
      <c r="G12" s="22"/>
      <c r="H12" s="23" t="n">
        <f aca="false">IF(D12&gt;0,G12/D12*100,0)</f>
        <v>0</v>
      </c>
      <c r="I12" s="25"/>
      <c r="J12" s="22"/>
    </row>
    <row r="13" customFormat="false" ht="15" hidden="false" customHeight="false" outlineLevel="0" collapsed="false">
      <c r="A13" s="4" t="n">
        <v>10</v>
      </c>
      <c r="B13" s="26"/>
      <c r="C13" s="26"/>
      <c r="D13" s="26"/>
      <c r="E13" s="26"/>
      <c r="F13" s="27" t="n">
        <f aca="false">IF(D13&gt;0,E13/D13*100,0)</f>
        <v>0</v>
      </c>
      <c r="G13" s="26"/>
      <c r="H13" s="27" t="n">
        <f aca="false">IF(D13&gt;0,G13/D13*100,0)</f>
        <v>0</v>
      </c>
      <c r="I13" s="29"/>
      <c r="J13" s="26"/>
    </row>
    <row r="14" customFormat="false" ht="15" hidden="false" customHeight="false" outlineLevel="0" collapsed="false">
      <c r="A14" s="8" t="n">
        <v>11</v>
      </c>
      <c r="B14" s="22"/>
      <c r="C14" s="22"/>
      <c r="D14" s="22"/>
      <c r="E14" s="22"/>
      <c r="F14" s="23" t="n">
        <f aca="false">IF(D14&gt;0,E14/D14*100,0)</f>
        <v>0</v>
      </c>
      <c r="G14" s="22"/>
      <c r="H14" s="23" t="n">
        <f aca="false">IF(D14&gt;0,G14/D14*100,0)</f>
        <v>0</v>
      </c>
      <c r="I14" s="25"/>
      <c r="J14" s="22"/>
    </row>
    <row r="15" customFormat="false" ht="15" hidden="false" customHeight="false" outlineLevel="0" collapsed="false">
      <c r="A15" s="4" t="n">
        <v>12</v>
      </c>
      <c r="B15" s="26"/>
      <c r="C15" s="26"/>
      <c r="D15" s="26"/>
      <c r="E15" s="26"/>
      <c r="F15" s="27" t="n">
        <f aca="false">IF(D15&gt;0,E15/D15*100,0)</f>
        <v>0</v>
      </c>
      <c r="G15" s="26"/>
      <c r="H15" s="27" t="n">
        <f aca="false">IF(D15&gt;0,G15/D15*100,0)</f>
        <v>0</v>
      </c>
      <c r="I15" s="29"/>
      <c r="J15" s="26"/>
    </row>
    <row r="16" customFormat="false" ht="15" hidden="false" customHeight="false" outlineLevel="0" collapsed="false">
      <c r="A16" s="8" t="n">
        <v>13</v>
      </c>
      <c r="B16" s="22"/>
      <c r="C16" s="22"/>
      <c r="D16" s="22"/>
      <c r="E16" s="22"/>
      <c r="F16" s="23" t="n">
        <f aca="false">IF(D16&gt;0,E16/D16*100,0)</f>
        <v>0</v>
      </c>
      <c r="G16" s="22"/>
      <c r="H16" s="23" t="n">
        <f aca="false">IF(D16&gt;0,G16/D16*100,0)</f>
        <v>0</v>
      </c>
      <c r="I16" s="25"/>
      <c r="J16" s="22"/>
    </row>
    <row r="17" customFormat="false" ht="15" hidden="false" customHeight="false" outlineLevel="0" collapsed="false">
      <c r="A17" s="4" t="n">
        <v>14</v>
      </c>
      <c r="B17" s="26"/>
      <c r="C17" s="26"/>
      <c r="D17" s="26"/>
      <c r="E17" s="26"/>
      <c r="F17" s="27" t="n">
        <f aca="false">IF(D17&gt;0,E17/D17*100,0)</f>
        <v>0</v>
      </c>
      <c r="G17" s="26"/>
      <c r="H17" s="27" t="n">
        <f aca="false">IF(D17&gt;0,G17/D17*100,0)</f>
        <v>0</v>
      </c>
      <c r="I17" s="29"/>
      <c r="J17" s="26"/>
    </row>
    <row r="18" customFormat="false" ht="15" hidden="false" customHeight="false" outlineLevel="0" collapsed="false">
      <c r="A18" s="8" t="n">
        <v>15</v>
      </c>
      <c r="B18" s="22"/>
      <c r="C18" s="22"/>
      <c r="D18" s="22"/>
      <c r="E18" s="22"/>
      <c r="F18" s="23" t="n">
        <f aca="false">IF(D18&gt;0,E18/D18*100,0)</f>
        <v>0</v>
      </c>
      <c r="G18" s="22"/>
      <c r="H18" s="23" t="n">
        <f aca="false">IF(D18&gt;0,G18/D18*100,0)</f>
        <v>0</v>
      </c>
      <c r="I18" s="25"/>
      <c r="J18" s="22"/>
    </row>
    <row r="19" customFormat="false" ht="15" hidden="false" customHeight="false" outlineLevel="0" collapsed="false">
      <c r="A19" s="4" t="n">
        <v>16</v>
      </c>
      <c r="B19" s="26"/>
      <c r="C19" s="26"/>
      <c r="D19" s="26"/>
      <c r="E19" s="26"/>
      <c r="F19" s="27" t="n">
        <f aca="false">IF(D19&gt;0,E19/D19*100,0)</f>
        <v>0</v>
      </c>
      <c r="G19" s="26"/>
      <c r="H19" s="27" t="n">
        <f aca="false">IF(D19&gt;0,G19/D19*100,0)</f>
        <v>0</v>
      </c>
      <c r="I19" s="29"/>
      <c r="J19" s="26"/>
    </row>
    <row r="20" customFormat="false" ht="15" hidden="false" customHeight="false" outlineLevel="0" collapsed="false">
      <c r="A20" s="8" t="n">
        <v>17</v>
      </c>
      <c r="B20" s="22"/>
      <c r="C20" s="22"/>
      <c r="D20" s="22"/>
      <c r="E20" s="22"/>
      <c r="F20" s="23" t="n">
        <f aca="false">IF(D20&gt;0,E20/D20*100,0)</f>
        <v>0</v>
      </c>
      <c r="G20" s="22"/>
      <c r="H20" s="23" t="n">
        <f aca="false">IF(D20&gt;0,G20/D20*100,0)</f>
        <v>0</v>
      </c>
      <c r="I20" s="25"/>
      <c r="J20" s="22"/>
    </row>
    <row r="21" customFormat="false" ht="15" hidden="false" customHeight="false" outlineLevel="0" collapsed="false">
      <c r="A21" s="4" t="n">
        <v>18</v>
      </c>
      <c r="B21" s="26"/>
      <c r="C21" s="26"/>
      <c r="D21" s="26"/>
      <c r="E21" s="26"/>
      <c r="F21" s="27" t="n">
        <f aca="false">IF(D21&gt;0,E21/D21*100,0)</f>
        <v>0</v>
      </c>
      <c r="G21" s="26"/>
      <c r="H21" s="27" t="n">
        <f aca="false">IF(D21&gt;0,G21/D21*100,0)</f>
        <v>0</v>
      </c>
      <c r="I21" s="29"/>
      <c r="J21" s="26"/>
    </row>
    <row r="22" customFormat="false" ht="15" hidden="false" customHeight="false" outlineLevel="0" collapsed="false">
      <c r="A22" s="8" t="n">
        <v>19</v>
      </c>
      <c r="B22" s="22"/>
      <c r="C22" s="22"/>
      <c r="D22" s="22"/>
      <c r="E22" s="22"/>
      <c r="F22" s="23" t="n">
        <f aca="false">IF(D22&gt;0,E22/D22*100,0)</f>
        <v>0</v>
      </c>
      <c r="G22" s="22"/>
      <c r="H22" s="23" t="n">
        <f aca="false">IF(D22&gt;0,G22/D22*100,0)</f>
        <v>0</v>
      </c>
      <c r="I22" s="25"/>
      <c r="J22" s="22"/>
    </row>
    <row r="23" customFormat="false" ht="15" hidden="false" customHeight="false" outlineLevel="0" collapsed="false">
      <c r="A23" s="4" t="n">
        <v>20</v>
      </c>
      <c r="B23" s="26"/>
      <c r="C23" s="26"/>
      <c r="D23" s="26"/>
      <c r="E23" s="26"/>
      <c r="F23" s="27" t="n">
        <f aca="false">IF(D23&gt;0,E23/D23*100,0)</f>
        <v>0</v>
      </c>
      <c r="G23" s="26"/>
      <c r="H23" s="27" t="n">
        <f aca="false">IF(D23&gt;0,G23/D23*100,0)</f>
        <v>0</v>
      </c>
      <c r="I23" s="29"/>
      <c r="J23" s="26"/>
    </row>
    <row r="24" customFormat="false" ht="15" hidden="false" customHeight="false" outlineLevel="0" collapsed="false">
      <c r="A24" s="8" t="n">
        <v>21</v>
      </c>
      <c r="B24" s="22"/>
      <c r="C24" s="22"/>
      <c r="D24" s="22"/>
      <c r="E24" s="22"/>
      <c r="F24" s="23" t="n">
        <f aca="false">IF(D24&gt;0,E24/D24*100,0)</f>
        <v>0</v>
      </c>
      <c r="G24" s="22"/>
      <c r="H24" s="23" t="n">
        <f aca="false">IF(D24&gt;0,G24/D24*100,0)</f>
        <v>0</v>
      </c>
      <c r="I24" s="25"/>
      <c r="J24" s="22"/>
    </row>
    <row r="25" customFormat="false" ht="15" hidden="false" customHeight="false" outlineLevel="0" collapsed="false">
      <c r="A25" s="4" t="n">
        <v>22</v>
      </c>
      <c r="B25" s="26"/>
      <c r="C25" s="26"/>
      <c r="D25" s="26"/>
      <c r="E25" s="26"/>
      <c r="F25" s="27" t="n">
        <f aca="false">IF(D25&gt;0,E25/D25*100,0)</f>
        <v>0</v>
      </c>
      <c r="G25" s="26"/>
      <c r="H25" s="27" t="n">
        <f aca="false">IF(D25&gt;0,G25/D25*100,0)</f>
        <v>0</v>
      </c>
      <c r="I25" s="29"/>
      <c r="J25" s="26"/>
    </row>
    <row r="26" customFormat="false" ht="15" hidden="false" customHeight="false" outlineLevel="0" collapsed="false">
      <c r="A26" s="8" t="n">
        <v>23</v>
      </c>
      <c r="B26" s="22"/>
      <c r="C26" s="22"/>
      <c r="D26" s="22"/>
      <c r="E26" s="22"/>
      <c r="F26" s="23" t="n">
        <f aca="false">IF(D26&gt;0,E26/D26*100,0)</f>
        <v>0</v>
      </c>
      <c r="G26" s="22"/>
      <c r="H26" s="23" t="n">
        <f aca="false">IF(D26&gt;0,G26/D26*100,0)</f>
        <v>0</v>
      </c>
      <c r="I26" s="25"/>
      <c r="J26" s="22"/>
    </row>
    <row r="27" customFormat="false" ht="15" hidden="false" customHeight="false" outlineLevel="0" collapsed="false">
      <c r="A27" s="4" t="n">
        <v>24</v>
      </c>
      <c r="B27" s="26"/>
      <c r="C27" s="26"/>
      <c r="D27" s="26"/>
      <c r="E27" s="26"/>
      <c r="F27" s="27" t="n">
        <f aca="false">IF(D27&gt;0,E27/D27*100,0)</f>
        <v>0</v>
      </c>
      <c r="G27" s="26"/>
      <c r="H27" s="27" t="n">
        <f aca="false">IF(D27&gt;0,G27/D27*100,0)</f>
        <v>0</v>
      </c>
      <c r="I27" s="29"/>
      <c r="J27" s="26"/>
    </row>
    <row r="28" customFormat="false" ht="15" hidden="false" customHeight="false" outlineLevel="0" collapsed="false">
      <c r="A28" s="8" t="n">
        <v>25</v>
      </c>
      <c r="B28" s="22"/>
      <c r="C28" s="22"/>
      <c r="D28" s="22"/>
      <c r="E28" s="22"/>
      <c r="F28" s="23" t="n">
        <f aca="false">IF(D28&gt;0,E28/D28*100,0)</f>
        <v>0</v>
      </c>
      <c r="G28" s="22"/>
      <c r="H28" s="23" t="n">
        <f aca="false">IF(D28&gt;0,G28/D28*100,0)</f>
        <v>0</v>
      </c>
      <c r="I28" s="25"/>
      <c r="J28" s="22"/>
    </row>
    <row r="29" customFormat="false" ht="15" hidden="false" customHeight="false" outlineLevel="0" collapsed="false">
      <c r="A29" s="4" t="n">
        <v>26</v>
      </c>
      <c r="B29" s="26"/>
      <c r="C29" s="26"/>
      <c r="D29" s="26"/>
      <c r="E29" s="26"/>
      <c r="F29" s="27" t="n">
        <f aca="false">IF(D29&gt;0,E29/D29*100,0)</f>
        <v>0</v>
      </c>
      <c r="G29" s="26"/>
      <c r="H29" s="27" t="n">
        <f aca="false">IF(D29&gt;0,G29/D29*100,0)</f>
        <v>0</v>
      </c>
      <c r="I29" s="29"/>
      <c r="J29" s="26"/>
    </row>
    <row r="30" customFormat="false" ht="15" hidden="false" customHeight="false" outlineLevel="0" collapsed="false">
      <c r="A30" s="8" t="n">
        <v>27</v>
      </c>
      <c r="B30" s="22"/>
      <c r="C30" s="22"/>
      <c r="D30" s="22"/>
      <c r="E30" s="22"/>
      <c r="F30" s="23" t="n">
        <f aca="false">IF(D30&gt;0,E30/D30*100,0)</f>
        <v>0</v>
      </c>
      <c r="G30" s="22"/>
      <c r="H30" s="23" t="n">
        <f aca="false">IF(D30&gt;0,G30/D30*100,0)</f>
        <v>0</v>
      </c>
      <c r="I30" s="25"/>
      <c r="J30" s="22"/>
    </row>
    <row r="31" customFormat="false" ht="15" hidden="false" customHeight="false" outlineLevel="0" collapsed="false">
      <c r="A31" s="4" t="n">
        <v>28</v>
      </c>
      <c r="B31" s="26"/>
      <c r="C31" s="26"/>
      <c r="D31" s="26"/>
      <c r="E31" s="26"/>
      <c r="F31" s="27" t="n">
        <f aca="false">IF(D31&gt;0,E31/D31*100,0)</f>
        <v>0</v>
      </c>
      <c r="G31" s="26"/>
      <c r="H31" s="27" t="n">
        <f aca="false">IF(D31&gt;0,G31/D31*100,0)</f>
        <v>0</v>
      </c>
      <c r="I31" s="29"/>
      <c r="J31" s="26"/>
    </row>
    <row r="32" customFormat="false" ht="15" hidden="false" customHeight="false" outlineLevel="0" collapsed="false">
      <c r="A32" s="8" t="n">
        <v>29</v>
      </c>
      <c r="B32" s="22"/>
      <c r="C32" s="22"/>
      <c r="D32" s="22"/>
      <c r="E32" s="22"/>
      <c r="F32" s="23" t="n">
        <f aca="false">IF(D32&gt;0,E32/D32*100,0)</f>
        <v>0</v>
      </c>
      <c r="G32" s="22"/>
      <c r="H32" s="23" t="n">
        <f aca="false">IF(D32&gt;0,G32/D32*100,0)</f>
        <v>0</v>
      </c>
      <c r="I32" s="25"/>
      <c r="J32" s="22"/>
    </row>
    <row r="33" customFormat="false" ht="15" hidden="false" customHeight="false" outlineLevel="0" collapsed="false">
      <c r="A33" s="4" t="n">
        <v>30</v>
      </c>
      <c r="B33" s="26"/>
      <c r="C33" s="26"/>
      <c r="D33" s="26"/>
      <c r="E33" s="26"/>
      <c r="F33" s="27" t="n">
        <f aca="false">IF(D33&gt;0,E33/D33*100,0)</f>
        <v>0</v>
      </c>
      <c r="G33" s="26"/>
      <c r="H33" s="27" t="n">
        <f aca="false">IF(D33&gt;0,G33/D33*100,0)</f>
        <v>0</v>
      </c>
      <c r="I33" s="29"/>
      <c r="J33" s="26"/>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J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4"/>
    <col collapsed="false" customWidth="true" hidden="false" outlineLevel="0" max="9" min="4" style="0" width="16"/>
    <col collapsed="false" customWidth="true" hidden="false" outlineLevel="0" max="10" min="10" style="0" width="14"/>
  </cols>
  <sheetData>
    <row r="1" customFormat="false" ht="33.75" hidden="false" customHeight="true" outlineLevel="0" collapsed="false">
      <c r="A1" s="47" t="s">
        <v>77</v>
      </c>
      <c r="B1" s="47"/>
      <c r="C1" s="47"/>
      <c r="D1" s="47"/>
      <c r="E1" s="47"/>
      <c r="F1" s="47"/>
      <c r="G1" s="47"/>
      <c r="H1" s="47"/>
      <c r="I1" s="47"/>
      <c r="J1" s="47"/>
    </row>
    <row r="2" customFormat="false" ht="25.5" hidden="false" customHeight="true" outlineLevel="0" collapsed="false">
      <c r="A2" s="48" t="s">
        <v>78</v>
      </c>
      <c r="B2" s="48"/>
      <c r="C2" s="48"/>
      <c r="D2" s="48"/>
      <c r="E2" s="48"/>
      <c r="F2" s="48"/>
      <c r="G2" s="48"/>
      <c r="H2" s="48"/>
      <c r="I2" s="48"/>
      <c r="J2" s="48"/>
    </row>
    <row r="3" customFormat="false" ht="23.85" hidden="false" customHeight="false" outlineLevel="0" collapsed="false">
      <c r="A3" s="49" t="s">
        <v>49</v>
      </c>
      <c r="B3" s="49" t="s">
        <v>50</v>
      </c>
      <c r="C3" s="49" t="s">
        <v>51</v>
      </c>
      <c r="D3" s="49" t="s">
        <v>79</v>
      </c>
      <c r="E3" s="49" t="s">
        <v>80</v>
      </c>
      <c r="F3" s="49" t="s">
        <v>81</v>
      </c>
      <c r="G3" s="49" t="s">
        <v>82</v>
      </c>
      <c r="H3" s="49" t="s">
        <v>83</v>
      </c>
      <c r="I3" s="49" t="s">
        <v>84</v>
      </c>
      <c r="J3" s="49" t="s">
        <v>57</v>
      </c>
    </row>
    <row r="4" customFormat="false" ht="15" hidden="false" customHeight="false" outlineLevel="0" collapsed="false">
      <c r="A4" s="8" t="n">
        <v>1</v>
      </c>
      <c r="B4" s="22"/>
      <c r="C4" s="22"/>
      <c r="D4" s="22"/>
      <c r="E4" s="22"/>
      <c r="F4" s="22"/>
      <c r="G4" s="22"/>
      <c r="H4" s="23" t="n">
        <f aca="false">IF(G4&gt;0,D4/G4*100,0)</f>
        <v>0</v>
      </c>
      <c r="I4" s="25"/>
      <c r="J4" s="22"/>
    </row>
    <row r="5" customFormat="false" ht="15" hidden="false" customHeight="false" outlineLevel="0" collapsed="false">
      <c r="A5" s="4" t="n">
        <v>2</v>
      </c>
      <c r="B5" s="26"/>
      <c r="C5" s="26"/>
      <c r="D5" s="26"/>
      <c r="E5" s="26"/>
      <c r="F5" s="26"/>
      <c r="G5" s="26"/>
      <c r="H5" s="27" t="n">
        <f aca="false">IF(G5&gt;0,D5/G5*100,0)</f>
        <v>0</v>
      </c>
      <c r="I5" s="29"/>
      <c r="J5" s="26"/>
    </row>
    <row r="6" customFormat="false" ht="15" hidden="false" customHeight="false" outlineLevel="0" collapsed="false">
      <c r="A6" s="8" t="n">
        <v>3</v>
      </c>
      <c r="B6" s="22"/>
      <c r="C6" s="22"/>
      <c r="D6" s="22"/>
      <c r="E6" s="22"/>
      <c r="F6" s="22"/>
      <c r="G6" s="22"/>
      <c r="H6" s="23" t="n">
        <f aca="false">IF(G6&gt;0,D6/G6*100,0)</f>
        <v>0</v>
      </c>
      <c r="I6" s="25"/>
      <c r="J6" s="22"/>
    </row>
    <row r="7" customFormat="false" ht="15" hidden="false" customHeight="false" outlineLevel="0" collapsed="false">
      <c r="A7" s="4" t="n">
        <v>4</v>
      </c>
      <c r="B7" s="26"/>
      <c r="C7" s="26"/>
      <c r="D7" s="26"/>
      <c r="E7" s="26"/>
      <c r="F7" s="26"/>
      <c r="G7" s="26"/>
      <c r="H7" s="27" t="n">
        <f aca="false">IF(G7&gt;0,D7/G7*100,0)</f>
        <v>0</v>
      </c>
      <c r="I7" s="29"/>
      <c r="J7" s="26"/>
    </row>
    <row r="8" customFormat="false" ht="15" hidden="false" customHeight="false" outlineLevel="0" collapsed="false">
      <c r="A8" s="8" t="n">
        <v>5</v>
      </c>
      <c r="B8" s="22"/>
      <c r="C8" s="22"/>
      <c r="D8" s="22"/>
      <c r="E8" s="22"/>
      <c r="F8" s="22"/>
      <c r="G8" s="22"/>
      <c r="H8" s="23" t="n">
        <f aca="false">IF(G8&gt;0,D8/G8*100,0)</f>
        <v>0</v>
      </c>
      <c r="I8" s="25"/>
      <c r="J8" s="22"/>
    </row>
    <row r="9" customFormat="false" ht="15" hidden="false" customHeight="false" outlineLevel="0" collapsed="false">
      <c r="A9" s="4" t="n">
        <v>6</v>
      </c>
      <c r="B9" s="26"/>
      <c r="C9" s="26"/>
      <c r="D9" s="26"/>
      <c r="E9" s="26"/>
      <c r="F9" s="26"/>
      <c r="G9" s="26"/>
      <c r="H9" s="27" t="n">
        <f aca="false">IF(G9&gt;0,D9/G9*100,0)</f>
        <v>0</v>
      </c>
      <c r="I9" s="29"/>
      <c r="J9" s="26"/>
    </row>
    <row r="10" customFormat="false" ht="15" hidden="false" customHeight="false" outlineLevel="0" collapsed="false">
      <c r="A10" s="8" t="n">
        <v>7</v>
      </c>
      <c r="B10" s="22"/>
      <c r="C10" s="22"/>
      <c r="D10" s="22"/>
      <c r="E10" s="22"/>
      <c r="F10" s="22"/>
      <c r="G10" s="22"/>
      <c r="H10" s="23" t="n">
        <f aca="false">IF(G10&gt;0,D10/G10*100,0)</f>
        <v>0</v>
      </c>
      <c r="I10" s="25"/>
      <c r="J10" s="22"/>
    </row>
    <row r="11" customFormat="false" ht="15" hidden="false" customHeight="false" outlineLevel="0" collapsed="false">
      <c r="A11" s="4" t="n">
        <v>8</v>
      </c>
      <c r="B11" s="26"/>
      <c r="C11" s="26"/>
      <c r="D11" s="26"/>
      <c r="E11" s="26"/>
      <c r="F11" s="26"/>
      <c r="G11" s="26"/>
      <c r="H11" s="27" t="n">
        <f aca="false">IF(G11&gt;0,D11/G11*100,0)</f>
        <v>0</v>
      </c>
      <c r="I11" s="29"/>
      <c r="J11" s="26"/>
    </row>
    <row r="12" customFormat="false" ht="15" hidden="false" customHeight="false" outlineLevel="0" collapsed="false">
      <c r="A12" s="8" t="n">
        <v>9</v>
      </c>
      <c r="B12" s="22"/>
      <c r="C12" s="22"/>
      <c r="D12" s="22"/>
      <c r="E12" s="22"/>
      <c r="F12" s="22"/>
      <c r="G12" s="22"/>
      <c r="H12" s="23" t="n">
        <f aca="false">IF(G12&gt;0,D12/G12*100,0)</f>
        <v>0</v>
      </c>
      <c r="I12" s="25"/>
      <c r="J12" s="22"/>
    </row>
    <row r="13" customFormat="false" ht="15" hidden="false" customHeight="false" outlineLevel="0" collapsed="false">
      <c r="A13" s="4" t="n">
        <v>10</v>
      </c>
      <c r="B13" s="26"/>
      <c r="C13" s="26"/>
      <c r="D13" s="26"/>
      <c r="E13" s="26"/>
      <c r="F13" s="26"/>
      <c r="G13" s="26"/>
      <c r="H13" s="27" t="n">
        <f aca="false">IF(G13&gt;0,D13/G13*100,0)</f>
        <v>0</v>
      </c>
      <c r="I13" s="29"/>
      <c r="J13" s="26"/>
    </row>
    <row r="14" customFormat="false" ht="15" hidden="false" customHeight="false" outlineLevel="0" collapsed="false">
      <c r="A14" s="8" t="n">
        <v>11</v>
      </c>
      <c r="B14" s="22"/>
      <c r="C14" s="22"/>
      <c r="D14" s="22"/>
      <c r="E14" s="22"/>
      <c r="F14" s="22"/>
      <c r="G14" s="22"/>
      <c r="H14" s="23" t="n">
        <f aca="false">IF(G14&gt;0,D14/G14*100,0)</f>
        <v>0</v>
      </c>
      <c r="I14" s="25"/>
      <c r="J14" s="22"/>
    </row>
    <row r="15" customFormat="false" ht="15" hidden="false" customHeight="false" outlineLevel="0" collapsed="false">
      <c r="A15" s="4" t="n">
        <v>12</v>
      </c>
      <c r="B15" s="26"/>
      <c r="C15" s="26"/>
      <c r="D15" s="26"/>
      <c r="E15" s="26"/>
      <c r="F15" s="26"/>
      <c r="G15" s="26"/>
      <c r="H15" s="27" t="n">
        <f aca="false">IF(G15&gt;0,D15/G15*100,0)</f>
        <v>0</v>
      </c>
      <c r="I15" s="29"/>
      <c r="J15" s="26"/>
    </row>
    <row r="16" customFormat="false" ht="15" hidden="false" customHeight="false" outlineLevel="0" collapsed="false">
      <c r="A16" s="8" t="n">
        <v>13</v>
      </c>
      <c r="B16" s="22"/>
      <c r="C16" s="22"/>
      <c r="D16" s="22"/>
      <c r="E16" s="22"/>
      <c r="F16" s="22"/>
      <c r="G16" s="22"/>
      <c r="H16" s="23" t="n">
        <f aca="false">IF(G16&gt;0,D16/G16*100,0)</f>
        <v>0</v>
      </c>
      <c r="I16" s="25"/>
      <c r="J16" s="22"/>
    </row>
    <row r="17" customFormat="false" ht="15" hidden="false" customHeight="false" outlineLevel="0" collapsed="false">
      <c r="A17" s="4" t="n">
        <v>14</v>
      </c>
      <c r="B17" s="26"/>
      <c r="C17" s="26"/>
      <c r="D17" s="26"/>
      <c r="E17" s="26"/>
      <c r="F17" s="26"/>
      <c r="G17" s="26"/>
      <c r="H17" s="27" t="n">
        <f aca="false">IF(G17&gt;0,D17/G17*100,0)</f>
        <v>0</v>
      </c>
      <c r="I17" s="29"/>
      <c r="J17" s="26"/>
    </row>
    <row r="18" customFormat="false" ht="15" hidden="false" customHeight="false" outlineLevel="0" collapsed="false">
      <c r="A18" s="8" t="n">
        <v>15</v>
      </c>
      <c r="B18" s="22"/>
      <c r="C18" s="22"/>
      <c r="D18" s="22"/>
      <c r="E18" s="22"/>
      <c r="F18" s="22"/>
      <c r="G18" s="22"/>
      <c r="H18" s="23" t="n">
        <f aca="false">IF(G18&gt;0,D18/G18*100,0)</f>
        <v>0</v>
      </c>
      <c r="I18" s="25"/>
      <c r="J18" s="22"/>
    </row>
    <row r="19" customFormat="false" ht="15" hidden="false" customHeight="false" outlineLevel="0" collapsed="false">
      <c r="A19" s="4" t="n">
        <v>16</v>
      </c>
      <c r="B19" s="26"/>
      <c r="C19" s="26"/>
      <c r="D19" s="26"/>
      <c r="E19" s="26"/>
      <c r="F19" s="26"/>
      <c r="G19" s="26"/>
      <c r="H19" s="27" t="n">
        <f aca="false">IF(G19&gt;0,D19/G19*100,0)</f>
        <v>0</v>
      </c>
      <c r="I19" s="29"/>
      <c r="J19" s="26"/>
    </row>
    <row r="20" customFormat="false" ht="15" hidden="false" customHeight="false" outlineLevel="0" collapsed="false">
      <c r="A20" s="8" t="n">
        <v>17</v>
      </c>
      <c r="B20" s="22"/>
      <c r="C20" s="22"/>
      <c r="D20" s="22"/>
      <c r="E20" s="22"/>
      <c r="F20" s="22"/>
      <c r="G20" s="22"/>
      <c r="H20" s="23" t="n">
        <f aca="false">IF(G20&gt;0,D20/G20*100,0)</f>
        <v>0</v>
      </c>
      <c r="I20" s="25"/>
      <c r="J20" s="22"/>
    </row>
    <row r="21" customFormat="false" ht="15" hidden="false" customHeight="false" outlineLevel="0" collapsed="false">
      <c r="A21" s="4" t="n">
        <v>18</v>
      </c>
      <c r="B21" s="26"/>
      <c r="C21" s="26"/>
      <c r="D21" s="26"/>
      <c r="E21" s="26"/>
      <c r="F21" s="26"/>
      <c r="G21" s="26"/>
      <c r="H21" s="27" t="n">
        <f aca="false">IF(G21&gt;0,D21/G21*100,0)</f>
        <v>0</v>
      </c>
      <c r="I21" s="29"/>
      <c r="J21" s="26"/>
    </row>
    <row r="22" customFormat="false" ht="15" hidden="false" customHeight="false" outlineLevel="0" collapsed="false">
      <c r="A22" s="8" t="n">
        <v>19</v>
      </c>
      <c r="B22" s="22"/>
      <c r="C22" s="22"/>
      <c r="D22" s="22"/>
      <c r="E22" s="22"/>
      <c r="F22" s="22"/>
      <c r="G22" s="22"/>
      <c r="H22" s="23" t="n">
        <f aca="false">IF(G22&gt;0,D22/G22*100,0)</f>
        <v>0</v>
      </c>
      <c r="I22" s="25"/>
      <c r="J22" s="22"/>
    </row>
    <row r="23" customFormat="false" ht="15" hidden="false" customHeight="false" outlineLevel="0" collapsed="false">
      <c r="A23" s="4" t="n">
        <v>20</v>
      </c>
      <c r="B23" s="26"/>
      <c r="C23" s="26"/>
      <c r="D23" s="26"/>
      <c r="E23" s="26"/>
      <c r="F23" s="26"/>
      <c r="G23" s="26"/>
      <c r="H23" s="27" t="n">
        <f aca="false">IF(G23&gt;0,D23/G23*100,0)</f>
        <v>0</v>
      </c>
      <c r="I23" s="29"/>
      <c r="J23" s="26"/>
    </row>
    <row r="24" customFormat="false" ht="15" hidden="false" customHeight="false" outlineLevel="0" collapsed="false">
      <c r="A24" s="8" t="n">
        <v>21</v>
      </c>
      <c r="B24" s="22"/>
      <c r="C24" s="22"/>
      <c r="D24" s="22"/>
      <c r="E24" s="22"/>
      <c r="F24" s="22"/>
      <c r="G24" s="22"/>
      <c r="H24" s="23" t="n">
        <f aca="false">IF(G24&gt;0,D24/G24*100,0)</f>
        <v>0</v>
      </c>
      <c r="I24" s="25"/>
      <c r="J24" s="22"/>
    </row>
    <row r="25" customFormat="false" ht="15" hidden="false" customHeight="false" outlineLevel="0" collapsed="false">
      <c r="A25" s="4" t="n">
        <v>22</v>
      </c>
      <c r="B25" s="26"/>
      <c r="C25" s="26"/>
      <c r="D25" s="26"/>
      <c r="E25" s="26"/>
      <c r="F25" s="26"/>
      <c r="G25" s="26"/>
      <c r="H25" s="27" t="n">
        <f aca="false">IF(G25&gt;0,D25/G25*100,0)</f>
        <v>0</v>
      </c>
      <c r="I25" s="29"/>
      <c r="J25" s="26"/>
    </row>
    <row r="26" customFormat="false" ht="15" hidden="false" customHeight="false" outlineLevel="0" collapsed="false">
      <c r="A26" s="8" t="n">
        <v>23</v>
      </c>
      <c r="B26" s="22"/>
      <c r="C26" s="22"/>
      <c r="D26" s="22"/>
      <c r="E26" s="22"/>
      <c r="F26" s="22"/>
      <c r="G26" s="22"/>
      <c r="H26" s="23" t="n">
        <f aca="false">IF(G26&gt;0,D26/G26*100,0)</f>
        <v>0</v>
      </c>
      <c r="I26" s="25"/>
      <c r="J26" s="22"/>
    </row>
    <row r="27" customFormat="false" ht="15" hidden="false" customHeight="false" outlineLevel="0" collapsed="false">
      <c r="A27" s="4" t="n">
        <v>24</v>
      </c>
      <c r="B27" s="26"/>
      <c r="C27" s="26"/>
      <c r="D27" s="26"/>
      <c r="E27" s="26"/>
      <c r="F27" s="26"/>
      <c r="G27" s="26"/>
      <c r="H27" s="27" t="n">
        <f aca="false">IF(G27&gt;0,D27/G27*100,0)</f>
        <v>0</v>
      </c>
      <c r="I27" s="29"/>
      <c r="J27" s="26"/>
    </row>
    <row r="28" customFormat="false" ht="15" hidden="false" customHeight="false" outlineLevel="0" collapsed="false">
      <c r="A28" s="8" t="n">
        <v>25</v>
      </c>
      <c r="B28" s="22"/>
      <c r="C28" s="22"/>
      <c r="D28" s="22"/>
      <c r="E28" s="22"/>
      <c r="F28" s="22"/>
      <c r="G28" s="22"/>
      <c r="H28" s="23" t="n">
        <f aca="false">IF(G28&gt;0,D28/G28*100,0)</f>
        <v>0</v>
      </c>
      <c r="I28" s="25"/>
      <c r="J28" s="22"/>
    </row>
    <row r="29" customFormat="false" ht="15" hidden="false" customHeight="false" outlineLevel="0" collapsed="false">
      <c r="A29" s="4" t="n">
        <v>26</v>
      </c>
      <c r="B29" s="26"/>
      <c r="C29" s="26"/>
      <c r="D29" s="26"/>
      <c r="E29" s="26"/>
      <c r="F29" s="26"/>
      <c r="G29" s="26"/>
      <c r="H29" s="27" t="n">
        <f aca="false">IF(G29&gt;0,D29/G29*100,0)</f>
        <v>0</v>
      </c>
      <c r="I29" s="29"/>
      <c r="J29" s="26"/>
    </row>
    <row r="30" customFormat="false" ht="15" hidden="false" customHeight="false" outlineLevel="0" collapsed="false">
      <c r="A30" s="8" t="n">
        <v>27</v>
      </c>
      <c r="B30" s="22"/>
      <c r="C30" s="22"/>
      <c r="D30" s="22"/>
      <c r="E30" s="22"/>
      <c r="F30" s="22"/>
      <c r="G30" s="22"/>
      <c r="H30" s="23" t="n">
        <f aca="false">IF(G30&gt;0,D30/G30*100,0)</f>
        <v>0</v>
      </c>
      <c r="I30" s="25"/>
      <c r="J30" s="22"/>
    </row>
    <row r="31" customFormat="false" ht="15" hidden="false" customHeight="false" outlineLevel="0" collapsed="false">
      <c r="A31" s="4" t="n">
        <v>28</v>
      </c>
      <c r="B31" s="26"/>
      <c r="C31" s="26"/>
      <c r="D31" s="26"/>
      <c r="E31" s="26"/>
      <c r="F31" s="26"/>
      <c r="G31" s="26"/>
      <c r="H31" s="27" t="n">
        <f aca="false">IF(G31&gt;0,D31/G31*100,0)</f>
        <v>0</v>
      </c>
      <c r="I31" s="29"/>
      <c r="J31" s="26"/>
    </row>
    <row r="32" customFormat="false" ht="15" hidden="false" customHeight="false" outlineLevel="0" collapsed="false">
      <c r="A32" s="8" t="n">
        <v>29</v>
      </c>
      <c r="B32" s="22"/>
      <c r="C32" s="22"/>
      <c r="D32" s="22"/>
      <c r="E32" s="22"/>
      <c r="F32" s="22"/>
      <c r="G32" s="22"/>
      <c r="H32" s="23" t="n">
        <f aca="false">IF(G32&gt;0,D32/G32*100,0)</f>
        <v>0</v>
      </c>
      <c r="I32" s="25"/>
      <c r="J32" s="22"/>
    </row>
    <row r="33" customFormat="false" ht="15" hidden="false" customHeight="false" outlineLevel="0" collapsed="false">
      <c r="A33" s="4" t="n">
        <v>30</v>
      </c>
      <c r="B33" s="26"/>
      <c r="C33" s="26"/>
      <c r="D33" s="26"/>
      <c r="E33" s="26"/>
      <c r="F33" s="26"/>
      <c r="G33" s="26"/>
      <c r="H33" s="27" t="n">
        <f aca="false">IF(G33&gt;0,D33/G33*100,0)</f>
        <v>0</v>
      </c>
      <c r="I33" s="29"/>
      <c r="J33" s="26"/>
    </row>
    <row r="35" customFormat="false" ht="25.5" hidden="false" customHeight="true" outlineLevel="0" collapsed="false">
      <c r="A35" s="12" t="s">
        <v>85</v>
      </c>
      <c r="B35" s="12"/>
      <c r="C35" s="12"/>
      <c r="D35" s="12"/>
      <c r="E35" s="12"/>
      <c r="F35" s="12"/>
      <c r="G35" s="12"/>
      <c r="H35" s="12"/>
      <c r="I35" s="12"/>
      <c r="J35" s="12"/>
    </row>
    <row r="36" customFormat="false" ht="15" hidden="false" customHeight="false" outlineLevel="0" collapsed="false">
      <c r="A36" s="13" t="s">
        <v>49</v>
      </c>
      <c r="B36" s="13" t="s">
        <v>50</v>
      </c>
      <c r="C36" s="13" t="s">
        <v>51</v>
      </c>
      <c r="D36" s="13" t="s">
        <v>86</v>
      </c>
      <c r="E36" s="13" t="s">
        <v>87</v>
      </c>
      <c r="F36" s="13" t="s">
        <v>88</v>
      </c>
      <c r="G36" s="13" t="s">
        <v>89</v>
      </c>
      <c r="H36" s="13" t="s">
        <v>90</v>
      </c>
      <c r="I36" s="13" t="s">
        <v>91</v>
      </c>
      <c r="J36" s="13" t="s">
        <v>92</v>
      </c>
    </row>
    <row r="37" customFormat="false" ht="15" hidden="false" customHeight="false" outlineLevel="0" collapsed="false">
      <c r="A37" s="4" t="n">
        <v>1</v>
      </c>
      <c r="B37" s="26"/>
      <c r="C37" s="26"/>
      <c r="D37" s="26"/>
      <c r="E37" s="26"/>
      <c r="F37" s="26"/>
      <c r="G37" s="26"/>
      <c r="H37" s="26"/>
      <c r="I37" s="7" t="n">
        <f aca="false">IF(AND(D37&gt;0,H37&gt;0),H37-D37,0)</f>
        <v>0</v>
      </c>
      <c r="J37" s="27" t="n">
        <f aca="false">IFERROR(IF(D37&gt;0,(H37-D37)/D37*100,0),0)</f>
        <v>0</v>
      </c>
    </row>
    <row r="38" customFormat="false" ht="15" hidden="false" customHeight="false" outlineLevel="0" collapsed="false">
      <c r="A38" s="8" t="n">
        <v>2</v>
      </c>
      <c r="B38" s="22"/>
      <c r="C38" s="22"/>
      <c r="D38" s="22"/>
      <c r="E38" s="22"/>
      <c r="F38" s="22"/>
      <c r="G38" s="22"/>
      <c r="H38" s="22"/>
      <c r="I38" s="11" t="n">
        <f aca="false">IF(AND(D38&gt;0,H38&gt;0),H38-D38,0)</f>
        <v>0</v>
      </c>
      <c r="J38" s="23" t="n">
        <f aca="false">IFERROR(IF(D38&gt;0,(H38-D38)/D38*100,0),0)</f>
        <v>0</v>
      </c>
    </row>
    <row r="39" customFormat="false" ht="15" hidden="false" customHeight="false" outlineLevel="0" collapsed="false">
      <c r="A39" s="4" t="n">
        <v>3</v>
      </c>
      <c r="B39" s="26"/>
      <c r="C39" s="26"/>
      <c r="D39" s="26"/>
      <c r="E39" s="26"/>
      <c r="F39" s="26"/>
      <c r="G39" s="26"/>
      <c r="H39" s="26"/>
      <c r="I39" s="7" t="n">
        <f aca="false">IF(AND(D39&gt;0,H39&gt;0),H39-D39,0)</f>
        <v>0</v>
      </c>
      <c r="J39" s="27" t="n">
        <f aca="false">IFERROR(IF(D39&gt;0,(H39-D39)/D39*100,0),0)</f>
        <v>0</v>
      </c>
    </row>
    <row r="40" customFormat="false" ht="15" hidden="false" customHeight="false" outlineLevel="0" collapsed="false">
      <c r="A40" s="8" t="n">
        <v>4</v>
      </c>
      <c r="B40" s="22"/>
      <c r="C40" s="22"/>
      <c r="D40" s="22"/>
      <c r="E40" s="22"/>
      <c r="F40" s="22"/>
      <c r="G40" s="22"/>
      <c r="H40" s="22"/>
      <c r="I40" s="11" t="n">
        <f aca="false">IF(AND(D40&gt;0,H40&gt;0),H40-D40,0)</f>
        <v>0</v>
      </c>
      <c r="J40" s="23" t="n">
        <f aca="false">IFERROR(IF(D40&gt;0,(H40-D40)/D40*100,0),0)</f>
        <v>0</v>
      </c>
    </row>
    <row r="41" customFormat="false" ht="15" hidden="false" customHeight="false" outlineLevel="0" collapsed="false">
      <c r="A41" s="4" t="n">
        <v>5</v>
      </c>
      <c r="B41" s="26"/>
      <c r="C41" s="26"/>
      <c r="D41" s="26"/>
      <c r="E41" s="26"/>
      <c r="F41" s="26"/>
      <c r="G41" s="26"/>
      <c r="H41" s="26"/>
      <c r="I41" s="7" t="n">
        <f aca="false">IF(AND(D41&gt;0,H41&gt;0),H41-D41,0)</f>
        <v>0</v>
      </c>
      <c r="J41" s="27" t="n">
        <f aca="false">IFERROR(IF(D41&gt;0,(H41-D41)/D41*100,0),0)</f>
        <v>0</v>
      </c>
    </row>
    <row r="42" customFormat="false" ht="15" hidden="false" customHeight="false" outlineLevel="0" collapsed="false">
      <c r="A42" s="8" t="n">
        <v>6</v>
      </c>
      <c r="B42" s="22"/>
      <c r="C42" s="22"/>
      <c r="D42" s="22"/>
      <c r="E42" s="22"/>
      <c r="F42" s="22"/>
      <c r="G42" s="22"/>
      <c r="H42" s="22"/>
      <c r="I42" s="11" t="n">
        <f aca="false">IF(AND(D42&gt;0,H42&gt;0),H42-D42,0)</f>
        <v>0</v>
      </c>
      <c r="J42" s="23" t="n">
        <f aca="false">IFERROR(IF(D42&gt;0,(H42-D42)/D42*100,0),0)</f>
        <v>0</v>
      </c>
    </row>
    <row r="43" customFormat="false" ht="15" hidden="false" customHeight="false" outlineLevel="0" collapsed="false">
      <c r="A43" s="4" t="n">
        <v>7</v>
      </c>
      <c r="B43" s="26"/>
      <c r="C43" s="26"/>
      <c r="D43" s="26"/>
      <c r="E43" s="26"/>
      <c r="F43" s="26"/>
      <c r="G43" s="26"/>
      <c r="H43" s="26"/>
      <c r="I43" s="7" t="n">
        <f aca="false">IF(AND(D43&gt;0,H43&gt;0),H43-D43,0)</f>
        <v>0</v>
      </c>
      <c r="J43" s="27" t="n">
        <f aca="false">IFERROR(IF(D43&gt;0,(H43-D43)/D43*100,0),0)</f>
        <v>0</v>
      </c>
    </row>
    <row r="44" customFormat="false" ht="15" hidden="false" customHeight="false" outlineLevel="0" collapsed="false">
      <c r="A44" s="8" t="n">
        <v>8</v>
      </c>
      <c r="B44" s="22"/>
      <c r="C44" s="22"/>
      <c r="D44" s="22"/>
      <c r="E44" s="22"/>
      <c r="F44" s="22"/>
      <c r="G44" s="22"/>
      <c r="H44" s="22"/>
      <c r="I44" s="11" t="n">
        <f aca="false">IF(AND(D44&gt;0,H44&gt;0),H44-D44,0)</f>
        <v>0</v>
      </c>
      <c r="J44" s="23" t="n">
        <f aca="false">IFERROR(IF(D44&gt;0,(H44-D44)/D44*100,0),0)</f>
        <v>0</v>
      </c>
    </row>
    <row r="45" customFormat="false" ht="15" hidden="false" customHeight="false" outlineLevel="0" collapsed="false">
      <c r="A45" s="4" t="n">
        <v>9</v>
      </c>
      <c r="B45" s="26"/>
      <c r="C45" s="26"/>
      <c r="D45" s="26"/>
      <c r="E45" s="26"/>
      <c r="F45" s="26"/>
      <c r="G45" s="26"/>
      <c r="H45" s="26"/>
      <c r="I45" s="7" t="n">
        <f aca="false">IF(AND(D45&gt;0,H45&gt;0),H45-D45,0)</f>
        <v>0</v>
      </c>
      <c r="J45" s="27" t="n">
        <f aca="false">IFERROR(IF(D45&gt;0,(H45-D45)/D45*100,0),0)</f>
        <v>0</v>
      </c>
    </row>
    <row r="46" customFormat="false" ht="15" hidden="false" customHeight="false" outlineLevel="0" collapsed="false">
      <c r="A46" s="8" t="n">
        <v>10</v>
      </c>
      <c r="B46" s="22"/>
      <c r="C46" s="22"/>
      <c r="D46" s="22"/>
      <c r="E46" s="22"/>
      <c r="F46" s="22"/>
      <c r="G46" s="22"/>
      <c r="H46" s="22"/>
      <c r="I46" s="11" t="n">
        <f aca="false">IF(AND(D46&gt;0,H46&gt;0),H46-D46,0)</f>
        <v>0</v>
      </c>
      <c r="J46" s="23" t="n">
        <f aca="false">IFERROR(IF(D46&gt;0,(H46-D46)/D46*100,0),0)</f>
        <v>0</v>
      </c>
    </row>
    <row r="47" customFormat="false" ht="15" hidden="false" customHeight="false" outlineLevel="0" collapsed="false">
      <c r="A47" s="4" t="n">
        <v>11</v>
      </c>
      <c r="B47" s="26"/>
      <c r="C47" s="26"/>
      <c r="D47" s="26"/>
      <c r="E47" s="26"/>
      <c r="F47" s="26"/>
      <c r="G47" s="26"/>
      <c r="H47" s="26"/>
      <c r="I47" s="7" t="n">
        <f aca="false">IF(AND(D47&gt;0,H47&gt;0),H47-D47,0)</f>
        <v>0</v>
      </c>
      <c r="J47" s="27" t="n">
        <f aca="false">IFERROR(IF(D47&gt;0,(H47-D47)/D47*100,0),0)</f>
        <v>0</v>
      </c>
    </row>
    <row r="48" customFormat="false" ht="15" hidden="false" customHeight="false" outlineLevel="0" collapsed="false">
      <c r="A48" s="8" t="n">
        <v>12</v>
      </c>
      <c r="B48" s="22"/>
      <c r="C48" s="22"/>
      <c r="D48" s="22"/>
      <c r="E48" s="22"/>
      <c r="F48" s="22"/>
      <c r="G48" s="22"/>
      <c r="H48" s="22"/>
      <c r="I48" s="11" t="n">
        <f aca="false">IF(AND(D48&gt;0,H48&gt;0),H48-D48,0)</f>
        <v>0</v>
      </c>
      <c r="J48" s="23" t="n">
        <f aca="false">IFERROR(IF(D48&gt;0,(H48-D48)/D48*100,0),0)</f>
        <v>0</v>
      </c>
    </row>
    <row r="49" customFormat="false" ht="15" hidden="false" customHeight="false" outlineLevel="0" collapsed="false">
      <c r="A49" s="4" t="n">
        <v>13</v>
      </c>
      <c r="B49" s="26"/>
      <c r="C49" s="26"/>
      <c r="D49" s="26"/>
      <c r="E49" s="26"/>
      <c r="F49" s="26"/>
      <c r="G49" s="26"/>
      <c r="H49" s="26"/>
      <c r="I49" s="7" t="n">
        <f aca="false">IF(AND(D49&gt;0,H49&gt;0),H49-D49,0)</f>
        <v>0</v>
      </c>
      <c r="J49" s="27" t="n">
        <f aca="false">IFERROR(IF(D49&gt;0,(H49-D49)/D49*100,0),0)</f>
        <v>0</v>
      </c>
    </row>
    <row r="50" customFormat="false" ht="15" hidden="false" customHeight="false" outlineLevel="0" collapsed="false">
      <c r="A50" s="8" t="n">
        <v>14</v>
      </c>
      <c r="B50" s="22"/>
      <c r="C50" s="22"/>
      <c r="D50" s="22"/>
      <c r="E50" s="22"/>
      <c r="F50" s="22"/>
      <c r="G50" s="22"/>
      <c r="H50" s="22"/>
      <c r="I50" s="11" t="n">
        <f aca="false">IF(AND(D50&gt;0,H50&gt;0),H50-D50,0)</f>
        <v>0</v>
      </c>
      <c r="J50" s="23" t="n">
        <f aca="false">IFERROR(IF(D50&gt;0,(H50-D50)/D50*100,0),0)</f>
        <v>0</v>
      </c>
    </row>
    <row r="51" customFormat="false" ht="15" hidden="false" customHeight="false" outlineLevel="0" collapsed="false">
      <c r="A51" s="4" t="n">
        <v>15</v>
      </c>
      <c r="B51" s="26"/>
      <c r="C51" s="26"/>
      <c r="D51" s="26"/>
      <c r="E51" s="26"/>
      <c r="F51" s="26"/>
      <c r="G51" s="26"/>
      <c r="H51" s="26"/>
      <c r="I51" s="7" t="n">
        <f aca="false">IF(AND(D51&gt;0,H51&gt;0),H51-D51,0)</f>
        <v>0</v>
      </c>
      <c r="J51" s="27" t="n">
        <f aca="false">IFERROR(IF(D51&gt;0,(H51-D51)/D51*100,0),0)</f>
        <v>0</v>
      </c>
    </row>
    <row r="52" customFormat="false" ht="15" hidden="false" customHeight="false" outlineLevel="0" collapsed="false">
      <c r="A52" s="8" t="n">
        <v>16</v>
      </c>
      <c r="B52" s="22"/>
      <c r="C52" s="22"/>
      <c r="D52" s="22"/>
      <c r="E52" s="22"/>
      <c r="F52" s="22"/>
      <c r="G52" s="22"/>
      <c r="H52" s="22"/>
      <c r="I52" s="11" t="n">
        <f aca="false">IF(AND(D52&gt;0,H52&gt;0),H52-D52,0)</f>
        <v>0</v>
      </c>
      <c r="J52" s="23" t="n">
        <f aca="false">IFERROR(IF(D52&gt;0,(H52-D52)/D52*100,0),0)</f>
        <v>0</v>
      </c>
    </row>
    <row r="53" customFormat="false" ht="15" hidden="false" customHeight="false" outlineLevel="0" collapsed="false">
      <c r="A53" s="4" t="n">
        <v>17</v>
      </c>
      <c r="B53" s="26"/>
      <c r="C53" s="26"/>
      <c r="D53" s="26"/>
      <c r="E53" s="26"/>
      <c r="F53" s="26"/>
      <c r="G53" s="26"/>
      <c r="H53" s="26"/>
      <c r="I53" s="7" t="n">
        <f aca="false">IF(AND(D53&gt;0,H53&gt;0),H53-D53,0)</f>
        <v>0</v>
      </c>
      <c r="J53" s="27" t="n">
        <f aca="false">IFERROR(IF(D53&gt;0,(H53-D53)/D53*100,0),0)</f>
        <v>0</v>
      </c>
    </row>
    <row r="54" customFormat="false" ht="15" hidden="false" customHeight="false" outlineLevel="0" collapsed="false">
      <c r="A54" s="8" t="n">
        <v>18</v>
      </c>
      <c r="B54" s="22"/>
      <c r="C54" s="22"/>
      <c r="D54" s="22"/>
      <c r="E54" s="22"/>
      <c r="F54" s="22"/>
      <c r="G54" s="22"/>
      <c r="H54" s="22"/>
      <c r="I54" s="11" t="n">
        <f aca="false">IF(AND(D54&gt;0,H54&gt;0),H54-D54,0)</f>
        <v>0</v>
      </c>
      <c r="J54" s="23" t="n">
        <f aca="false">IFERROR(IF(D54&gt;0,(H54-D54)/D54*100,0),0)</f>
        <v>0</v>
      </c>
    </row>
    <row r="55" customFormat="false" ht="15" hidden="false" customHeight="false" outlineLevel="0" collapsed="false">
      <c r="A55" s="4" t="n">
        <v>19</v>
      </c>
      <c r="B55" s="26"/>
      <c r="C55" s="26"/>
      <c r="D55" s="26"/>
      <c r="E55" s="26"/>
      <c r="F55" s="26"/>
      <c r="G55" s="26"/>
      <c r="H55" s="26"/>
      <c r="I55" s="7" t="n">
        <f aca="false">IF(AND(D55&gt;0,H55&gt;0),H55-D55,0)</f>
        <v>0</v>
      </c>
      <c r="J55" s="27" t="n">
        <f aca="false">IFERROR(IF(D55&gt;0,(H55-D55)/D55*100,0),0)</f>
        <v>0</v>
      </c>
    </row>
    <row r="56" customFormat="false" ht="15" hidden="false" customHeight="false" outlineLevel="0" collapsed="false">
      <c r="A56" s="8" t="n">
        <v>20</v>
      </c>
      <c r="B56" s="22"/>
      <c r="C56" s="22"/>
      <c r="D56" s="22"/>
      <c r="E56" s="22"/>
      <c r="F56" s="22"/>
      <c r="G56" s="22"/>
      <c r="H56" s="22"/>
      <c r="I56" s="11" t="n">
        <f aca="false">IF(AND(D56&gt;0,H56&gt;0),H56-D56,0)</f>
        <v>0</v>
      </c>
      <c r="J56" s="23" t="n">
        <f aca="false">IFERROR(IF(D56&gt;0,(H56-D56)/D56*100,0),0)</f>
        <v>0</v>
      </c>
    </row>
  </sheetData>
  <mergeCells count="3">
    <mergeCell ref="A1:J1"/>
    <mergeCell ref="A2:J2"/>
    <mergeCell ref="A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I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22"/>
    <col collapsed="false" customWidth="true" hidden="false" outlineLevel="0" max="5" min="4" style="0" width="18"/>
    <col collapsed="false" customWidth="true" hidden="false" outlineLevel="0" max="7" min="6" style="0" width="16"/>
    <col collapsed="false" customWidth="true" hidden="false" outlineLevel="0" max="8" min="8" style="0" width="18"/>
    <col collapsed="false" customWidth="true" hidden="false" outlineLevel="0" max="9" min="9" style="0" width="14"/>
  </cols>
  <sheetData>
    <row r="1" customFormat="false" ht="33.75" hidden="false" customHeight="true" outlineLevel="0" collapsed="false">
      <c r="A1" s="50" t="s">
        <v>93</v>
      </c>
      <c r="B1" s="50"/>
      <c r="C1" s="50"/>
      <c r="D1" s="50"/>
      <c r="E1" s="50"/>
      <c r="F1" s="50"/>
      <c r="G1" s="50"/>
      <c r="H1" s="50"/>
      <c r="I1" s="50"/>
    </row>
    <row r="2" customFormat="false" ht="25.5" hidden="false" customHeight="true" outlineLevel="0" collapsed="false">
      <c r="A2" s="51" t="s">
        <v>94</v>
      </c>
      <c r="B2" s="51"/>
      <c r="C2" s="51"/>
      <c r="D2" s="51"/>
      <c r="E2" s="51"/>
      <c r="F2" s="51"/>
      <c r="G2" s="51"/>
      <c r="H2" s="51"/>
      <c r="I2" s="51"/>
    </row>
    <row r="3" customFormat="false" ht="15" hidden="false" customHeight="false" outlineLevel="0" collapsed="false">
      <c r="A3" s="52" t="s">
        <v>49</v>
      </c>
      <c r="B3" s="52" t="s">
        <v>95</v>
      </c>
      <c r="C3" s="52" t="s">
        <v>96</v>
      </c>
      <c r="D3" s="52" t="s">
        <v>82</v>
      </c>
      <c r="E3" s="52" t="s">
        <v>97</v>
      </c>
      <c r="F3" s="52" t="s">
        <v>98</v>
      </c>
      <c r="G3" s="52" t="s">
        <v>99</v>
      </c>
      <c r="H3" s="52" t="s">
        <v>100</v>
      </c>
      <c r="I3" s="52" t="s">
        <v>101</v>
      </c>
    </row>
    <row r="4" customFormat="false" ht="15" hidden="false" customHeight="false" outlineLevel="0" collapsed="false">
      <c r="A4" s="8" t="n">
        <v>1</v>
      </c>
      <c r="B4" s="22"/>
      <c r="C4" s="22"/>
      <c r="D4" s="22"/>
      <c r="E4" s="22"/>
      <c r="F4" s="53" t="n">
        <f aca="false">IF(D4&gt;0,E4/D4,0)</f>
        <v>0</v>
      </c>
      <c r="G4" s="22"/>
      <c r="H4" s="22"/>
      <c r="I4" s="11" t="str">
        <f aca="false">IF(F4&lt;3,"High",IF(F4&lt;6,"Medium",IF(F4&lt;10,"Low","Strong")))</f>
        <v>High</v>
      </c>
    </row>
    <row r="5" customFormat="false" ht="15" hidden="false" customHeight="false" outlineLevel="0" collapsed="false">
      <c r="A5" s="4" t="n">
        <v>2</v>
      </c>
      <c r="B5" s="26"/>
      <c r="C5" s="26"/>
      <c r="D5" s="26"/>
      <c r="E5" s="26"/>
      <c r="F5" s="54" t="n">
        <f aca="false">IF(D5&gt;0,E5/D5,0)</f>
        <v>0</v>
      </c>
      <c r="G5" s="26"/>
      <c r="H5" s="26"/>
      <c r="I5" s="7" t="str">
        <f aca="false">IF(F5&lt;3,"High",IF(F5&lt;6,"Medium",IF(F5&lt;10,"Low","Strong")))</f>
        <v>High</v>
      </c>
    </row>
    <row r="6" customFormat="false" ht="15" hidden="false" customHeight="false" outlineLevel="0" collapsed="false">
      <c r="A6" s="8" t="n">
        <v>3</v>
      </c>
      <c r="B6" s="22"/>
      <c r="C6" s="22"/>
      <c r="D6" s="22"/>
      <c r="E6" s="22"/>
      <c r="F6" s="53" t="n">
        <f aca="false">IF(D6&gt;0,E6/D6,0)</f>
        <v>0</v>
      </c>
      <c r="G6" s="22"/>
      <c r="H6" s="22"/>
      <c r="I6" s="11" t="str">
        <f aca="false">IF(F6&lt;3,"High",IF(F6&lt;6,"Medium",IF(F6&lt;10,"Low","Strong")))</f>
        <v>High</v>
      </c>
    </row>
    <row r="7" customFormat="false" ht="15" hidden="false" customHeight="false" outlineLevel="0" collapsed="false">
      <c r="A7" s="4" t="n">
        <v>4</v>
      </c>
      <c r="B7" s="26"/>
      <c r="C7" s="26"/>
      <c r="D7" s="26"/>
      <c r="E7" s="26"/>
      <c r="F7" s="54" t="n">
        <f aca="false">IF(D7&gt;0,E7/D7,0)</f>
        <v>0</v>
      </c>
      <c r="G7" s="26"/>
      <c r="H7" s="26"/>
      <c r="I7" s="7" t="str">
        <f aca="false">IF(F7&lt;3,"High",IF(F7&lt;6,"Medium",IF(F7&lt;10,"Low","Strong")))</f>
        <v>High</v>
      </c>
    </row>
    <row r="8" customFormat="false" ht="15" hidden="false" customHeight="false" outlineLevel="0" collapsed="false">
      <c r="A8" s="8" t="n">
        <v>5</v>
      </c>
      <c r="B8" s="22"/>
      <c r="C8" s="22"/>
      <c r="D8" s="22"/>
      <c r="E8" s="22"/>
      <c r="F8" s="53" t="n">
        <f aca="false">IF(D8&gt;0,E8/D8,0)</f>
        <v>0</v>
      </c>
      <c r="G8" s="22"/>
      <c r="H8" s="22"/>
      <c r="I8" s="11" t="str">
        <f aca="false">IF(F8&lt;3,"High",IF(F8&lt;6,"Medium",IF(F8&lt;10,"Low","Strong")))</f>
        <v>High</v>
      </c>
    </row>
    <row r="9" customFormat="false" ht="15" hidden="false" customHeight="false" outlineLevel="0" collapsed="false">
      <c r="A9" s="4" t="n">
        <v>6</v>
      </c>
      <c r="B9" s="26"/>
      <c r="C9" s="26"/>
      <c r="D9" s="26"/>
      <c r="E9" s="26"/>
      <c r="F9" s="54" t="n">
        <f aca="false">IF(D9&gt;0,E9/D9,0)</f>
        <v>0</v>
      </c>
      <c r="G9" s="26"/>
      <c r="H9" s="26"/>
      <c r="I9" s="7" t="str">
        <f aca="false">IF(F9&lt;3,"High",IF(F9&lt;6,"Medium",IF(F9&lt;10,"Low","Strong")))</f>
        <v>High</v>
      </c>
    </row>
    <row r="10" customFormat="false" ht="15" hidden="false" customHeight="false" outlineLevel="0" collapsed="false">
      <c r="A10" s="8" t="n">
        <v>7</v>
      </c>
      <c r="B10" s="22"/>
      <c r="C10" s="22"/>
      <c r="D10" s="22"/>
      <c r="E10" s="22"/>
      <c r="F10" s="53" t="n">
        <f aca="false">IF(D10&gt;0,E10/D10,0)</f>
        <v>0</v>
      </c>
      <c r="G10" s="22"/>
      <c r="H10" s="22"/>
      <c r="I10" s="11" t="str">
        <f aca="false">IF(F10&lt;3,"High",IF(F10&lt;6,"Medium",IF(F10&lt;10,"Low","Strong")))</f>
        <v>High</v>
      </c>
    </row>
    <row r="11" customFormat="false" ht="15" hidden="false" customHeight="false" outlineLevel="0" collapsed="false">
      <c r="A11" s="4" t="n">
        <v>8</v>
      </c>
      <c r="B11" s="26"/>
      <c r="C11" s="26"/>
      <c r="D11" s="26"/>
      <c r="E11" s="26"/>
      <c r="F11" s="54" t="n">
        <f aca="false">IF(D11&gt;0,E11/D11,0)</f>
        <v>0</v>
      </c>
      <c r="G11" s="26"/>
      <c r="H11" s="26"/>
      <c r="I11" s="7" t="str">
        <f aca="false">IF(F11&lt;3,"High",IF(F11&lt;6,"Medium",IF(F11&lt;10,"Low","Strong")))</f>
        <v>High</v>
      </c>
    </row>
    <row r="12" customFormat="false" ht="15" hidden="false" customHeight="false" outlineLevel="0" collapsed="false">
      <c r="A12" s="8" t="n">
        <v>9</v>
      </c>
      <c r="B12" s="22"/>
      <c r="C12" s="22"/>
      <c r="D12" s="22"/>
      <c r="E12" s="22"/>
      <c r="F12" s="53" t="n">
        <f aca="false">IF(D12&gt;0,E12/D12,0)</f>
        <v>0</v>
      </c>
      <c r="G12" s="22"/>
      <c r="H12" s="22"/>
      <c r="I12" s="11" t="str">
        <f aca="false">IF(F12&lt;3,"High",IF(F12&lt;6,"Medium",IF(F12&lt;10,"Low","Strong")))</f>
        <v>High</v>
      </c>
    </row>
    <row r="13" customFormat="false" ht="15" hidden="false" customHeight="false" outlineLevel="0" collapsed="false">
      <c r="A13" s="4" t="n">
        <v>10</v>
      </c>
      <c r="B13" s="26"/>
      <c r="C13" s="26"/>
      <c r="D13" s="26"/>
      <c r="E13" s="26"/>
      <c r="F13" s="54" t="n">
        <f aca="false">IF(D13&gt;0,E13/D13,0)</f>
        <v>0</v>
      </c>
      <c r="G13" s="26"/>
      <c r="H13" s="26"/>
      <c r="I13" s="7" t="str">
        <f aca="false">IF(F13&lt;3,"High",IF(F13&lt;6,"Medium",IF(F13&lt;10,"Low","Strong")))</f>
        <v>High</v>
      </c>
    </row>
    <row r="14" customFormat="false" ht="15" hidden="false" customHeight="false" outlineLevel="0" collapsed="false">
      <c r="A14" s="8" t="n">
        <v>11</v>
      </c>
      <c r="B14" s="22"/>
      <c r="C14" s="22"/>
      <c r="D14" s="22"/>
      <c r="E14" s="22"/>
      <c r="F14" s="53" t="n">
        <f aca="false">IF(D14&gt;0,E14/D14,0)</f>
        <v>0</v>
      </c>
      <c r="G14" s="22"/>
      <c r="H14" s="22"/>
      <c r="I14" s="11" t="str">
        <f aca="false">IF(F14&lt;3,"High",IF(F14&lt;6,"Medium",IF(F14&lt;10,"Low","Strong")))</f>
        <v>High</v>
      </c>
    </row>
    <row r="15" customFormat="false" ht="15" hidden="false" customHeight="false" outlineLevel="0" collapsed="false">
      <c r="A15" s="4" t="n">
        <v>12</v>
      </c>
      <c r="B15" s="26"/>
      <c r="C15" s="26"/>
      <c r="D15" s="26"/>
      <c r="E15" s="26"/>
      <c r="F15" s="54" t="n">
        <f aca="false">IF(D15&gt;0,E15/D15,0)</f>
        <v>0</v>
      </c>
      <c r="G15" s="26"/>
      <c r="H15" s="26"/>
      <c r="I15" s="7" t="str">
        <f aca="false">IF(F15&lt;3,"High",IF(F15&lt;6,"Medium",IF(F15&lt;10,"Low","Strong")))</f>
        <v>High</v>
      </c>
    </row>
    <row r="16" customFormat="false" ht="15" hidden="false" customHeight="false" outlineLevel="0" collapsed="false">
      <c r="A16" s="8" t="n">
        <v>13</v>
      </c>
      <c r="B16" s="22"/>
      <c r="C16" s="22"/>
      <c r="D16" s="22"/>
      <c r="E16" s="22"/>
      <c r="F16" s="53" t="n">
        <f aca="false">IF(D16&gt;0,E16/D16,0)</f>
        <v>0</v>
      </c>
      <c r="G16" s="22"/>
      <c r="H16" s="22"/>
      <c r="I16" s="11" t="str">
        <f aca="false">IF(F16&lt;3,"High",IF(F16&lt;6,"Medium",IF(F16&lt;10,"Low","Strong")))</f>
        <v>High</v>
      </c>
    </row>
    <row r="17" customFormat="false" ht="15" hidden="false" customHeight="false" outlineLevel="0" collapsed="false">
      <c r="A17" s="4" t="n">
        <v>14</v>
      </c>
      <c r="B17" s="26"/>
      <c r="C17" s="26"/>
      <c r="D17" s="26"/>
      <c r="E17" s="26"/>
      <c r="F17" s="54" t="n">
        <f aca="false">IF(D17&gt;0,E17/D17,0)</f>
        <v>0</v>
      </c>
      <c r="G17" s="26"/>
      <c r="H17" s="26"/>
      <c r="I17" s="7" t="str">
        <f aca="false">IF(F17&lt;3,"High",IF(F17&lt;6,"Medium",IF(F17&lt;10,"Low","Strong")))</f>
        <v>High</v>
      </c>
    </row>
    <row r="18" customFormat="false" ht="15" hidden="false" customHeight="false" outlineLevel="0" collapsed="false">
      <c r="A18" s="8" t="n">
        <v>15</v>
      </c>
      <c r="B18" s="22"/>
      <c r="C18" s="22"/>
      <c r="D18" s="22"/>
      <c r="E18" s="22"/>
      <c r="F18" s="53" t="n">
        <f aca="false">IF(D18&gt;0,E18/D18,0)</f>
        <v>0</v>
      </c>
      <c r="G18" s="22"/>
      <c r="H18" s="22"/>
      <c r="I18" s="11" t="str">
        <f aca="false">IF(F18&lt;3,"High",IF(F18&lt;6,"Medium",IF(F18&lt;10,"Low","Strong")))</f>
        <v>High</v>
      </c>
    </row>
    <row r="19" customFormat="false" ht="15" hidden="false" customHeight="false" outlineLevel="0" collapsed="false">
      <c r="A19" s="4" t="n">
        <v>16</v>
      </c>
      <c r="B19" s="26"/>
      <c r="C19" s="26"/>
      <c r="D19" s="26"/>
      <c r="E19" s="26"/>
      <c r="F19" s="54" t="n">
        <f aca="false">IF(D19&gt;0,E19/D19,0)</f>
        <v>0</v>
      </c>
      <c r="G19" s="26"/>
      <c r="H19" s="26"/>
      <c r="I19" s="7" t="str">
        <f aca="false">IF(F19&lt;3,"High",IF(F19&lt;6,"Medium",IF(F19&lt;10,"Low","Strong")))</f>
        <v>High</v>
      </c>
    </row>
    <row r="20" customFormat="false" ht="15" hidden="false" customHeight="false" outlineLevel="0" collapsed="false">
      <c r="A20" s="8" t="n">
        <v>17</v>
      </c>
      <c r="B20" s="22"/>
      <c r="C20" s="22"/>
      <c r="D20" s="22"/>
      <c r="E20" s="22"/>
      <c r="F20" s="53" t="n">
        <f aca="false">IF(D20&gt;0,E20/D20,0)</f>
        <v>0</v>
      </c>
      <c r="G20" s="22"/>
      <c r="H20" s="22"/>
      <c r="I20" s="11" t="str">
        <f aca="false">IF(F20&lt;3,"High",IF(F20&lt;6,"Medium",IF(F20&lt;10,"Low","Strong")))</f>
        <v>High</v>
      </c>
    </row>
    <row r="21" customFormat="false" ht="15" hidden="false" customHeight="false" outlineLevel="0" collapsed="false">
      <c r="A21" s="4" t="n">
        <v>18</v>
      </c>
      <c r="B21" s="26"/>
      <c r="C21" s="26"/>
      <c r="D21" s="26"/>
      <c r="E21" s="26"/>
      <c r="F21" s="54" t="n">
        <f aca="false">IF(D21&gt;0,E21/D21,0)</f>
        <v>0</v>
      </c>
      <c r="G21" s="26"/>
      <c r="H21" s="26"/>
      <c r="I21" s="7" t="str">
        <f aca="false">IF(F21&lt;3,"High",IF(F21&lt;6,"Medium",IF(F21&lt;10,"Low","Strong")))</f>
        <v>High</v>
      </c>
    </row>
    <row r="22" customFormat="false" ht="15" hidden="false" customHeight="false" outlineLevel="0" collapsed="false">
      <c r="A22" s="8" t="n">
        <v>19</v>
      </c>
      <c r="B22" s="22"/>
      <c r="C22" s="22"/>
      <c r="D22" s="22"/>
      <c r="E22" s="22"/>
      <c r="F22" s="53" t="n">
        <f aca="false">IF(D22&gt;0,E22/D22,0)</f>
        <v>0</v>
      </c>
      <c r="G22" s="22"/>
      <c r="H22" s="22"/>
      <c r="I22" s="11" t="str">
        <f aca="false">IF(F22&lt;3,"High",IF(F22&lt;6,"Medium",IF(F22&lt;10,"Low","Strong")))</f>
        <v>High</v>
      </c>
    </row>
    <row r="23" customFormat="false" ht="15" hidden="false" customHeight="false" outlineLevel="0" collapsed="false">
      <c r="A23" s="4" t="n">
        <v>20</v>
      </c>
      <c r="B23" s="26"/>
      <c r="C23" s="26"/>
      <c r="D23" s="26"/>
      <c r="E23" s="26"/>
      <c r="F23" s="54" t="n">
        <f aca="false">IF(D23&gt;0,E23/D23,0)</f>
        <v>0</v>
      </c>
      <c r="G23" s="26"/>
      <c r="H23" s="26"/>
      <c r="I23" s="7" t="str">
        <f aca="false">IF(F23&lt;3,"High",IF(F23&lt;6,"Medium",IF(F23&lt;10,"Low","Strong")))</f>
        <v>High</v>
      </c>
    </row>
    <row r="24" customFormat="false" ht="15" hidden="false" customHeight="false" outlineLevel="0" collapsed="false">
      <c r="A24" s="8" t="n">
        <v>21</v>
      </c>
      <c r="B24" s="22"/>
      <c r="C24" s="22"/>
      <c r="D24" s="22"/>
      <c r="E24" s="22"/>
      <c r="F24" s="53" t="n">
        <f aca="false">IF(D24&gt;0,E24/D24,0)</f>
        <v>0</v>
      </c>
      <c r="G24" s="22"/>
      <c r="H24" s="22"/>
      <c r="I24" s="11" t="str">
        <f aca="false">IF(F24&lt;3,"High",IF(F24&lt;6,"Medium",IF(F24&lt;10,"Low","Strong")))</f>
        <v>High</v>
      </c>
    </row>
    <row r="25" customFormat="false" ht="15" hidden="false" customHeight="false" outlineLevel="0" collapsed="false">
      <c r="A25" s="4" t="n">
        <v>22</v>
      </c>
      <c r="B25" s="26"/>
      <c r="C25" s="26"/>
      <c r="D25" s="26"/>
      <c r="E25" s="26"/>
      <c r="F25" s="54" t="n">
        <f aca="false">IF(D25&gt;0,E25/D25,0)</f>
        <v>0</v>
      </c>
      <c r="G25" s="26"/>
      <c r="H25" s="26"/>
      <c r="I25" s="7" t="str">
        <f aca="false">IF(F25&lt;3,"High",IF(F25&lt;6,"Medium",IF(F25&lt;10,"Low","Strong")))</f>
        <v>High</v>
      </c>
    </row>
    <row r="26" customFormat="false" ht="15" hidden="false" customHeight="false" outlineLevel="0" collapsed="false">
      <c r="A26" s="8" t="n">
        <v>23</v>
      </c>
      <c r="B26" s="22"/>
      <c r="C26" s="22"/>
      <c r="D26" s="22"/>
      <c r="E26" s="22"/>
      <c r="F26" s="53" t="n">
        <f aca="false">IF(D26&gt;0,E26/D26,0)</f>
        <v>0</v>
      </c>
      <c r="G26" s="22"/>
      <c r="H26" s="22"/>
      <c r="I26" s="11" t="str">
        <f aca="false">IF(F26&lt;3,"High",IF(F26&lt;6,"Medium",IF(F26&lt;10,"Low","Strong")))</f>
        <v>High</v>
      </c>
    </row>
    <row r="27" customFormat="false" ht="15" hidden="false" customHeight="false" outlineLevel="0" collapsed="false">
      <c r="A27" s="4" t="n">
        <v>24</v>
      </c>
      <c r="B27" s="26"/>
      <c r="C27" s="26"/>
      <c r="D27" s="26"/>
      <c r="E27" s="26"/>
      <c r="F27" s="54" t="n">
        <f aca="false">IF(D27&gt;0,E27/D27,0)</f>
        <v>0</v>
      </c>
      <c r="G27" s="26"/>
      <c r="H27" s="26"/>
      <c r="I27" s="7" t="str">
        <f aca="false">IF(F27&lt;3,"High",IF(F27&lt;6,"Medium",IF(F27&lt;10,"Low","Strong")))</f>
        <v>High</v>
      </c>
    </row>
    <row r="28" customFormat="false" ht="15" hidden="false" customHeight="false" outlineLevel="0" collapsed="false">
      <c r="A28" s="8" t="n">
        <v>25</v>
      </c>
      <c r="B28" s="22"/>
      <c r="C28" s="22"/>
      <c r="D28" s="22"/>
      <c r="E28" s="22"/>
      <c r="F28" s="53" t="n">
        <f aca="false">IF(D28&gt;0,E28/D28,0)</f>
        <v>0</v>
      </c>
      <c r="G28" s="22"/>
      <c r="H28" s="22"/>
      <c r="I28" s="11" t="str">
        <f aca="false">IF(F28&lt;3,"High",IF(F28&lt;6,"Medium",IF(F28&lt;10,"Low","Strong")))</f>
        <v>High</v>
      </c>
    </row>
    <row r="29" customFormat="false" ht="15" hidden="false" customHeight="false" outlineLevel="0" collapsed="false">
      <c r="A29" s="4" t="n">
        <v>26</v>
      </c>
      <c r="B29" s="26"/>
      <c r="C29" s="26"/>
      <c r="D29" s="26"/>
      <c r="E29" s="26"/>
      <c r="F29" s="54" t="n">
        <f aca="false">IF(D29&gt;0,E29/D29,0)</f>
        <v>0</v>
      </c>
      <c r="G29" s="26"/>
      <c r="H29" s="26"/>
      <c r="I29" s="7" t="str">
        <f aca="false">IF(F29&lt;3,"High",IF(F29&lt;6,"Medium",IF(F29&lt;10,"Low","Strong")))</f>
        <v>High</v>
      </c>
    </row>
    <row r="30" customFormat="false" ht="15" hidden="false" customHeight="false" outlineLevel="0" collapsed="false">
      <c r="A30" s="8" t="n">
        <v>27</v>
      </c>
      <c r="B30" s="22"/>
      <c r="C30" s="22"/>
      <c r="D30" s="22"/>
      <c r="E30" s="22"/>
      <c r="F30" s="53" t="n">
        <f aca="false">IF(D30&gt;0,E30/D30,0)</f>
        <v>0</v>
      </c>
      <c r="G30" s="22"/>
      <c r="H30" s="22"/>
      <c r="I30" s="11" t="str">
        <f aca="false">IF(F30&lt;3,"High",IF(F30&lt;6,"Medium",IF(F30&lt;10,"Low","Strong")))</f>
        <v>High</v>
      </c>
    </row>
    <row r="31" customFormat="false" ht="15" hidden="false" customHeight="false" outlineLevel="0" collapsed="false">
      <c r="A31" s="4" t="n">
        <v>28</v>
      </c>
      <c r="B31" s="26"/>
      <c r="C31" s="26"/>
      <c r="D31" s="26"/>
      <c r="E31" s="26"/>
      <c r="F31" s="54" t="n">
        <f aca="false">IF(D31&gt;0,E31/D31,0)</f>
        <v>0</v>
      </c>
      <c r="G31" s="26"/>
      <c r="H31" s="26"/>
      <c r="I31" s="7" t="str">
        <f aca="false">IF(F31&lt;3,"High",IF(F31&lt;6,"Medium",IF(F31&lt;10,"Low","Strong")))</f>
        <v>High</v>
      </c>
    </row>
    <row r="32" customFormat="false" ht="15" hidden="false" customHeight="false" outlineLevel="0" collapsed="false">
      <c r="A32" s="8" t="n">
        <v>29</v>
      </c>
      <c r="B32" s="22"/>
      <c r="C32" s="22"/>
      <c r="D32" s="22"/>
      <c r="E32" s="22"/>
      <c r="F32" s="53" t="n">
        <f aca="false">IF(D32&gt;0,E32/D32,0)</f>
        <v>0</v>
      </c>
      <c r="G32" s="22"/>
      <c r="H32" s="22"/>
      <c r="I32" s="11" t="str">
        <f aca="false">IF(F32&lt;3,"High",IF(F32&lt;6,"Medium",IF(F32&lt;10,"Low","Strong")))</f>
        <v>High</v>
      </c>
    </row>
    <row r="33" customFormat="false" ht="15" hidden="false" customHeight="false" outlineLevel="0" collapsed="false">
      <c r="A33" s="4" t="n">
        <v>30</v>
      </c>
      <c r="B33" s="26"/>
      <c r="C33" s="26"/>
      <c r="D33" s="26"/>
      <c r="E33" s="26"/>
      <c r="F33" s="54" t="n">
        <f aca="false">IF(D33&gt;0,E33/D33,0)</f>
        <v>0</v>
      </c>
      <c r="G33" s="26"/>
      <c r="H33" s="26"/>
      <c r="I33" s="7" t="str">
        <f aca="false">IF(F33&lt;3,"High",IF(F33&lt;6,"Medium",IF(F33&lt;10,"Low","Strong")))</f>
        <v>High</v>
      </c>
    </row>
    <row r="34" customFormat="false" ht="15" hidden="false" customHeight="false" outlineLevel="0" collapsed="false">
      <c r="A34" s="8" t="n">
        <v>31</v>
      </c>
      <c r="B34" s="22"/>
      <c r="C34" s="22"/>
      <c r="D34" s="22"/>
      <c r="E34" s="22"/>
      <c r="F34" s="53" t="n">
        <f aca="false">IF(D34&gt;0,E34/D34,0)</f>
        <v>0</v>
      </c>
      <c r="G34" s="22"/>
      <c r="H34" s="22"/>
      <c r="I34" s="11" t="str">
        <f aca="false">IF(F34&lt;3,"High",IF(F34&lt;6,"Medium",IF(F34&lt;10,"Low","Strong")))</f>
        <v>High</v>
      </c>
    </row>
    <row r="35" customFormat="false" ht="15" hidden="false" customHeight="false" outlineLevel="0" collapsed="false">
      <c r="A35" s="4" t="n">
        <v>32</v>
      </c>
      <c r="B35" s="26"/>
      <c r="C35" s="26"/>
      <c r="D35" s="26"/>
      <c r="E35" s="26"/>
      <c r="F35" s="54" t="n">
        <f aca="false">IF(D35&gt;0,E35/D35,0)</f>
        <v>0</v>
      </c>
      <c r="G35" s="26"/>
      <c r="H35" s="26"/>
      <c r="I35" s="7" t="str">
        <f aca="false">IF(F35&lt;3,"High",IF(F35&lt;6,"Medium",IF(F35&lt;10,"Low","Strong")))</f>
        <v>High</v>
      </c>
    </row>
    <row r="36" customFormat="false" ht="15" hidden="false" customHeight="false" outlineLevel="0" collapsed="false">
      <c r="A36" s="8" t="n">
        <v>33</v>
      </c>
      <c r="B36" s="22"/>
      <c r="C36" s="22"/>
      <c r="D36" s="22"/>
      <c r="E36" s="22"/>
      <c r="F36" s="53" t="n">
        <f aca="false">IF(D36&gt;0,E36/D36,0)</f>
        <v>0</v>
      </c>
      <c r="G36" s="22"/>
      <c r="H36" s="22"/>
      <c r="I36" s="11" t="str">
        <f aca="false">IF(F36&lt;3,"High",IF(F36&lt;6,"Medium",IF(F36&lt;10,"Low","Strong")))</f>
        <v>High</v>
      </c>
    </row>
    <row r="37" customFormat="false" ht="15" hidden="false" customHeight="false" outlineLevel="0" collapsed="false">
      <c r="A37" s="4" t="n">
        <v>34</v>
      </c>
      <c r="B37" s="26"/>
      <c r="C37" s="26"/>
      <c r="D37" s="26"/>
      <c r="E37" s="26"/>
      <c r="F37" s="54" t="n">
        <f aca="false">IF(D37&gt;0,E37/D37,0)</f>
        <v>0</v>
      </c>
      <c r="G37" s="26"/>
      <c r="H37" s="26"/>
      <c r="I37" s="7" t="str">
        <f aca="false">IF(F37&lt;3,"High",IF(F37&lt;6,"Medium",IF(F37&lt;10,"Low","Strong")))</f>
        <v>High</v>
      </c>
    </row>
    <row r="38" customFormat="false" ht="15" hidden="false" customHeight="false" outlineLevel="0" collapsed="false">
      <c r="A38" s="8" t="n">
        <v>35</v>
      </c>
      <c r="B38" s="22"/>
      <c r="C38" s="22"/>
      <c r="D38" s="22"/>
      <c r="E38" s="22"/>
      <c r="F38" s="53" t="n">
        <f aca="false">IF(D38&gt;0,E38/D38,0)</f>
        <v>0</v>
      </c>
      <c r="G38" s="22"/>
      <c r="H38" s="22"/>
      <c r="I38" s="11" t="str">
        <f aca="false">IF(F38&lt;3,"High",IF(F38&lt;6,"Medium",IF(F38&lt;10,"Low","Strong")))</f>
        <v>High</v>
      </c>
    </row>
    <row r="39" customFormat="false" ht="15" hidden="false" customHeight="false" outlineLevel="0" collapsed="false">
      <c r="A39" s="4" t="n">
        <v>36</v>
      </c>
      <c r="B39" s="26"/>
      <c r="C39" s="26"/>
      <c r="D39" s="26"/>
      <c r="E39" s="26"/>
      <c r="F39" s="54" t="n">
        <f aca="false">IF(D39&gt;0,E39/D39,0)</f>
        <v>0</v>
      </c>
      <c r="G39" s="26"/>
      <c r="H39" s="26"/>
      <c r="I39" s="7" t="str">
        <f aca="false">IF(F39&lt;3,"High",IF(F39&lt;6,"Medium",IF(F39&lt;10,"Low","Strong")))</f>
        <v>High</v>
      </c>
    </row>
    <row r="40" customFormat="false" ht="15" hidden="false" customHeight="false" outlineLevel="0" collapsed="false">
      <c r="A40" s="8" t="n">
        <v>37</v>
      </c>
      <c r="B40" s="22"/>
      <c r="C40" s="22"/>
      <c r="D40" s="22"/>
      <c r="E40" s="22"/>
      <c r="F40" s="53" t="n">
        <f aca="false">IF(D40&gt;0,E40/D40,0)</f>
        <v>0</v>
      </c>
      <c r="G40" s="22"/>
      <c r="H40" s="22"/>
      <c r="I40" s="11" t="str">
        <f aca="false">IF(F40&lt;3,"High",IF(F40&lt;6,"Medium",IF(F40&lt;10,"Low","Strong")))</f>
        <v>High</v>
      </c>
    </row>
    <row r="41" customFormat="false" ht="15" hidden="false" customHeight="false" outlineLevel="0" collapsed="false">
      <c r="A41" s="4" t="n">
        <v>38</v>
      </c>
      <c r="B41" s="26"/>
      <c r="C41" s="26"/>
      <c r="D41" s="26"/>
      <c r="E41" s="26"/>
      <c r="F41" s="54" t="n">
        <f aca="false">IF(D41&gt;0,E41/D41,0)</f>
        <v>0</v>
      </c>
      <c r="G41" s="26"/>
      <c r="H41" s="26"/>
      <c r="I41" s="7" t="str">
        <f aca="false">IF(F41&lt;3,"High",IF(F41&lt;6,"Medium",IF(F41&lt;10,"Low","Strong")))</f>
        <v>High</v>
      </c>
    </row>
    <row r="42" customFormat="false" ht="15" hidden="false" customHeight="false" outlineLevel="0" collapsed="false">
      <c r="A42" s="8" t="n">
        <v>39</v>
      </c>
      <c r="B42" s="22"/>
      <c r="C42" s="22"/>
      <c r="D42" s="22"/>
      <c r="E42" s="22"/>
      <c r="F42" s="53" t="n">
        <f aca="false">IF(D42&gt;0,E42/D42,0)</f>
        <v>0</v>
      </c>
      <c r="G42" s="22"/>
      <c r="H42" s="22"/>
      <c r="I42" s="11" t="str">
        <f aca="false">IF(F42&lt;3,"High",IF(F42&lt;6,"Medium",IF(F42&lt;10,"Low","Strong")))</f>
        <v>High</v>
      </c>
    </row>
    <row r="43" customFormat="false" ht="15" hidden="false" customHeight="false" outlineLevel="0" collapsed="false">
      <c r="A43" s="4" t="n">
        <v>40</v>
      </c>
      <c r="B43" s="26"/>
      <c r="C43" s="26"/>
      <c r="D43" s="26"/>
      <c r="E43" s="26"/>
      <c r="F43" s="54" t="n">
        <f aca="false">IF(D43&gt;0,E43/D43,0)</f>
        <v>0</v>
      </c>
      <c r="G43" s="26"/>
      <c r="H43" s="26"/>
      <c r="I43" s="7" t="str">
        <f aca="false">IF(F43&lt;3,"High",IF(F43&lt;6,"Medium",IF(F43&lt;10,"Low","Strong")))</f>
        <v>High</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2E4F"/>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6" min="3" style="0" width="16"/>
    <col collapsed="false" customWidth="true" hidden="false" outlineLevel="0" max="7" min="7" style="0" width="20"/>
    <col collapsed="false" customWidth="true" hidden="false" outlineLevel="0" max="8" min="8" style="0" width="14"/>
  </cols>
  <sheetData>
    <row r="1" customFormat="false" ht="33.75" hidden="false" customHeight="true" outlineLevel="0" collapsed="false">
      <c r="A1" s="55" t="s">
        <v>102</v>
      </c>
      <c r="B1" s="55"/>
      <c r="C1" s="55"/>
      <c r="D1" s="55"/>
      <c r="E1" s="55"/>
      <c r="F1" s="55"/>
      <c r="G1" s="55"/>
      <c r="H1" s="55"/>
    </row>
    <row r="2" customFormat="false" ht="25.5" hidden="false" customHeight="true" outlineLevel="0" collapsed="false">
      <c r="A2" s="20" t="s">
        <v>103</v>
      </c>
      <c r="B2" s="20"/>
      <c r="C2" s="20"/>
      <c r="D2" s="20"/>
      <c r="E2" s="20"/>
      <c r="F2" s="20"/>
      <c r="G2" s="20"/>
      <c r="H2" s="20"/>
    </row>
    <row r="3" customFormat="false" ht="23.85" hidden="false" customHeight="false" outlineLevel="0" collapsed="false">
      <c r="A3" s="13" t="s">
        <v>49</v>
      </c>
      <c r="B3" s="13" t="s">
        <v>50</v>
      </c>
      <c r="C3" s="13" t="s">
        <v>104</v>
      </c>
      <c r="D3" s="13" t="s">
        <v>105</v>
      </c>
      <c r="E3" s="13" t="s">
        <v>106</v>
      </c>
      <c r="F3" s="13" t="s">
        <v>107</v>
      </c>
      <c r="G3" s="13" t="s">
        <v>108</v>
      </c>
      <c r="H3" s="13" t="s">
        <v>109</v>
      </c>
    </row>
    <row r="4" customFormat="false" ht="15" hidden="false" customHeight="false" outlineLevel="0" collapsed="false">
      <c r="B4" s="56" t="s">
        <v>110</v>
      </c>
      <c r="C4" s="57" t="n">
        <v>0.4</v>
      </c>
      <c r="D4" s="57" t="n">
        <v>0.3</v>
      </c>
      <c r="E4" s="57" t="n">
        <v>0.15</v>
      </c>
      <c r="F4" s="57" t="n">
        <v>0.15</v>
      </c>
    </row>
    <row r="5" customFormat="false" ht="15" hidden="false" customHeight="false" outlineLevel="0" collapsed="false">
      <c r="A5" s="4" t="n">
        <v>1</v>
      </c>
      <c r="B5" s="26"/>
      <c r="C5" s="29"/>
      <c r="D5" s="29"/>
      <c r="E5" s="29"/>
      <c r="F5" s="29"/>
      <c r="G5" s="54" t="n">
        <f aca="false">C5*$C$4+D5*$D$4+E5*$E$4+F5*$F$4</f>
        <v>0</v>
      </c>
      <c r="H5" s="7" t="n">
        <f aca="false">IFERROR(RANK(G5,$G$5:$G$34,0),"")</f>
        <v>1</v>
      </c>
    </row>
    <row r="6" customFormat="false" ht="15" hidden="false" customHeight="false" outlineLevel="0" collapsed="false">
      <c r="A6" s="8" t="n">
        <v>2</v>
      </c>
      <c r="B6" s="22"/>
      <c r="C6" s="25"/>
      <c r="D6" s="25"/>
      <c r="E6" s="25"/>
      <c r="F6" s="25"/>
      <c r="G6" s="53" t="n">
        <f aca="false">C6*$C$4+D6*$D$4+E6*$E$4+F6*$F$4</f>
        <v>0</v>
      </c>
      <c r="H6" s="11" t="n">
        <f aca="false">IFERROR(RANK(G6,$G$5:$G$34,0),"")</f>
        <v>1</v>
      </c>
    </row>
    <row r="7" customFormat="false" ht="15" hidden="false" customHeight="false" outlineLevel="0" collapsed="false">
      <c r="A7" s="4" t="n">
        <v>3</v>
      </c>
      <c r="B7" s="26"/>
      <c r="C7" s="29"/>
      <c r="D7" s="29"/>
      <c r="E7" s="29"/>
      <c r="F7" s="29"/>
      <c r="G7" s="54" t="n">
        <f aca="false">C7*$C$4+D7*$D$4+E7*$E$4+F7*$F$4</f>
        <v>0</v>
      </c>
      <c r="H7" s="7" t="n">
        <f aca="false">IFERROR(RANK(G7,$G$5:$G$34,0),"")</f>
        <v>1</v>
      </c>
    </row>
    <row r="8" customFormat="false" ht="15" hidden="false" customHeight="false" outlineLevel="0" collapsed="false">
      <c r="A8" s="8" t="n">
        <v>4</v>
      </c>
      <c r="B8" s="22"/>
      <c r="C8" s="25"/>
      <c r="D8" s="25"/>
      <c r="E8" s="25"/>
      <c r="F8" s="25"/>
      <c r="G8" s="53" t="n">
        <f aca="false">C8*$C$4+D8*$D$4+E8*$E$4+F8*$F$4</f>
        <v>0</v>
      </c>
      <c r="H8" s="11" t="n">
        <f aca="false">IFERROR(RANK(G8,$G$5:$G$34,0),"")</f>
        <v>1</v>
      </c>
    </row>
    <row r="9" customFormat="false" ht="15" hidden="false" customHeight="false" outlineLevel="0" collapsed="false">
      <c r="A9" s="4" t="n">
        <v>5</v>
      </c>
      <c r="B9" s="26"/>
      <c r="C9" s="29"/>
      <c r="D9" s="29"/>
      <c r="E9" s="29"/>
      <c r="F9" s="29"/>
      <c r="G9" s="54" t="n">
        <f aca="false">C9*$C$4+D9*$D$4+E9*$E$4+F9*$F$4</f>
        <v>0</v>
      </c>
      <c r="H9" s="7" t="n">
        <f aca="false">IFERROR(RANK(G9,$G$5:$G$34,0),"")</f>
        <v>1</v>
      </c>
    </row>
    <row r="10" customFormat="false" ht="15" hidden="false" customHeight="false" outlineLevel="0" collapsed="false">
      <c r="A10" s="8" t="n">
        <v>6</v>
      </c>
      <c r="B10" s="22"/>
      <c r="C10" s="25"/>
      <c r="D10" s="25"/>
      <c r="E10" s="25"/>
      <c r="F10" s="25"/>
      <c r="G10" s="53" t="n">
        <f aca="false">C10*$C$4+D10*$D$4+E10*$E$4+F10*$F$4</f>
        <v>0</v>
      </c>
      <c r="H10" s="11" t="n">
        <f aca="false">IFERROR(RANK(G10,$G$5:$G$34,0),"")</f>
        <v>1</v>
      </c>
    </row>
    <row r="11" customFormat="false" ht="15" hidden="false" customHeight="false" outlineLevel="0" collapsed="false">
      <c r="A11" s="4" t="n">
        <v>7</v>
      </c>
      <c r="B11" s="26"/>
      <c r="C11" s="29"/>
      <c r="D11" s="29"/>
      <c r="E11" s="29"/>
      <c r="F11" s="29"/>
      <c r="G11" s="54" t="n">
        <f aca="false">C11*$C$4+D11*$D$4+E11*$E$4+F11*$F$4</f>
        <v>0</v>
      </c>
      <c r="H11" s="7" t="n">
        <f aca="false">IFERROR(RANK(G11,$G$5:$G$34,0),"")</f>
        <v>1</v>
      </c>
    </row>
    <row r="12" customFormat="false" ht="15" hidden="false" customHeight="false" outlineLevel="0" collapsed="false">
      <c r="A12" s="8" t="n">
        <v>8</v>
      </c>
      <c r="B12" s="22"/>
      <c r="C12" s="25"/>
      <c r="D12" s="25"/>
      <c r="E12" s="25"/>
      <c r="F12" s="25"/>
      <c r="G12" s="53" t="n">
        <f aca="false">C12*$C$4+D12*$D$4+E12*$E$4+F12*$F$4</f>
        <v>0</v>
      </c>
      <c r="H12" s="11" t="n">
        <f aca="false">IFERROR(RANK(G12,$G$5:$G$34,0),"")</f>
        <v>1</v>
      </c>
    </row>
    <row r="13" customFormat="false" ht="15" hidden="false" customHeight="false" outlineLevel="0" collapsed="false">
      <c r="A13" s="4" t="n">
        <v>9</v>
      </c>
      <c r="B13" s="26"/>
      <c r="C13" s="29"/>
      <c r="D13" s="29"/>
      <c r="E13" s="29"/>
      <c r="F13" s="29"/>
      <c r="G13" s="54" t="n">
        <f aca="false">C13*$C$4+D13*$D$4+E13*$E$4+F13*$F$4</f>
        <v>0</v>
      </c>
      <c r="H13" s="7" t="n">
        <f aca="false">IFERROR(RANK(G13,$G$5:$G$34,0),"")</f>
        <v>1</v>
      </c>
    </row>
    <row r="14" customFormat="false" ht="15" hidden="false" customHeight="false" outlineLevel="0" collapsed="false">
      <c r="A14" s="8" t="n">
        <v>10</v>
      </c>
      <c r="B14" s="22"/>
      <c r="C14" s="25"/>
      <c r="D14" s="25"/>
      <c r="E14" s="25"/>
      <c r="F14" s="25"/>
      <c r="G14" s="53" t="n">
        <f aca="false">C14*$C$4+D14*$D$4+E14*$E$4+F14*$F$4</f>
        <v>0</v>
      </c>
      <c r="H14" s="11" t="n">
        <f aca="false">IFERROR(RANK(G14,$G$5:$G$34,0),"")</f>
        <v>1</v>
      </c>
    </row>
    <row r="15" customFormat="false" ht="15" hidden="false" customHeight="false" outlineLevel="0" collapsed="false">
      <c r="A15" s="4" t="n">
        <v>11</v>
      </c>
      <c r="B15" s="26"/>
      <c r="C15" s="29"/>
      <c r="D15" s="29"/>
      <c r="E15" s="29"/>
      <c r="F15" s="29"/>
      <c r="G15" s="54" t="n">
        <f aca="false">C15*$C$4+D15*$D$4+E15*$E$4+F15*$F$4</f>
        <v>0</v>
      </c>
      <c r="H15" s="7" t="n">
        <f aca="false">IFERROR(RANK(G15,$G$5:$G$34,0),"")</f>
        <v>1</v>
      </c>
    </row>
    <row r="16" customFormat="false" ht="15" hidden="false" customHeight="false" outlineLevel="0" collapsed="false">
      <c r="A16" s="8" t="n">
        <v>12</v>
      </c>
      <c r="B16" s="22"/>
      <c r="C16" s="25"/>
      <c r="D16" s="25"/>
      <c r="E16" s="25"/>
      <c r="F16" s="25"/>
      <c r="G16" s="53" t="n">
        <f aca="false">C16*$C$4+D16*$D$4+E16*$E$4+F16*$F$4</f>
        <v>0</v>
      </c>
      <c r="H16" s="11" t="n">
        <f aca="false">IFERROR(RANK(G16,$G$5:$G$34,0),"")</f>
        <v>1</v>
      </c>
    </row>
    <row r="17" customFormat="false" ht="15" hidden="false" customHeight="false" outlineLevel="0" collapsed="false">
      <c r="A17" s="4" t="n">
        <v>13</v>
      </c>
      <c r="B17" s="26"/>
      <c r="C17" s="29"/>
      <c r="D17" s="29"/>
      <c r="E17" s="29"/>
      <c r="F17" s="29"/>
      <c r="G17" s="54" t="n">
        <f aca="false">C17*$C$4+D17*$D$4+E17*$E$4+F17*$F$4</f>
        <v>0</v>
      </c>
      <c r="H17" s="7" t="n">
        <f aca="false">IFERROR(RANK(G17,$G$5:$G$34,0),"")</f>
        <v>1</v>
      </c>
    </row>
    <row r="18" customFormat="false" ht="15" hidden="false" customHeight="false" outlineLevel="0" collapsed="false">
      <c r="A18" s="8" t="n">
        <v>14</v>
      </c>
      <c r="B18" s="22"/>
      <c r="C18" s="25"/>
      <c r="D18" s="25"/>
      <c r="E18" s="25"/>
      <c r="F18" s="25"/>
      <c r="G18" s="53" t="n">
        <f aca="false">C18*$C$4+D18*$D$4+E18*$E$4+F18*$F$4</f>
        <v>0</v>
      </c>
      <c r="H18" s="11" t="n">
        <f aca="false">IFERROR(RANK(G18,$G$5:$G$34,0),"")</f>
        <v>1</v>
      </c>
    </row>
    <row r="19" customFormat="false" ht="15" hidden="false" customHeight="false" outlineLevel="0" collapsed="false">
      <c r="A19" s="4" t="n">
        <v>15</v>
      </c>
      <c r="B19" s="26"/>
      <c r="C19" s="29"/>
      <c r="D19" s="29"/>
      <c r="E19" s="29"/>
      <c r="F19" s="29"/>
      <c r="G19" s="54" t="n">
        <f aca="false">C19*$C$4+D19*$D$4+E19*$E$4+F19*$F$4</f>
        <v>0</v>
      </c>
      <c r="H19" s="7" t="n">
        <f aca="false">IFERROR(RANK(G19,$G$5:$G$34,0),"")</f>
        <v>1</v>
      </c>
    </row>
    <row r="20" customFormat="false" ht="15" hidden="false" customHeight="false" outlineLevel="0" collapsed="false">
      <c r="A20" s="8" t="n">
        <v>16</v>
      </c>
      <c r="B20" s="22"/>
      <c r="C20" s="25"/>
      <c r="D20" s="25"/>
      <c r="E20" s="25"/>
      <c r="F20" s="25"/>
      <c r="G20" s="53" t="n">
        <f aca="false">C20*$C$4+D20*$D$4+E20*$E$4+F20*$F$4</f>
        <v>0</v>
      </c>
      <c r="H20" s="11" t="n">
        <f aca="false">IFERROR(RANK(G20,$G$5:$G$34,0),"")</f>
        <v>1</v>
      </c>
    </row>
    <row r="21" customFormat="false" ht="15" hidden="false" customHeight="false" outlineLevel="0" collapsed="false">
      <c r="A21" s="4" t="n">
        <v>17</v>
      </c>
      <c r="B21" s="26"/>
      <c r="C21" s="29"/>
      <c r="D21" s="29"/>
      <c r="E21" s="29"/>
      <c r="F21" s="29"/>
      <c r="G21" s="54" t="n">
        <f aca="false">C21*$C$4+D21*$D$4+E21*$E$4+F21*$F$4</f>
        <v>0</v>
      </c>
      <c r="H21" s="7" t="n">
        <f aca="false">IFERROR(RANK(G21,$G$5:$G$34,0),"")</f>
        <v>1</v>
      </c>
    </row>
    <row r="22" customFormat="false" ht="15" hidden="false" customHeight="false" outlineLevel="0" collapsed="false">
      <c r="A22" s="8" t="n">
        <v>18</v>
      </c>
      <c r="B22" s="22"/>
      <c r="C22" s="25"/>
      <c r="D22" s="25"/>
      <c r="E22" s="25"/>
      <c r="F22" s="25"/>
      <c r="G22" s="53" t="n">
        <f aca="false">C22*$C$4+D22*$D$4+E22*$E$4+F22*$F$4</f>
        <v>0</v>
      </c>
      <c r="H22" s="11" t="n">
        <f aca="false">IFERROR(RANK(G22,$G$5:$G$34,0),"")</f>
        <v>1</v>
      </c>
    </row>
    <row r="23" customFormat="false" ht="15" hidden="false" customHeight="false" outlineLevel="0" collapsed="false">
      <c r="A23" s="4" t="n">
        <v>19</v>
      </c>
      <c r="B23" s="26"/>
      <c r="C23" s="29"/>
      <c r="D23" s="29"/>
      <c r="E23" s="29"/>
      <c r="F23" s="29"/>
      <c r="G23" s="54" t="n">
        <f aca="false">C23*$C$4+D23*$D$4+E23*$E$4+F23*$F$4</f>
        <v>0</v>
      </c>
      <c r="H23" s="7" t="n">
        <f aca="false">IFERROR(RANK(G23,$G$5:$G$34,0),"")</f>
        <v>1</v>
      </c>
    </row>
    <row r="24" customFormat="false" ht="15" hidden="false" customHeight="false" outlineLevel="0" collapsed="false">
      <c r="A24" s="8" t="n">
        <v>20</v>
      </c>
      <c r="B24" s="22"/>
      <c r="C24" s="25"/>
      <c r="D24" s="25"/>
      <c r="E24" s="25"/>
      <c r="F24" s="25"/>
      <c r="G24" s="53" t="n">
        <f aca="false">C24*$C$4+D24*$D$4+E24*$E$4+F24*$F$4</f>
        <v>0</v>
      </c>
      <c r="H24" s="11" t="n">
        <f aca="false">IFERROR(RANK(G24,$G$5:$G$34,0),"")</f>
        <v>1</v>
      </c>
    </row>
    <row r="25" customFormat="false" ht="15" hidden="false" customHeight="false" outlineLevel="0" collapsed="false">
      <c r="A25" s="4" t="n">
        <v>21</v>
      </c>
      <c r="B25" s="26"/>
      <c r="C25" s="29"/>
      <c r="D25" s="29"/>
      <c r="E25" s="29"/>
      <c r="F25" s="29"/>
      <c r="G25" s="54" t="n">
        <f aca="false">C25*$C$4+D25*$D$4+E25*$E$4+F25*$F$4</f>
        <v>0</v>
      </c>
      <c r="H25" s="7" t="n">
        <f aca="false">IFERROR(RANK(G25,$G$5:$G$34,0),"")</f>
        <v>1</v>
      </c>
    </row>
    <row r="26" customFormat="false" ht="15" hidden="false" customHeight="false" outlineLevel="0" collapsed="false">
      <c r="A26" s="8" t="n">
        <v>22</v>
      </c>
      <c r="B26" s="22"/>
      <c r="C26" s="25"/>
      <c r="D26" s="25"/>
      <c r="E26" s="25"/>
      <c r="F26" s="25"/>
      <c r="G26" s="53" t="n">
        <f aca="false">C26*$C$4+D26*$D$4+E26*$E$4+F26*$F$4</f>
        <v>0</v>
      </c>
      <c r="H26" s="11" t="n">
        <f aca="false">IFERROR(RANK(G26,$G$5:$G$34,0),"")</f>
        <v>1</v>
      </c>
    </row>
    <row r="27" customFormat="false" ht="15" hidden="false" customHeight="false" outlineLevel="0" collapsed="false">
      <c r="A27" s="4" t="n">
        <v>23</v>
      </c>
      <c r="B27" s="26"/>
      <c r="C27" s="29"/>
      <c r="D27" s="29"/>
      <c r="E27" s="29"/>
      <c r="F27" s="29"/>
      <c r="G27" s="54" t="n">
        <f aca="false">C27*$C$4+D27*$D$4+E27*$E$4+F27*$F$4</f>
        <v>0</v>
      </c>
      <c r="H27" s="7" t="n">
        <f aca="false">IFERROR(RANK(G27,$G$5:$G$34,0),"")</f>
        <v>1</v>
      </c>
    </row>
    <row r="28" customFormat="false" ht="15" hidden="false" customHeight="false" outlineLevel="0" collapsed="false">
      <c r="A28" s="8" t="n">
        <v>24</v>
      </c>
      <c r="B28" s="22"/>
      <c r="C28" s="25"/>
      <c r="D28" s="25"/>
      <c r="E28" s="25"/>
      <c r="F28" s="25"/>
      <c r="G28" s="53" t="n">
        <f aca="false">C28*$C$4+D28*$D$4+E28*$E$4+F28*$F$4</f>
        <v>0</v>
      </c>
      <c r="H28" s="11" t="n">
        <f aca="false">IFERROR(RANK(G28,$G$5:$G$34,0),"")</f>
        <v>1</v>
      </c>
    </row>
    <row r="29" customFormat="false" ht="15" hidden="false" customHeight="false" outlineLevel="0" collapsed="false">
      <c r="A29" s="4" t="n">
        <v>25</v>
      </c>
      <c r="B29" s="26"/>
      <c r="C29" s="29"/>
      <c r="D29" s="29"/>
      <c r="E29" s="29"/>
      <c r="F29" s="29"/>
      <c r="G29" s="54" t="n">
        <f aca="false">C29*$C$4+D29*$D$4+E29*$E$4+F29*$F$4</f>
        <v>0</v>
      </c>
      <c r="H29" s="7" t="n">
        <f aca="false">IFERROR(RANK(G29,$G$5:$G$34,0),"")</f>
        <v>1</v>
      </c>
    </row>
    <row r="30" customFormat="false" ht="15" hidden="false" customHeight="false" outlineLevel="0" collapsed="false">
      <c r="A30" s="8" t="n">
        <v>26</v>
      </c>
      <c r="B30" s="22"/>
      <c r="C30" s="25"/>
      <c r="D30" s="25"/>
      <c r="E30" s="25"/>
      <c r="F30" s="25"/>
      <c r="G30" s="53" t="n">
        <f aca="false">C30*$C$4+D30*$D$4+E30*$E$4+F30*$F$4</f>
        <v>0</v>
      </c>
      <c r="H30" s="11" t="n">
        <f aca="false">IFERROR(RANK(G30,$G$5:$G$34,0),"")</f>
        <v>1</v>
      </c>
    </row>
    <row r="31" customFormat="false" ht="15" hidden="false" customHeight="false" outlineLevel="0" collapsed="false">
      <c r="A31" s="4" t="n">
        <v>27</v>
      </c>
      <c r="B31" s="26"/>
      <c r="C31" s="29"/>
      <c r="D31" s="29"/>
      <c r="E31" s="29"/>
      <c r="F31" s="29"/>
      <c r="G31" s="54" t="n">
        <f aca="false">C31*$C$4+D31*$D$4+E31*$E$4+F31*$F$4</f>
        <v>0</v>
      </c>
      <c r="H31" s="7" t="n">
        <f aca="false">IFERROR(RANK(G31,$G$5:$G$34,0),"")</f>
        <v>1</v>
      </c>
    </row>
    <row r="32" customFormat="false" ht="15" hidden="false" customHeight="false" outlineLevel="0" collapsed="false">
      <c r="A32" s="8" t="n">
        <v>28</v>
      </c>
      <c r="B32" s="22"/>
      <c r="C32" s="25"/>
      <c r="D32" s="25"/>
      <c r="E32" s="25"/>
      <c r="F32" s="25"/>
      <c r="G32" s="53" t="n">
        <f aca="false">C32*$C$4+D32*$D$4+E32*$E$4+F32*$F$4</f>
        <v>0</v>
      </c>
      <c r="H32" s="11" t="n">
        <f aca="false">IFERROR(RANK(G32,$G$5:$G$34,0),"")</f>
        <v>1</v>
      </c>
    </row>
    <row r="33" customFormat="false" ht="15" hidden="false" customHeight="false" outlineLevel="0" collapsed="false">
      <c r="A33" s="4" t="n">
        <v>29</v>
      </c>
      <c r="B33" s="26"/>
      <c r="C33" s="29"/>
      <c r="D33" s="29"/>
      <c r="E33" s="29"/>
      <c r="F33" s="29"/>
      <c r="G33" s="54" t="n">
        <f aca="false">C33*$C$4+D33*$D$4+E33*$E$4+F33*$F$4</f>
        <v>0</v>
      </c>
      <c r="H33" s="7" t="n">
        <f aca="false">IFERROR(RANK(G33,$G$5:$G$34,0),"")</f>
        <v>1</v>
      </c>
    </row>
    <row r="34" customFormat="false" ht="15" hidden="false" customHeight="false" outlineLevel="0" collapsed="false">
      <c r="A34" s="8" t="n">
        <v>30</v>
      </c>
      <c r="B34" s="22"/>
      <c r="C34" s="25"/>
      <c r="D34" s="25"/>
      <c r="E34" s="25"/>
      <c r="F34" s="25"/>
      <c r="G34" s="53" t="n">
        <f aca="false">C34*$C$4+D34*$D$4+E34*$E$4+F34*$F$4</f>
        <v>0</v>
      </c>
      <c r="H34" s="11" t="n">
        <f aca="false">IFERROR(RANK(G34,$G$5:$G$34,0),"")</f>
        <v>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40"/>
    <col collapsed="false" customWidth="true" hidden="false" outlineLevel="0" max="4" min="4" style="0" width="20"/>
    <col collapsed="false" customWidth="true" hidden="false" outlineLevel="0" max="5" min="5" style="0" width="22"/>
    <col collapsed="false" customWidth="true" hidden="false" outlineLevel="0" max="6" min="6" style="0" width="18"/>
    <col collapsed="false" customWidth="true" hidden="false" outlineLevel="0" max="7" min="7" style="0" width="14"/>
  </cols>
  <sheetData>
    <row r="1" customFormat="false" ht="33.75" hidden="false" customHeight="true" outlineLevel="0" collapsed="false">
      <c r="A1" s="58" t="s">
        <v>111</v>
      </c>
      <c r="B1" s="58"/>
      <c r="C1" s="58"/>
      <c r="D1" s="58"/>
      <c r="E1" s="58"/>
      <c r="F1" s="58"/>
      <c r="G1" s="58"/>
    </row>
    <row r="3" customFormat="false" ht="15" hidden="false" customHeight="false" outlineLevel="0" collapsed="false">
      <c r="A3" s="59" t="s">
        <v>2</v>
      </c>
      <c r="B3" s="59" t="s">
        <v>50</v>
      </c>
      <c r="C3" s="59" t="s">
        <v>112</v>
      </c>
      <c r="D3" s="59" t="s">
        <v>113</v>
      </c>
      <c r="E3" s="59" t="s">
        <v>114</v>
      </c>
      <c r="F3" s="59" t="s">
        <v>115</v>
      </c>
      <c r="G3" s="59" t="s">
        <v>116</v>
      </c>
    </row>
    <row r="4" customFormat="false" ht="23.85" hidden="false" customHeight="false" outlineLevel="0" collapsed="false">
      <c r="A4" s="8" t="n">
        <v>1</v>
      </c>
      <c r="B4" s="22"/>
      <c r="C4" s="10" t="s">
        <v>117</v>
      </c>
      <c r="D4" s="11" t="s">
        <v>118</v>
      </c>
      <c r="E4" s="22"/>
      <c r="F4" s="22"/>
      <c r="G4" s="22"/>
    </row>
    <row r="5" customFormat="false" ht="23.85" hidden="false" customHeight="false" outlineLevel="0" collapsed="false">
      <c r="A5" s="4" t="n">
        <v>2</v>
      </c>
      <c r="B5" s="26"/>
      <c r="C5" s="6" t="s">
        <v>119</v>
      </c>
      <c r="D5" s="7" t="s">
        <v>118</v>
      </c>
      <c r="E5" s="26"/>
      <c r="F5" s="26"/>
      <c r="G5" s="26"/>
    </row>
    <row r="6" customFormat="false" ht="23.85" hidden="false" customHeight="false" outlineLevel="0" collapsed="false">
      <c r="A6" s="8" t="n">
        <v>3</v>
      </c>
      <c r="B6" s="22"/>
      <c r="C6" s="10" t="s">
        <v>120</v>
      </c>
      <c r="D6" s="11" t="s">
        <v>118</v>
      </c>
      <c r="E6" s="22"/>
      <c r="F6" s="22"/>
      <c r="G6" s="22"/>
    </row>
    <row r="7" customFormat="false" ht="23.85" hidden="false" customHeight="false" outlineLevel="0" collapsed="false">
      <c r="A7" s="4" t="n">
        <v>4</v>
      </c>
      <c r="B7" s="26"/>
      <c r="C7" s="6" t="s">
        <v>121</v>
      </c>
      <c r="D7" s="7" t="s">
        <v>118</v>
      </c>
      <c r="E7" s="26"/>
      <c r="F7" s="26"/>
      <c r="G7" s="26"/>
    </row>
    <row r="8" customFormat="false" ht="23.85" hidden="false" customHeight="false" outlineLevel="0" collapsed="false">
      <c r="A8" s="8" t="n">
        <v>5</v>
      </c>
      <c r="B8" s="22"/>
      <c r="C8" s="10" t="s">
        <v>122</v>
      </c>
      <c r="D8" s="11" t="s">
        <v>123</v>
      </c>
      <c r="E8" s="22"/>
      <c r="F8" s="22"/>
      <c r="G8" s="22"/>
    </row>
    <row r="9" customFormat="false" ht="23.85" hidden="false" customHeight="false" outlineLevel="0" collapsed="false">
      <c r="A9" s="4" t="n">
        <v>6</v>
      </c>
      <c r="B9" s="26"/>
      <c r="C9" s="6" t="s">
        <v>124</v>
      </c>
      <c r="D9" s="7" t="s">
        <v>123</v>
      </c>
      <c r="E9" s="26"/>
      <c r="F9" s="26"/>
      <c r="G9" s="26"/>
    </row>
    <row r="10" customFormat="false" ht="23.85" hidden="false" customHeight="false" outlineLevel="0" collapsed="false">
      <c r="A10" s="8" t="n">
        <v>7</v>
      </c>
      <c r="B10" s="22"/>
      <c r="C10" s="10" t="s">
        <v>125</v>
      </c>
      <c r="D10" s="11" t="s">
        <v>123</v>
      </c>
      <c r="E10" s="22"/>
      <c r="F10" s="22"/>
      <c r="G10" s="22"/>
    </row>
    <row r="11" customFormat="false" ht="23.85" hidden="false" customHeight="false" outlineLevel="0" collapsed="false">
      <c r="A11" s="4" t="n">
        <v>8</v>
      </c>
      <c r="B11" s="26"/>
      <c r="C11" s="6" t="s">
        <v>126</v>
      </c>
      <c r="D11" s="7" t="s">
        <v>123</v>
      </c>
      <c r="E11" s="26"/>
      <c r="F11" s="26"/>
      <c r="G11" s="26"/>
    </row>
    <row r="12" customFormat="false" ht="23.85" hidden="false" customHeight="false" outlineLevel="0" collapsed="false">
      <c r="A12" s="8" t="n">
        <v>9</v>
      </c>
      <c r="B12" s="22"/>
      <c r="C12" s="10" t="s">
        <v>127</v>
      </c>
      <c r="D12" s="11" t="s">
        <v>123</v>
      </c>
      <c r="E12" s="22"/>
      <c r="F12" s="22"/>
      <c r="G12" s="22"/>
    </row>
    <row r="13" customFormat="false" ht="23.85" hidden="false" customHeight="false" outlineLevel="0" collapsed="false">
      <c r="A13" s="4" t="n">
        <v>10</v>
      </c>
      <c r="B13" s="26"/>
      <c r="C13" s="6" t="s">
        <v>128</v>
      </c>
      <c r="D13" s="7" t="s">
        <v>129</v>
      </c>
      <c r="E13" s="26"/>
      <c r="F13" s="26"/>
      <c r="G13" s="26"/>
    </row>
    <row r="14" customFormat="false" ht="23.85" hidden="false" customHeight="false" outlineLevel="0" collapsed="false">
      <c r="A14" s="8" t="n">
        <v>11</v>
      </c>
      <c r="B14" s="22"/>
      <c r="C14" s="10" t="s">
        <v>130</v>
      </c>
      <c r="D14" s="11" t="s">
        <v>129</v>
      </c>
      <c r="E14" s="22"/>
      <c r="F14" s="22"/>
      <c r="G14" s="22"/>
    </row>
    <row r="15" customFormat="false" ht="23.85" hidden="false" customHeight="false" outlineLevel="0" collapsed="false">
      <c r="A15" s="4" t="n">
        <v>12</v>
      </c>
      <c r="B15" s="26"/>
      <c r="C15" s="6" t="s">
        <v>131</v>
      </c>
      <c r="D15" s="7" t="s">
        <v>129</v>
      </c>
      <c r="E15" s="26"/>
      <c r="F15" s="26"/>
      <c r="G15" s="26"/>
    </row>
    <row r="16" customFormat="false" ht="23.85" hidden="false" customHeight="false" outlineLevel="0" collapsed="false">
      <c r="A16" s="8" t="n">
        <v>13</v>
      </c>
      <c r="B16" s="22"/>
      <c r="C16" s="10" t="s">
        <v>132</v>
      </c>
      <c r="D16" s="11" t="s">
        <v>129</v>
      </c>
      <c r="E16" s="22"/>
      <c r="F16" s="22"/>
      <c r="G16" s="22"/>
    </row>
    <row r="18" customFormat="false" ht="25.5" hidden="false" customHeight="true" outlineLevel="0" collapsed="false">
      <c r="A18" s="12" t="s">
        <v>133</v>
      </c>
      <c r="B18" s="12"/>
      <c r="C18" s="12"/>
      <c r="D18" s="12"/>
      <c r="E18" s="12"/>
      <c r="F18" s="12"/>
      <c r="G18" s="12"/>
    </row>
    <row r="19" customFormat="false" ht="15" hidden="false" customHeight="true" outlineLevel="0" collapsed="false">
      <c r="A19" s="30" t="s">
        <v>134</v>
      </c>
      <c r="B19" s="30"/>
      <c r="C19" s="30"/>
      <c r="D19" s="33" t="n">
        <f aca="false">COUNTIF(E4:E16,"Done")</f>
        <v>0</v>
      </c>
      <c r="E19" s="32"/>
      <c r="F19" s="32"/>
      <c r="G19" s="32"/>
    </row>
    <row r="20" customFormat="false" ht="15" hidden="false" customHeight="true" outlineLevel="0" collapsed="false">
      <c r="A20" s="30" t="s">
        <v>135</v>
      </c>
      <c r="B20" s="30"/>
      <c r="C20" s="30"/>
      <c r="D20" s="33" t="n">
        <f aca="false">COUNTIF(E4:E16,"IP")</f>
        <v>0</v>
      </c>
      <c r="E20" s="32"/>
      <c r="F20" s="32"/>
      <c r="G20" s="32"/>
    </row>
    <row r="21" customFormat="false" ht="15" hidden="false" customHeight="true" outlineLevel="0" collapsed="false">
      <c r="A21" s="30" t="s">
        <v>136</v>
      </c>
      <c r="B21" s="30"/>
      <c r="C21" s="30"/>
      <c r="D21" s="33" t="n">
        <f aca="false">IFERROR(COUNTIF(E4:E16,"Done")/13*100,0)</f>
        <v>0</v>
      </c>
      <c r="E21" s="32"/>
      <c r="F21" s="32"/>
      <c r="G21" s="32"/>
    </row>
  </sheetData>
  <mergeCells count="5">
    <mergeCell ref="A1:G1"/>
    <mergeCell ref="A18:G18"/>
    <mergeCell ref="A19:C19"/>
    <mergeCell ref="A20:C20"/>
    <mergeCell ref="A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18"/>
    <col collapsed="false" customWidth="true" hidden="false" outlineLevel="0" max="8" min="8" style="0" width="22"/>
  </cols>
  <sheetData>
    <row r="1" customFormat="false" ht="33.75" hidden="false" customHeight="true" outlineLevel="0" collapsed="false">
      <c r="A1" s="50" t="s">
        <v>137</v>
      </c>
      <c r="B1" s="50"/>
      <c r="C1" s="50"/>
      <c r="D1" s="50"/>
      <c r="E1" s="50"/>
      <c r="F1" s="50"/>
      <c r="G1" s="50"/>
      <c r="H1" s="50"/>
    </row>
    <row r="3" customFormat="false" ht="15" hidden="false" customHeight="false" outlineLevel="0" collapsed="false">
      <c r="A3" s="52" t="s">
        <v>49</v>
      </c>
      <c r="B3" s="52" t="s">
        <v>138</v>
      </c>
      <c r="C3" s="52" t="s">
        <v>139</v>
      </c>
      <c r="D3" s="52" t="s">
        <v>140</v>
      </c>
      <c r="E3" s="52" t="s">
        <v>141</v>
      </c>
      <c r="F3" s="52" t="s">
        <v>142</v>
      </c>
      <c r="G3" s="52" t="s">
        <v>143</v>
      </c>
      <c r="H3" s="52" t="s">
        <v>144</v>
      </c>
    </row>
    <row r="4" customFormat="false" ht="15" hidden="false" customHeight="false" outlineLevel="0" collapsed="false">
      <c r="A4" s="60" t="n">
        <v>1</v>
      </c>
      <c r="B4" s="14" t="s">
        <v>145</v>
      </c>
      <c r="C4" s="61"/>
      <c r="D4" s="61"/>
      <c r="E4" s="61"/>
      <c r="F4" s="61"/>
      <c r="G4" s="61"/>
      <c r="H4" s="60" t="s">
        <v>146</v>
      </c>
    </row>
    <row r="5" customFormat="false" ht="15" hidden="false" customHeight="false" outlineLevel="0" collapsed="false">
      <c r="A5" s="4" t="n">
        <v>2</v>
      </c>
      <c r="B5" s="5" t="s">
        <v>147</v>
      </c>
      <c r="C5" s="26"/>
      <c r="D5" s="26"/>
      <c r="E5" s="26"/>
      <c r="F5" s="26"/>
      <c r="G5" s="26"/>
      <c r="H5" s="4" t="s">
        <v>148</v>
      </c>
    </row>
    <row r="6" customFormat="false" ht="15" hidden="false" customHeight="false" outlineLevel="0" collapsed="false">
      <c r="A6" s="8" t="n">
        <v>3</v>
      </c>
      <c r="B6" s="9" t="s">
        <v>149</v>
      </c>
      <c r="C6" s="22"/>
      <c r="D6" s="22"/>
      <c r="E6" s="22"/>
      <c r="F6" s="22"/>
      <c r="G6" s="22"/>
      <c r="H6" s="8" t="s">
        <v>150</v>
      </c>
    </row>
    <row r="7" customFormat="false" ht="15" hidden="false" customHeight="false" outlineLevel="0" collapsed="false">
      <c r="A7" s="4" t="n">
        <v>4</v>
      </c>
      <c r="B7" s="5" t="s">
        <v>151</v>
      </c>
      <c r="C7" s="26"/>
      <c r="D7" s="26"/>
      <c r="E7" s="26"/>
      <c r="F7" s="26"/>
      <c r="G7" s="26"/>
      <c r="H7" s="4" t="s">
        <v>152</v>
      </c>
    </row>
    <row r="8" customFormat="false" ht="15" hidden="false" customHeight="false" outlineLevel="0" collapsed="false">
      <c r="A8" s="8" t="n">
        <v>1</v>
      </c>
      <c r="B8" s="22"/>
      <c r="C8" s="22"/>
      <c r="D8" s="22"/>
      <c r="E8" s="22"/>
      <c r="F8" s="22"/>
      <c r="G8" s="22"/>
      <c r="H8" s="22"/>
    </row>
    <row r="9" customFormat="false" ht="15" hidden="false" customHeight="false" outlineLevel="0" collapsed="false">
      <c r="A9" s="4" t="n">
        <v>2</v>
      </c>
      <c r="B9" s="26"/>
      <c r="C9" s="26"/>
      <c r="D9" s="26"/>
      <c r="E9" s="26"/>
      <c r="F9" s="26"/>
      <c r="G9" s="26"/>
      <c r="H9" s="26"/>
    </row>
    <row r="10" customFormat="false" ht="15" hidden="false" customHeight="false" outlineLevel="0" collapsed="false">
      <c r="A10" s="8" t="n">
        <v>3</v>
      </c>
      <c r="B10" s="22"/>
      <c r="C10" s="22"/>
      <c r="D10" s="22"/>
      <c r="E10" s="22"/>
      <c r="F10" s="22"/>
      <c r="G10" s="22"/>
      <c r="H10" s="22"/>
    </row>
    <row r="11" customFormat="false" ht="15" hidden="false" customHeight="false" outlineLevel="0" collapsed="false">
      <c r="A11" s="4" t="n">
        <v>4</v>
      </c>
      <c r="B11" s="26"/>
      <c r="C11" s="26"/>
      <c r="D11" s="26"/>
      <c r="E11" s="26"/>
      <c r="F11" s="26"/>
      <c r="G11" s="26"/>
      <c r="H11" s="26"/>
    </row>
    <row r="12" customFormat="false" ht="15" hidden="false" customHeight="false" outlineLevel="0" collapsed="false">
      <c r="A12" s="8" t="n">
        <v>5</v>
      </c>
      <c r="B12" s="22"/>
      <c r="C12" s="22"/>
      <c r="D12" s="22"/>
      <c r="E12" s="22"/>
      <c r="F12" s="22"/>
      <c r="G12" s="22"/>
      <c r="H12" s="22"/>
    </row>
    <row r="13" customFormat="false" ht="15" hidden="false" customHeight="false" outlineLevel="0" collapsed="false">
      <c r="A13" s="4" t="n">
        <v>6</v>
      </c>
      <c r="B13" s="26"/>
      <c r="C13" s="26"/>
      <c r="D13" s="26"/>
      <c r="E13" s="26"/>
      <c r="F13" s="26"/>
      <c r="G13" s="26"/>
      <c r="H13" s="26"/>
    </row>
    <row r="14" customFormat="false" ht="15" hidden="false" customHeight="false" outlineLevel="0" collapsed="false">
      <c r="A14" s="8" t="n">
        <v>7</v>
      </c>
      <c r="B14" s="22"/>
      <c r="C14" s="22"/>
      <c r="D14" s="22"/>
      <c r="E14" s="22"/>
      <c r="F14" s="22"/>
      <c r="G14" s="22"/>
      <c r="H14" s="22"/>
    </row>
    <row r="15" customFormat="false" ht="15" hidden="false" customHeight="false" outlineLevel="0" collapsed="false">
      <c r="A15" s="4" t="n">
        <v>8</v>
      </c>
      <c r="B15" s="26"/>
      <c r="C15" s="26"/>
      <c r="D15" s="26"/>
      <c r="E15" s="26"/>
      <c r="F15" s="26"/>
      <c r="G15" s="26"/>
      <c r="H15" s="26"/>
    </row>
    <row r="16" customFormat="false" ht="15" hidden="false" customHeight="false" outlineLevel="0" collapsed="false">
      <c r="A16" s="8" t="n">
        <v>9</v>
      </c>
      <c r="B16" s="22"/>
      <c r="C16" s="22"/>
      <c r="D16" s="22"/>
      <c r="E16" s="22"/>
      <c r="F16" s="22"/>
      <c r="G16" s="22"/>
      <c r="H16" s="22"/>
    </row>
    <row r="17" customFormat="false" ht="15" hidden="false" customHeight="false" outlineLevel="0" collapsed="false">
      <c r="A17" s="4" t="n">
        <v>10</v>
      </c>
      <c r="B17" s="26"/>
      <c r="C17" s="26"/>
      <c r="D17" s="26"/>
      <c r="E17" s="26"/>
      <c r="F17" s="26"/>
      <c r="G17" s="26"/>
      <c r="H17" s="26"/>
    </row>
    <row r="18" customFormat="false" ht="15" hidden="false" customHeight="false" outlineLevel="0" collapsed="false">
      <c r="A18" s="8" t="n">
        <v>11</v>
      </c>
      <c r="B18" s="22"/>
      <c r="C18" s="22"/>
      <c r="D18" s="22"/>
      <c r="E18" s="22"/>
      <c r="F18" s="22"/>
      <c r="G18" s="22"/>
      <c r="H18" s="22"/>
    </row>
    <row r="19" customFormat="false" ht="15" hidden="false" customHeight="false" outlineLevel="0" collapsed="false">
      <c r="A19" s="4" t="n">
        <v>12</v>
      </c>
      <c r="B19" s="26"/>
      <c r="C19" s="26"/>
      <c r="D19" s="26"/>
      <c r="E19" s="26"/>
      <c r="F19" s="26"/>
      <c r="G19" s="26"/>
      <c r="H19" s="26"/>
    </row>
    <row r="20" customFormat="false" ht="15" hidden="false" customHeight="false" outlineLevel="0" collapsed="false">
      <c r="A20" s="8" t="n">
        <v>13</v>
      </c>
      <c r="B20" s="22"/>
      <c r="C20" s="22"/>
      <c r="D20" s="22"/>
      <c r="E20" s="22"/>
      <c r="F20" s="22"/>
      <c r="G20" s="22"/>
      <c r="H20" s="22"/>
    </row>
    <row r="21" customFormat="false" ht="15" hidden="false" customHeight="false" outlineLevel="0" collapsed="false">
      <c r="A21" s="4" t="n">
        <v>14</v>
      </c>
      <c r="B21" s="26"/>
      <c r="C21" s="26"/>
      <c r="D21" s="26"/>
      <c r="E21" s="26"/>
      <c r="F21" s="26"/>
      <c r="G21" s="26"/>
      <c r="H21" s="26"/>
    </row>
    <row r="22" customFormat="false" ht="15" hidden="false" customHeight="false" outlineLevel="0" collapsed="false">
      <c r="A22" s="8" t="n">
        <v>15</v>
      </c>
      <c r="B22" s="22"/>
      <c r="C22" s="22"/>
      <c r="D22" s="22"/>
      <c r="E22" s="22"/>
      <c r="F22" s="22"/>
      <c r="G22" s="22"/>
      <c r="H22" s="22"/>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0000"/>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16"/>
    <col collapsed="false" customWidth="true" hidden="false" outlineLevel="0" max="4" min="4" style="0" width="40"/>
    <col collapsed="false" customWidth="true" hidden="false" outlineLevel="0" max="5" min="5" style="0" width="30"/>
    <col collapsed="false" customWidth="true" hidden="false" outlineLevel="0" max="6" min="6" style="0" width="14"/>
  </cols>
  <sheetData>
    <row r="1" customFormat="false" ht="33.75" hidden="false" customHeight="true" outlineLevel="0" collapsed="false">
      <c r="A1" s="62" t="s">
        <v>153</v>
      </c>
      <c r="B1" s="62"/>
      <c r="C1" s="62"/>
      <c r="D1" s="62"/>
      <c r="E1" s="62"/>
      <c r="F1" s="62"/>
    </row>
    <row r="3" customFormat="false" ht="15" hidden="false" customHeight="false" outlineLevel="0" collapsed="false">
      <c r="A3" s="63" t="s">
        <v>2</v>
      </c>
      <c r="B3" s="63" t="s">
        <v>154</v>
      </c>
      <c r="C3" s="63" t="s">
        <v>155</v>
      </c>
      <c r="D3" s="63" t="s">
        <v>156</v>
      </c>
      <c r="E3" s="63" t="s">
        <v>157</v>
      </c>
      <c r="F3" s="63" t="s">
        <v>158</v>
      </c>
    </row>
    <row r="4" customFormat="false" ht="49.5" hidden="false" customHeight="true" outlineLevel="0" collapsed="false">
      <c r="A4" s="8" t="n">
        <v>1</v>
      </c>
      <c r="B4" s="9" t="s">
        <v>159</v>
      </c>
      <c r="C4" s="11" t="s">
        <v>160</v>
      </c>
      <c r="D4" s="10" t="s">
        <v>161</v>
      </c>
      <c r="E4" s="10" t="s">
        <v>162</v>
      </c>
      <c r="F4" s="22"/>
    </row>
    <row r="5" customFormat="false" ht="49.5" hidden="false" customHeight="true" outlineLevel="0" collapsed="false">
      <c r="A5" s="4" t="n">
        <v>2</v>
      </c>
      <c r="B5" s="5" t="s">
        <v>163</v>
      </c>
      <c r="C5" s="7" t="s">
        <v>164</v>
      </c>
      <c r="D5" s="6" t="s">
        <v>165</v>
      </c>
      <c r="E5" s="6" t="s">
        <v>166</v>
      </c>
      <c r="F5" s="26"/>
    </row>
    <row r="6" customFormat="false" ht="49.5" hidden="false" customHeight="true" outlineLevel="0" collapsed="false">
      <c r="A6" s="8" t="n">
        <v>3</v>
      </c>
      <c r="B6" s="9" t="s">
        <v>167</v>
      </c>
      <c r="C6" s="11" t="s">
        <v>160</v>
      </c>
      <c r="D6" s="10" t="s">
        <v>168</v>
      </c>
      <c r="E6" s="10" t="s">
        <v>169</v>
      </c>
      <c r="F6" s="22"/>
    </row>
    <row r="7" customFormat="false" ht="49.5" hidden="false" customHeight="true" outlineLevel="0" collapsed="false">
      <c r="A7" s="4" t="n">
        <v>4</v>
      </c>
      <c r="B7" s="5" t="s">
        <v>170</v>
      </c>
      <c r="C7" s="7" t="s">
        <v>160</v>
      </c>
      <c r="D7" s="6" t="s">
        <v>171</v>
      </c>
      <c r="E7" s="6" t="s">
        <v>172</v>
      </c>
      <c r="F7" s="26"/>
    </row>
    <row r="8" customFormat="false" ht="49.5" hidden="false" customHeight="true" outlineLevel="0" collapsed="false">
      <c r="A8" s="8" t="n">
        <v>5</v>
      </c>
      <c r="B8" s="9" t="s">
        <v>173</v>
      </c>
      <c r="C8" s="11" t="s">
        <v>160</v>
      </c>
      <c r="D8" s="10" t="s">
        <v>174</v>
      </c>
      <c r="E8" s="10" t="s">
        <v>175</v>
      </c>
      <c r="F8" s="22"/>
    </row>
    <row r="9" customFormat="false" ht="49.5" hidden="false" customHeight="true" outlineLevel="0" collapsed="false">
      <c r="A9" s="4" t="n">
        <v>6</v>
      </c>
      <c r="B9" s="5" t="s">
        <v>176</v>
      </c>
      <c r="C9" s="7" t="s">
        <v>164</v>
      </c>
      <c r="D9" s="6" t="s">
        <v>177</v>
      </c>
      <c r="E9" s="6" t="s">
        <v>178</v>
      </c>
      <c r="F9" s="26"/>
    </row>
    <row r="10" customFormat="false" ht="49.5" hidden="false" customHeight="true" outlineLevel="0" collapsed="false">
      <c r="A10" s="8" t="n">
        <v>7</v>
      </c>
      <c r="B10" s="9" t="s">
        <v>179</v>
      </c>
      <c r="C10" s="11" t="s">
        <v>160</v>
      </c>
      <c r="D10" s="10" t="s">
        <v>180</v>
      </c>
      <c r="E10" s="10" t="s">
        <v>181</v>
      </c>
      <c r="F10" s="22"/>
    </row>
    <row r="11" customFormat="false" ht="49.5" hidden="false" customHeight="true" outlineLevel="0" collapsed="false">
      <c r="A11" s="4" t="n">
        <v>8</v>
      </c>
      <c r="B11" s="5" t="s">
        <v>182</v>
      </c>
      <c r="C11" s="7" t="s">
        <v>160</v>
      </c>
      <c r="D11" s="6" t="s">
        <v>183</v>
      </c>
      <c r="E11" s="6" t="s">
        <v>184</v>
      </c>
      <c r="F11" s="26"/>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102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42"/>
    <col collapsed="false" customWidth="true" hidden="false" outlineLevel="0" max="5" min="4" style="0" width="16"/>
    <col collapsed="false" customWidth="true" hidden="false" outlineLevel="0" max="6" min="6" style="0" width="22"/>
  </cols>
  <sheetData>
    <row r="1" customFormat="false" ht="33.75" hidden="false" customHeight="true" outlineLevel="0" collapsed="false">
      <c r="A1" s="19" t="s">
        <v>185</v>
      </c>
      <c r="B1" s="19"/>
      <c r="C1" s="19"/>
      <c r="D1" s="19"/>
      <c r="E1" s="19"/>
      <c r="F1" s="19"/>
    </row>
    <row r="2" customFormat="false" ht="25.5" hidden="false" customHeight="true" outlineLevel="0" collapsed="false">
      <c r="A2" s="64" t="s">
        <v>186</v>
      </c>
      <c r="B2" s="64"/>
      <c r="C2" s="64"/>
      <c r="D2" s="64"/>
      <c r="E2" s="64"/>
      <c r="F2" s="64"/>
    </row>
    <row r="3" customFormat="false" ht="15" hidden="false" customHeight="false" outlineLevel="0" collapsed="false">
      <c r="A3" s="21" t="s">
        <v>2</v>
      </c>
      <c r="B3" s="21" t="s">
        <v>187</v>
      </c>
      <c r="C3" s="21" t="s">
        <v>188</v>
      </c>
      <c r="D3" s="21" t="s">
        <v>189</v>
      </c>
      <c r="E3" s="21" t="s">
        <v>190</v>
      </c>
      <c r="F3" s="21" t="s">
        <v>191</v>
      </c>
    </row>
    <row r="4" customFormat="false" ht="31.5" hidden="false" customHeight="true" outlineLevel="0" collapsed="false">
      <c r="A4" s="8" t="n">
        <v>1</v>
      </c>
      <c r="B4" s="9" t="s">
        <v>192</v>
      </c>
      <c r="C4" s="10" t="s">
        <v>193</v>
      </c>
      <c r="D4" s="22"/>
      <c r="E4" s="22"/>
      <c r="F4" s="22"/>
    </row>
    <row r="5" customFormat="false" ht="31.5" hidden="false" customHeight="true" outlineLevel="0" collapsed="false">
      <c r="A5" s="4" t="n">
        <v>2</v>
      </c>
      <c r="B5" s="5" t="s">
        <v>194</v>
      </c>
      <c r="C5" s="6" t="s">
        <v>195</v>
      </c>
      <c r="D5" s="26"/>
      <c r="E5" s="26"/>
      <c r="F5" s="26"/>
    </row>
    <row r="6" customFormat="false" ht="31.5" hidden="false" customHeight="true" outlineLevel="0" collapsed="false">
      <c r="A6" s="8" t="n">
        <v>3</v>
      </c>
      <c r="B6" s="9" t="s">
        <v>196</v>
      </c>
      <c r="C6" s="10" t="s">
        <v>197</v>
      </c>
      <c r="D6" s="22"/>
      <c r="E6" s="22"/>
      <c r="F6" s="22"/>
    </row>
    <row r="7" customFormat="false" ht="31.5" hidden="false" customHeight="true" outlineLevel="0" collapsed="false">
      <c r="A7" s="4" t="n">
        <v>4</v>
      </c>
      <c r="B7" s="5" t="s">
        <v>198</v>
      </c>
      <c r="C7" s="6" t="s">
        <v>199</v>
      </c>
      <c r="D7" s="26"/>
      <c r="E7" s="26"/>
      <c r="F7" s="26"/>
    </row>
    <row r="8" customFormat="false" ht="31.5" hidden="false" customHeight="true" outlineLevel="0" collapsed="false">
      <c r="A8" s="8" t="n">
        <v>5</v>
      </c>
      <c r="B8" s="9" t="s">
        <v>200</v>
      </c>
      <c r="C8" s="10" t="s">
        <v>201</v>
      </c>
      <c r="D8" s="22"/>
      <c r="E8" s="22"/>
      <c r="F8" s="22"/>
    </row>
    <row r="9" customFormat="false" ht="31.5" hidden="false" customHeight="true" outlineLevel="0" collapsed="false">
      <c r="A9" s="4" t="n">
        <v>6</v>
      </c>
      <c r="B9" s="5" t="s">
        <v>202</v>
      </c>
      <c r="C9" s="6" t="s">
        <v>203</v>
      </c>
      <c r="D9" s="26"/>
      <c r="E9" s="26"/>
      <c r="F9" s="26"/>
    </row>
    <row r="10" customFormat="false" ht="31.5" hidden="false" customHeight="true" outlineLevel="0" collapsed="false">
      <c r="A10" s="8" t="n">
        <v>7</v>
      </c>
      <c r="B10" s="9" t="s">
        <v>204</v>
      </c>
      <c r="C10" s="10" t="s">
        <v>205</v>
      </c>
      <c r="D10" s="22"/>
      <c r="E10" s="22"/>
      <c r="F10" s="22"/>
    </row>
    <row r="11" customFormat="false" ht="31.5" hidden="false" customHeight="true" outlineLevel="0" collapsed="false">
      <c r="A11" s="4" t="n">
        <v>8</v>
      </c>
      <c r="B11" s="5" t="s">
        <v>206</v>
      </c>
      <c r="C11" s="6" t="s">
        <v>207</v>
      </c>
      <c r="D11" s="26"/>
      <c r="E11" s="26"/>
      <c r="F11" s="26"/>
    </row>
    <row r="12" customFormat="false" ht="31.5" hidden="false" customHeight="true" outlineLevel="0" collapsed="false">
      <c r="A12" s="8" t="n">
        <v>9</v>
      </c>
      <c r="B12" s="9" t="s">
        <v>208</v>
      </c>
      <c r="C12" s="10" t="s">
        <v>209</v>
      </c>
      <c r="D12" s="22"/>
      <c r="E12" s="22"/>
      <c r="F12" s="22"/>
    </row>
    <row r="13" customFormat="false" ht="31.5" hidden="false" customHeight="true" outlineLevel="0" collapsed="false">
      <c r="A13" s="4" t="n">
        <v>10</v>
      </c>
      <c r="B13" s="5" t="s">
        <v>210</v>
      </c>
      <c r="C13" s="6" t="s">
        <v>211</v>
      </c>
      <c r="D13" s="26"/>
      <c r="E13" s="26"/>
      <c r="F13" s="26"/>
    </row>
    <row r="14" customFormat="false" ht="31.5" hidden="false" customHeight="true" outlineLevel="0" collapsed="false">
      <c r="A14" s="8" t="n">
        <v>11</v>
      </c>
      <c r="B14" s="9" t="s">
        <v>212</v>
      </c>
      <c r="C14" s="10" t="s">
        <v>213</v>
      </c>
      <c r="D14" s="22"/>
      <c r="E14" s="22"/>
      <c r="F14" s="22"/>
    </row>
    <row r="15" customFormat="false" ht="31.5" hidden="false" customHeight="true" outlineLevel="0" collapsed="false">
      <c r="A15" s="4" t="n">
        <v>12</v>
      </c>
      <c r="B15" s="5" t="s">
        <v>214</v>
      </c>
      <c r="C15" s="6" t="s">
        <v>215</v>
      </c>
      <c r="D15" s="26"/>
      <c r="E15" s="26"/>
      <c r="F15" s="26"/>
    </row>
    <row r="16" customFormat="false" ht="31.5" hidden="false" customHeight="true" outlineLevel="0" collapsed="false">
      <c r="A16" s="8" t="n">
        <v>13</v>
      </c>
      <c r="B16" s="9" t="s">
        <v>216</v>
      </c>
      <c r="C16" s="10" t="s">
        <v>217</v>
      </c>
      <c r="D16" s="22"/>
      <c r="E16" s="22"/>
      <c r="F16" s="22"/>
    </row>
    <row r="17" customFormat="false" ht="31.5" hidden="false" customHeight="true" outlineLevel="0" collapsed="false">
      <c r="A17" s="4" t="n">
        <v>14</v>
      </c>
      <c r="B17" s="5" t="s">
        <v>218</v>
      </c>
      <c r="C17" s="6" t="s">
        <v>219</v>
      </c>
      <c r="D17" s="26"/>
      <c r="E17" s="26"/>
      <c r="F17" s="26"/>
    </row>
    <row r="18" customFormat="false" ht="31.5" hidden="false" customHeight="true" outlineLevel="0" collapsed="false">
      <c r="A18" s="8" t="n">
        <v>15</v>
      </c>
      <c r="B18" s="9" t="s">
        <v>220</v>
      </c>
      <c r="C18" s="10" t="s">
        <v>221</v>
      </c>
      <c r="D18" s="22"/>
      <c r="E18" s="22"/>
      <c r="F18" s="22"/>
    </row>
    <row r="19" customFormat="false" ht="31.5" hidden="false" customHeight="true" outlineLevel="0" collapsed="false">
      <c r="A19" s="4" t="n">
        <v>16</v>
      </c>
      <c r="B19" s="5" t="s">
        <v>222</v>
      </c>
      <c r="C19" s="6" t="s">
        <v>223</v>
      </c>
      <c r="D19" s="26"/>
      <c r="E19" s="26"/>
      <c r="F19" s="26"/>
    </row>
    <row r="20" customFormat="false" ht="31.5" hidden="false" customHeight="true" outlineLevel="0" collapsed="false">
      <c r="A20" s="8" t="n">
        <v>17</v>
      </c>
      <c r="B20" s="9" t="s">
        <v>224</v>
      </c>
      <c r="C20" s="10" t="s">
        <v>225</v>
      </c>
      <c r="D20" s="22"/>
      <c r="E20" s="22"/>
      <c r="F20" s="22"/>
    </row>
    <row r="21" customFormat="false" ht="31.5" hidden="false" customHeight="true" outlineLevel="0" collapsed="false">
      <c r="A21" s="4" t="n">
        <v>18</v>
      </c>
      <c r="B21" s="5" t="s">
        <v>226</v>
      </c>
      <c r="C21" s="6" t="s">
        <v>227</v>
      </c>
      <c r="D21" s="26"/>
      <c r="E21" s="26"/>
      <c r="F21" s="26"/>
    </row>
    <row r="22" customFormat="false" ht="31.5" hidden="false" customHeight="true" outlineLevel="0" collapsed="false">
      <c r="A22" s="8" t="n">
        <v>19</v>
      </c>
      <c r="B22" s="9" t="s">
        <v>228</v>
      </c>
      <c r="C22" s="10" t="s">
        <v>229</v>
      </c>
      <c r="D22" s="22"/>
      <c r="E22" s="22"/>
      <c r="F22" s="22"/>
    </row>
    <row r="23" customFormat="false" ht="31.5" hidden="false" customHeight="true" outlineLevel="0" collapsed="false">
      <c r="A23" s="4" t="n">
        <v>20</v>
      </c>
      <c r="B23" s="5" t="s">
        <v>230</v>
      </c>
      <c r="C23" s="6" t="s">
        <v>231</v>
      </c>
      <c r="D23" s="26"/>
      <c r="E23" s="26"/>
      <c r="F23" s="26"/>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2026-05-20T03:43:40Z</dcterms:created>
  <dc:creator>openpyxl</dc:creator>
  <dc:description/>
  <dc:language>en-US</dc:language>
  <cp:lastModifiedBy/>
  <dcterms:modified xsi:type="dcterms:W3CDTF">2026-05-20T03:43:40Z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