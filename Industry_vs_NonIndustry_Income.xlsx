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_Master" sheetId="1" r:id="rId1"/>
    <sheet name="Industry_Summary" sheetId="2" r:id="rId2"/>
    <sheet name="NonIndustry_Summary" sheetId="3" r:id="rId3"/>
    <sheet name="Departmentwise_Income" sheetId="4" r:id="rId4"/>
    <sheet name="Formulas" sheetId="5" r:id="rId5"/>
    <sheet name="THE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<sst xmlns="http://schemas.openxmlformats.org/spreadsheetml/2006/main" count="89" uniqueCount="77">
  <si>
    <t>Financial_Year</t>
  </si>
  <si>
    <t>Project_ID</t>
  </si>
  <si>
    <t>Project_Title</t>
  </si>
  <si>
    <t>Funding_Source_Type (Industry/Non-Industry)</t>
  </si>
  <si>
    <t>Funding_Source_Name</t>
  </si>
  <si>
    <t>Funding_Category (Govt/Private/International/NGO)</t>
  </si>
  <si>
    <t>Department</t>
  </si>
  <si>
    <t>Principal_Investigator</t>
  </si>
  <si>
    <t>Co_Investigators</t>
  </si>
  <si>
    <t>Total_Approved_Amount</t>
  </si>
  <si>
    <t>Amount_Received_This_Year</t>
  </si>
  <si>
    <t>Cumulative_Amount_Received</t>
  </si>
  <si>
    <t>Project_Start_Date</t>
  </si>
  <si>
    <t>Project_End_Date</t>
  </si>
  <si>
    <t>Project_Status (Ongoing/Completed)</t>
  </si>
  <si>
    <t>Evidence_File_Link</t>
  </si>
  <si>
    <t>Remarks</t>
  </si>
  <si>
    <t>Total_Industry_Funding</t>
  </si>
  <si>
    <t>Industry_Projects_Count</t>
  </si>
  <si>
    <t>Avg_Industry_Funding_per_Project</t>
  </si>
  <si>
    <t>Top_Industry_Funder</t>
  </si>
  <si>
    <t>Department_with_Max_Industry_Funding</t>
  </si>
  <si>
    <t>Total_NonIndustry_Funding</t>
  </si>
  <si>
    <t>Govt_Funding</t>
  </si>
  <si>
    <t>International_Funding</t>
  </si>
  <si>
    <t>NGO_Funding</t>
  </si>
  <si>
    <t>NonIndustry_Projects_Count</t>
  </si>
  <si>
    <t>Top_Funder</t>
  </si>
  <si>
    <t>Dept_with_Max_NonIndustry_Funding</t>
  </si>
  <si>
    <t>Industry_Funding</t>
  </si>
  <si>
    <t>NonIndustry_Funding</t>
  </si>
  <si>
    <t>Total_Research_Income</t>
  </si>
  <si>
    <t>Industry_to_Total_Ratio</t>
  </si>
  <si>
    <t>Metric</t>
  </si>
  <si>
    <t>Formula</t>
  </si>
  <si>
    <t>Explanation</t>
  </si>
  <si>
    <t>Industry Funding Ratio</t>
  </si>
  <si>
    <t>Non-Industry Funding Ratio</t>
  </si>
  <si>
    <t>Avg Funding per Industry Project</t>
  </si>
  <si>
    <t>Avg Funding per NonIndustry Project</t>
  </si>
  <si>
    <t>Shows share of industry-funded research.</t>
  </si>
  <si>
    <t>Shows dependence on government/non-industry grants.</t>
  </si>
  <si>
    <t>Average income generated per industry collaboration.</t>
  </si>
  <si>
    <t>Average grant amount per non-industry project.</t>
  </si>
  <si>
    <t>Rule</t>
  </si>
  <si>
    <t>Only research income is counted, not consultancy or training revenue.</t>
  </si>
  <si>
    <t>Industry funding must come from corporate/private entities.</t>
  </si>
  <si>
    <t>Government funding falls under 'Non-Industry'.</t>
  </si>
  <si>
    <t>International funding must be normalised using PPP for THE submission.</t>
  </si>
  <si>
    <t>Income must be aligned to reporting financial year.</t>
  </si>
  <si>
    <t>Evidence files (MoUs, sanction letters, UC) must be maintained.</t>
  </si>
  <si>
    <t>Ensures correct submission to THE Industry Income indicator.</t>
  </si>
  <si>
    <t>Corporate R&amp;D sponsorships qualify as industry income.</t>
  </si>
  <si>
    <t>All ministries, councils, and public bodies fall under non-industry.</t>
  </si>
  <si>
    <t>PPP conversion ensures comparability across countries.</t>
  </si>
  <si>
    <t>Prevents misalignment of grant period vs ranking period.</t>
  </si>
  <si>
    <t>THE requires documentary proof for all funding sources.</t>
  </si>
  <si>
    <t>Requirement</t>
  </si>
  <si>
    <t>Evidence_Required</t>
  </si>
  <si>
    <t>Status</t>
  </si>
  <si>
    <t>Industry-funded project list verified</t>
  </si>
  <si>
    <t>Government-funded project list verified</t>
  </si>
  <si>
    <t>PPP conversion applied for international grants</t>
  </si>
  <si>
    <t>Evidence files (sanction letters, MoUs) uploaded</t>
  </si>
  <si>
    <t>Yearwise income reconciliation completed</t>
  </si>
  <si>
    <t>Notes</t>
  </si>
  <si>
    <t>Recommended Dashboards:</t>
  </si>
  <si>
    <t>• Industry vs Non-Industry Income Trend (5 years)</t>
  </si>
  <si>
    <t>• Funding Source Pie Chart</t>
  </si>
  <si>
    <t>• Departmentwise Funding Bar Chart</t>
  </si>
  <si>
    <t>• Top Funders Table</t>
  </si>
  <si>
    <t>• Industry Ratio Heatmap</t>
  </si>
  <si>
    <t>Insights:</t>
  </si>
  <si>
    <t>• Helps planning institutional revenue diversification.</t>
  </si>
  <si>
    <t>• Supports THE Industry Income indicator preparation.</t>
  </si>
  <si>
    <t>• Identifies strong departments in external funding.</t>
  </si>
  <si>
    <t>• Highlights underfunded research areas.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</si>
</sst>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6</v>
      </c>
      <c r="B1" s="1" t="s">
        <v>0</v>
      </c>
      <c r="C1" s="1" t="s">
        <v>29</v>
      </c>
      <c r="D1" s="1" t="s">
        <v>30</v>
      </c>
      <c r="E1" s="1" t="s">
        <v>23</v>
      </c>
      <c r="F1" s="1" t="s">
        <v>24</v>
      </c>
      <c r="G1" s="1" t="s">
        <v>25</v>
      </c>
      <c r="H1" s="1" t="s">
        <v>31</v>
      </c>
      <c r="I1" s="1" t="s">
        <v>32</v>
      </c>
      <c r="J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>
        <f>Industry_Funding / Total_Research_Income</f>
        <v>0</v>
      </c>
      <c r="C2" t="s">
        <v>40</v>
      </c>
    </row>
    <row r="3" spans="1:3">
      <c r="A3" t="s">
        <v>37</v>
      </c>
      <c r="B3">
        <f>NonIndustry_Funding / Total_Research_Income</f>
        <v>0</v>
      </c>
      <c r="C3" t="s">
        <v>41</v>
      </c>
    </row>
    <row r="4" spans="1:3">
      <c r="A4" t="s">
        <v>38</v>
      </c>
      <c r="B4">
        <f>Total_Industry_Funding / Industry_Projects_Count</f>
        <v>0</v>
      </c>
      <c r="C4" t="s">
        <v>42</v>
      </c>
    </row>
    <row r="5" spans="1:3">
      <c r="A5" t="s">
        <v>39</v>
      </c>
      <c r="B5">
        <f>Total_NonIndustry_Funding / NonIndustry_Projects_Count</f>
        <v>0</v>
      </c>
      <c r="C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44</v>
      </c>
      <c r="B1" s="1" t="s">
        <v>35</v>
      </c>
    </row>
    <row r="2" spans="1:2">
      <c r="A2" t="s">
        <v>45</v>
      </c>
      <c r="B2" t="s">
        <v>51</v>
      </c>
    </row>
    <row r="3" spans="1:2">
      <c r="A3" t="s">
        <v>46</v>
      </c>
      <c r="B3" t="s">
        <v>52</v>
      </c>
    </row>
    <row r="4" spans="1:2">
      <c r="A4" t="s">
        <v>47</v>
      </c>
      <c r="B4" t="s">
        <v>53</v>
      </c>
    </row>
    <row r="5" spans="1:2">
      <c r="A5" t="s">
        <v>48</v>
      </c>
      <c r="B5" t="s">
        <v>54</v>
      </c>
    </row>
    <row r="6" spans="1:2">
      <c r="A6" t="s">
        <v>49</v>
      </c>
      <c r="B6" t="s">
        <v>55</v>
      </c>
    </row>
    <row r="7" spans="1:2">
      <c r="A7" t="s">
        <v>50</v>
      </c>
      <c r="B7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16</v>
      </c>
    </row>
    <row r="2" spans="1:4">
      <c r="A2" t="s">
        <v>60</v>
      </c>
    </row>
    <row r="3" spans="1:4">
      <c r="A3" t="s">
        <v>61</v>
      </c>
    </row>
    <row r="4" spans="1:4">
      <c r="A4" t="s">
        <v>62</v>
      </c>
    </row>
    <row r="5" spans="1:4">
      <c r="A5" t="s">
        <v>63</v>
      </c>
    </row>
    <row r="6" spans="1:4">
      <c r="A6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65</v>
      </c>
    </row>
    <row r="2" spans="1:1">
      <c r="A2" t="s">
        <v>66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6" spans="1:1">
      <c r="A6" t="s">
        <v>70</v>
      </c>
    </row>
    <row r="7" spans="1:1">
      <c r="A7" t="s">
        <v>71</v>
      </c>
    </row>
    <row r="9" spans="1:1">
      <c r="A9" t="s">
        <v>72</v>
      </c>
    </row>
    <row r="10" spans="1:1">
      <c r="A10" t="s">
        <v>73</v>
      </c>
    </row>
    <row r="11" spans="1:1">
      <c r="A11" t="s">
        <v>74</v>
      </c>
    </row>
    <row r="12" spans="1:1">
      <c r="A12" t="s">
        <v>75</v>
      </c>
    </row>
    <row r="13" spans="1:1">
      <c r="A1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Income_Master</vt:lpstr>
      <vt:lpstr>Industry_Summary</vt:lpstr>
      <vt:lpstr>NonIndustry_Summary</vt:lpstr>
      <vt:lpstr>Departmentwise_Income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2025-12-07T06:37:16Z</dcterms:created>
  <dcterms:modified xsi:type="dcterms:W3CDTF">2025-12-07T06:37:16Z</dcterms:modified>
</cp:coreProperties>
</file>