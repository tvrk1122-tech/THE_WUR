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wise_Patent_Trend" sheetId="1" r:id="rId1"/>
    <sheet name="Departmentwise_Trend" sheetId="2" r:id="rId2"/>
    <sheet name="Patent_Type_Distribution" sheetId="3" r:id="rId3"/>
    <sheet name="IPC_Section_Trend" sheetId="4" r:id="rId4"/>
    <sheet name="Summary_Insights" sheetId="5" r:id="rId5"/>
    <sheet name="Formulas" sheetId="6" r:id="rId6"/>
    <sheet name="Audit_Rules" sheetId="7" r:id="rId7"/>
    <sheet name="Compliance_Checklist" sheetId="8" r:id="rId8"/>
    <sheet name="Dashboard_Notes" sheetId="9" r:id="rId9"/>
  </sheets>
  <calcPr calcId="124519" fullCalcOnLoad="1"/>
</workbook>
</file>

<file path=xl/sharedStrings.xml><?xml version="1.0" encoding="utf-8"?>
<sst xmlns="http://schemas.openxmlformats.org/spreadsheetml/2006/main" count="103" uniqueCount="80">
  <si>
    <t>Year</t>
  </si>
  <si>
    <t>Total_Patents_Filed</t>
  </si>
  <si>
    <t>Total_Patents_Granted</t>
  </si>
  <si>
    <t>Patents_Citing_University_Publications</t>
  </si>
  <si>
    <t>International_Patents</t>
  </si>
  <si>
    <t>Industry_Collaborated_Patents</t>
  </si>
  <si>
    <t>Top_IPC_Section</t>
  </si>
  <si>
    <t>Top_Tech_Domain</t>
  </si>
  <si>
    <t>Remarks</t>
  </si>
  <si>
    <t>2018</t>
  </si>
  <si>
    <t>2019</t>
  </si>
  <si>
    <t>2020</t>
  </si>
  <si>
    <t>2021</t>
  </si>
  <si>
    <t>2022</t>
  </si>
  <si>
    <t>Department</t>
  </si>
  <si>
    <t>5Year_Total</t>
  </si>
  <si>
    <t>5Year_Average</t>
  </si>
  <si>
    <t>Patent_Type</t>
  </si>
  <si>
    <t>Provisional Patents</t>
  </si>
  <si>
    <t>Complete Specifications</t>
  </si>
  <si>
    <t>Design Patents</t>
  </si>
  <si>
    <t>International Patents (PCT)</t>
  </si>
  <si>
    <t>Patents Granted</t>
  </si>
  <si>
    <t>Patents with Industry Collaboration</t>
  </si>
  <si>
    <t>IPC_Section</t>
  </si>
  <si>
    <t>Technology_Domain</t>
  </si>
  <si>
    <t>Insight_Category</t>
  </si>
  <si>
    <t>Insight_Details</t>
  </si>
  <si>
    <t>Highest patent filing year</t>
  </si>
  <si>
    <t>Highest patent granting year</t>
  </si>
  <si>
    <t>Top contributing department</t>
  </si>
  <si>
    <t>Most active IPC section</t>
  </si>
  <si>
    <t>Most active technology domain</t>
  </si>
  <si>
    <t>5-year growth trend</t>
  </si>
  <si>
    <t>Citation impact (if available)</t>
  </si>
  <si>
    <t>Industry collaboration trend</t>
  </si>
  <si>
    <t>Metric</t>
  </si>
  <si>
    <t>Formula</t>
  </si>
  <si>
    <t>Explanation</t>
  </si>
  <si>
    <t>5-Year Total</t>
  </si>
  <si>
    <t>5-Year Average</t>
  </si>
  <si>
    <t>Patent Growth Rate</t>
  </si>
  <si>
    <t>Contribution %</t>
  </si>
  <si>
    <t>Total patents over 5 years.</t>
  </si>
  <si>
    <t>Average number of patents per year.</t>
  </si>
  <si>
    <t>Shows growth from 2018 to 2022.</t>
  </si>
  <si>
    <t>Share of a department or section across total patents.</t>
  </si>
  <si>
    <t>Rule</t>
  </si>
  <si>
    <t>Only granted patents should be counted in official THE ranking submissions.</t>
  </si>
  <si>
    <t>Patent IDs must be consistent across all years.</t>
  </si>
  <si>
    <t>IPC sections must follow WIPO classification.</t>
  </si>
  <si>
    <t>International patents must be verified through PCT/USPTO/EPO/WIPO.</t>
  </si>
  <si>
    <t>Department-wise attribution should be validated internally.</t>
  </si>
  <si>
    <t>Avoid duplicate entries across provisional and final filings.</t>
  </si>
  <si>
    <t>Ensures correct evaluation for THE 'patents' metric.</t>
  </si>
  <si>
    <t>Prevents double-counting.</t>
  </si>
  <si>
    <t>Maintains accuracy in classification.</t>
  </si>
  <si>
    <t>Ensures global legitimacy of patents.</t>
  </si>
  <si>
    <t>Improves validity of institutional reporting.</t>
  </si>
  <si>
    <t>Avoids over-reporting during audits.</t>
  </si>
  <si>
    <t>Requirement</t>
  </si>
  <si>
    <t>Evidence_Required</t>
  </si>
  <si>
    <t>Status</t>
  </si>
  <si>
    <t>Patent list validated</t>
  </si>
  <si>
    <t>IPC/CPC classification verified</t>
  </si>
  <si>
    <t>Department classification verified</t>
  </si>
  <si>
    <t>Patent grant status confirmed</t>
  </si>
  <si>
    <t>International patent verification done</t>
  </si>
  <si>
    <t>Duplicates removed</t>
  </si>
  <si>
    <t>Notes</t>
  </si>
  <si>
    <t>Suggested Dashboards:</t>
  </si>
  <si>
    <t>• 5-Year Patent Filing &amp; Granting Trend (Line Chart)</t>
  </si>
  <si>
    <t>• Department-wise Patent Contribution (Bar Chart)</t>
  </si>
  <si>
    <t>• IPC Section Contribution (Stacked Column)</t>
  </si>
  <si>
    <t>• Technology Domain Trend (Area Chart)</t>
  </si>
  <si>
    <t>Insights:</t>
  </si>
  <si>
    <t>• Identifies growth in innovation output.</t>
  </si>
  <si>
    <t>• Tracks quality of patents (granted vs filed).</t>
  </si>
  <si>
    <t>• Highlights strong technology areas.</t>
  </si>
  <si>
    <t>• Useful for THE Patents Metric, NAAC, NIRF, ARIIA, IIC reporting.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</si>
</sst>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</row>
    <row r="4" spans="1:9">
      <c r="A4" t="s">
        <v>11</v>
      </c>
    </row>
    <row r="5" spans="1:9">
      <c r="A5" t="s">
        <v>12</v>
      </c>
    </row>
    <row r="6" spans="1:9">
      <c r="A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14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15</v>
      </c>
      <c r="H1" s="1" t="s">
        <v>16</v>
      </c>
      <c r="I1" s="1" t="s">
        <v>6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15</v>
      </c>
      <c r="H1" s="1" t="s">
        <v>8</v>
      </c>
    </row>
    <row r="2" spans="1:8">
      <c r="A2" t="s">
        <v>18</v>
      </c>
    </row>
    <row r="3" spans="1:8">
      <c r="A3" t="s">
        <v>19</v>
      </c>
    </row>
    <row r="4" spans="1:8">
      <c r="A4" t="s">
        <v>20</v>
      </c>
    </row>
    <row r="5" spans="1:8">
      <c r="A5" t="s">
        <v>21</v>
      </c>
    </row>
    <row r="6" spans="1:8">
      <c r="A6" t="s">
        <v>22</v>
      </c>
    </row>
    <row r="7" spans="1:8">
      <c r="A7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24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15</v>
      </c>
      <c r="H1" s="1" t="s">
        <v>25</v>
      </c>
      <c r="I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</row>
    <row r="3" spans="1:2">
      <c r="A3" t="s">
        <v>29</v>
      </c>
    </row>
    <row r="4" spans="1:2">
      <c r="A4" t="s">
        <v>30</v>
      </c>
    </row>
    <row r="5" spans="1:2">
      <c r="A5" t="s">
        <v>31</v>
      </c>
    </row>
    <row r="6" spans="1:2">
      <c r="A6" t="s">
        <v>32</v>
      </c>
    </row>
    <row r="7" spans="1:2">
      <c r="A7" t="s">
        <v>33</v>
      </c>
    </row>
    <row r="8" spans="1:2">
      <c r="A8" t="s">
        <v>34</v>
      </c>
    </row>
    <row r="9" spans="1:2">
      <c r="A9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36</v>
      </c>
      <c r="B1" s="1" t="s">
        <v>37</v>
      </c>
      <c r="C1" s="1" t="s">
        <v>38</v>
      </c>
    </row>
    <row r="2" spans="1:3">
      <c r="A2" t="s">
        <v>39</v>
      </c>
      <c r="B2">
        <f>SUM(B2:F2)</f>
        <v>0</v>
      </c>
      <c r="C2" t="s">
        <v>43</v>
      </c>
    </row>
    <row r="3" spans="1:3">
      <c r="A3" t="s">
        <v>40</v>
      </c>
      <c r="B3">
        <f>AVERAGE(B2:F2)</f>
        <v>0</v>
      </c>
      <c r="C3" t="s">
        <v>44</v>
      </c>
    </row>
    <row r="4" spans="1:3">
      <c r="A4" t="s">
        <v>41</v>
      </c>
      <c r="B4">
        <f>(F2 - B2) / B2</f>
        <v>0</v>
      </c>
      <c r="C4" t="s">
        <v>45</v>
      </c>
    </row>
    <row r="5" spans="1:3">
      <c r="A5" t="s">
        <v>42</v>
      </c>
      <c r="B5">
        <f>Value / SUM(Total_Values)</f>
        <v>0</v>
      </c>
      <c r="C5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47</v>
      </c>
      <c r="B1" s="1" t="s">
        <v>38</v>
      </c>
    </row>
    <row r="2" spans="1:2">
      <c r="A2" t="s">
        <v>48</v>
      </c>
      <c r="B2" t="s">
        <v>54</v>
      </c>
    </row>
    <row r="3" spans="1:2">
      <c r="A3" t="s">
        <v>49</v>
      </c>
      <c r="B3" t="s">
        <v>55</v>
      </c>
    </row>
    <row r="4" spans="1:2">
      <c r="A4" t="s">
        <v>50</v>
      </c>
      <c r="B4" t="s">
        <v>56</v>
      </c>
    </row>
    <row r="5" spans="1:2">
      <c r="A5" t="s">
        <v>51</v>
      </c>
      <c r="B5" t="s">
        <v>57</v>
      </c>
    </row>
    <row r="6" spans="1:2">
      <c r="A6" t="s">
        <v>52</v>
      </c>
      <c r="B6" t="s">
        <v>58</v>
      </c>
    </row>
    <row r="7" spans="1:2">
      <c r="A7" t="s">
        <v>53</v>
      </c>
      <c r="B7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60</v>
      </c>
      <c r="B1" s="1" t="s">
        <v>61</v>
      </c>
      <c r="C1" s="1" t="s">
        <v>62</v>
      </c>
      <c r="D1" s="1" t="s">
        <v>8</v>
      </c>
    </row>
    <row r="2" spans="1:4">
      <c r="A2" t="s">
        <v>63</v>
      </c>
    </row>
    <row r="3" spans="1:4">
      <c r="A3" t="s">
        <v>64</v>
      </c>
    </row>
    <row r="4" spans="1:4">
      <c r="A4" t="s">
        <v>65</v>
      </c>
    </row>
    <row r="5" spans="1:4">
      <c r="A5" t="s">
        <v>66</v>
      </c>
    </row>
    <row r="6" spans="1:4">
      <c r="A6" t="s">
        <v>67</v>
      </c>
    </row>
    <row r="7" spans="1:4">
      <c r="A7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69</v>
      </c>
    </row>
    <row r="2" spans="1:1">
      <c r="A2" t="s">
        <v>70</v>
      </c>
    </row>
    <row r="3" spans="1:1">
      <c r="A3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8" spans="1:1">
      <c r="A8" t="s">
        <v>75</v>
      </c>
    </row>
    <row r="9" spans="1:1">
      <c r="A9" t="s">
        <v>76</v>
      </c>
    </row>
    <row r="10" spans="1:1">
      <c r="A10" t="s">
        <v>77</v>
      </c>
    </row>
    <row r="11" spans="1:1">
      <c r="A11" t="s">
        <v>78</v>
      </c>
    </row>
    <row r="12" spans="1:1">
      <c r="A1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Yearwise_Patent_Trend</vt:lpstr>
      <vt:lpstr>Departmentwise_Trend</vt:lpstr>
      <vt:lpstr>Patent_Type_Distribution</vt:lpstr>
      <vt:lpstr>IPC_Section_Trend</vt:lpstr>
      <vt:lpstr>Summary_Insights</vt:lpstr>
      <vt:lpstr>Formulas</vt:lpstr>
      <vt:lpstr>Audit_Rules</vt:lpstr>
      <vt:lpstr>Compliance_Checklist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2025-12-07T12:00:50Z</dcterms:created>
  <dcterms:modified xsi:type="dcterms:W3CDTF">2025-12-07T12:00:50Z</dcterms:modified>
</cp:coreProperties>
</file>