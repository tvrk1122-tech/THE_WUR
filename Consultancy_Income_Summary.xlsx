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ultancy_Master" sheetId="1" r:id="rId1"/>
    <sheet name="Yearwise_Summary" sheetId="2" r:id="rId2"/>
    <sheet name="Departmentwise_Summary" sheetId="3" r:id="rId3"/>
    <sheet name="Clientwise_Summary" sheetId="4" r:id="rId4"/>
    <sheet name="Formulas" sheetId="5" r:id="rId5"/>
    <sheet name="THE_Rules" sheetId="6" r:id="rId6"/>
    <sheet name="Compliance" sheetId="7" r:id="rId7"/>
    <sheet name="Dashboard_Notes" sheetId="8" r:id="rId8"/>
  </sheets>
  <calcPr calcId="124519" fullCalcOnLoad="1"/>
</workbook>
</file>

<file path=xl/sharedStrings.xml><?xml version="1.0" encoding="utf-8"?>
<sst xmlns="http://schemas.openxmlformats.org/spreadsheetml/2006/main" count="90" uniqueCount="79">
  <si>
    <t>Financial_Year</t>
  </si>
  <si>
    <t>Consultancy_ID</t>
  </si>
  <si>
    <t>Consultancy_Title</t>
  </si>
  <si>
    <t>Client_Organization</t>
  </si>
  <si>
    <t>Client_Type (Industry/Govt/NGO/International)</t>
  </si>
  <si>
    <t>Country_of_Client</t>
  </si>
  <si>
    <t>Department</t>
  </si>
  <si>
    <t>Consultant_in_Charge</t>
  </si>
  <si>
    <t>Team_Members</t>
  </si>
  <si>
    <t>MoU_or_Agreement_No</t>
  </si>
  <si>
    <t>Work_Order_No</t>
  </si>
  <si>
    <t>Consultancy_Start_Date</t>
  </si>
  <si>
    <t>Consultancy_End_Date</t>
  </si>
  <si>
    <t>Total_Approved_Amount</t>
  </si>
  <si>
    <t>Amount_Received_This_Year</t>
  </si>
  <si>
    <t>Cumulative_Amount_Received</t>
  </si>
  <si>
    <t>Payment_Installment_No</t>
  </si>
  <si>
    <t>Nature_of_Work (Testing/Analysis/Design/Training/Advisory/Audit)</t>
  </si>
  <si>
    <t>Deliverables (Reports/Certificates/Models)</t>
  </si>
  <si>
    <t>Evidence_File_Link</t>
  </si>
  <si>
    <t>Status (Ongoing/Completed)</t>
  </si>
  <si>
    <t>Remarks</t>
  </si>
  <si>
    <t>Total_Consultancy_Projects</t>
  </si>
  <si>
    <t>Total_Consultancy_Income</t>
  </si>
  <si>
    <t>Industry_Consultancy_Income</t>
  </si>
  <si>
    <t>Govt_Consultancy_Income</t>
  </si>
  <si>
    <t>International_Consultancy_Income</t>
  </si>
  <si>
    <t>Top_Client</t>
  </si>
  <si>
    <t>Department_With_Max_Consultancy</t>
  </si>
  <si>
    <t>Avg_Consultancy_Income_per_Project</t>
  </si>
  <si>
    <t>Income_Trend_5Years</t>
  </si>
  <si>
    <t>Client_Type</t>
  </si>
  <si>
    <t>Country</t>
  </si>
  <si>
    <t>Total_Projects</t>
  </si>
  <si>
    <t>Total_Income</t>
  </si>
  <si>
    <t>Avg_Income_per_Project</t>
  </si>
  <si>
    <t>Highest_Value_Project</t>
  </si>
  <si>
    <t>Metric</t>
  </si>
  <si>
    <t>Formula</t>
  </si>
  <si>
    <t>Explanation</t>
  </si>
  <si>
    <t>Average Consultancy Income per Project</t>
  </si>
  <si>
    <t>Client Contribution %</t>
  </si>
  <si>
    <t>Department Contribution %</t>
  </si>
  <si>
    <t>Average revenue generated per consultancy project.</t>
  </si>
  <si>
    <t>Shows the percentage contribution of each client.</t>
  </si>
  <si>
    <t>Shows department-level contribution to consultancy revenue.</t>
  </si>
  <si>
    <t>Rule</t>
  </si>
  <si>
    <t>Consultancy income is NOT counted in THE Industry Income metric.</t>
  </si>
  <si>
    <t>Consultancy revenue must be reported separately from research income.</t>
  </si>
  <si>
    <t>Testing and certification income must also be recorded under consultancy.</t>
  </si>
  <si>
    <t>International consultancy income should be tracked for PPP conversion (if needed).</t>
  </si>
  <si>
    <t>Work order and evidence documentation is mandatory for audit verification.</t>
  </si>
  <si>
    <t>Only completed consultancies count for certain accreditation reports.</t>
  </si>
  <si>
    <t>THE considers consultancy separate from pure research funding.</t>
  </si>
  <si>
    <t>Important for clear financial segmentation.</t>
  </si>
  <si>
    <t>Ensures proper categorization of non-research services.</t>
  </si>
  <si>
    <t>Maintains consistency in international revenue reporting.</t>
  </si>
  <si>
    <t>Required for NAAC/NBA/THE verification processes.</t>
  </si>
  <si>
    <t>Prevents incorrect reporting and enhances audit accuracy.</t>
  </si>
  <si>
    <t>Requirement</t>
  </si>
  <si>
    <t>Evidence_Required</t>
  </si>
  <si>
    <t>Status</t>
  </si>
  <si>
    <t>Consultancy list verified</t>
  </si>
  <si>
    <t>Client classification validated</t>
  </si>
  <si>
    <t>International consultancy PPP conversion checked</t>
  </si>
  <si>
    <t>Evidence files uploaded (work order, reports)</t>
  </si>
  <si>
    <t>Yearwise consultancy reconciliation completed</t>
  </si>
  <si>
    <t>Notes</t>
  </si>
  <si>
    <t>Recommended Dashboards:</t>
  </si>
  <si>
    <t>• Consultancy Income Trend (5 years)</t>
  </si>
  <si>
    <t>• Client Contribution Pie Chart</t>
  </si>
  <si>
    <t>• Departmentwise Consultancy Income</t>
  </si>
  <si>
    <t>• Project Count vs Income Scatter Plot</t>
  </si>
  <si>
    <t>• Domestic vs International Consultancy Summary</t>
  </si>
  <si>
    <t>Insights:</t>
  </si>
  <si>
    <t>• Identifies strongest consultancy partners.</t>
  </si>
  <si>
    <t>• Shows which departments generate maximum consultancy revenue.</t>
  </si>
  <si>
    <t>• Helps diversify institutional consultancy portfolio.</t>
  </si>
  <si>
    <t>• Supports financial planning and outreach strategy.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</si>
</sst>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6</v>
      </c>
      <c r="B1" s="1" t="s">
        <v>22</v>
      </c>
      <c r="C1" s="1" t="s">
        <v>23</v>
      </c>
      <c r="D1" s="1" t="s">
        <v>29</v>
      </c>
      <c r="E1" s="1" t="s">
        <v>27</v>
      </c>
      <c r="F1" s="1" t="s">
        <v>30</v>
      </c>
      <c r="G1" s="1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3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37</v>
      </c>
      <c r="B1" s="1" t="s">
        <v>38</v>
      </c>
      <c r="C1" s="1" t="s">
        <v>39</v>
      </c>
    </row>
    <row r="2" spans="1:3">
      <c r="A2" t="s">
        <v>40</v>
      </c>
      <c r="B2">
        <f>Total_Consultancy_Income / Total_Consultancy_Projects</f>
        <v>0</v>
      </c>
      <c r="C2" t="s">
        <v>43</v>
      </c>
    </row>
    <row r="3" spans="1:3">
      <c r="A3" t="s">
        <v>41</v>
      </c>
      <c r="B3">
        <f>Total_Income / SUM(All_Clients_Income)</f>
        <v>0</v>
      </c>
      <c r="C3" t="s">
        <v>44</v>
      </c>
    </row>
    <row r="4" spans="1:3">
      <c r="A4" t="s">
        <v>42</v>
      </c>
      <c r="B4">
        <f>Total_Consultancy_Income / SUM(All_Departments_Income)</f>
        <v>0</v>
      </c>
      <c r="C4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46</v>
      </c>
      <c r="B1" s="1" t="s">
        <v>39</v>
      </c>
    </row>
    <row r="2" spans="1:2">
      <c r="A2" t="s">
        <v>47</v>
      </c>
      <c r="B2" t="s">
        <v>53</v>
      </c>
    </row>
    <row r="3" spans="1:2">
      <c r="A3" t="s">
        <v>48</v>
      </c>
      <c r="B3" t="s">
        <v>54</v>
      </c>
    </row>
    <row r="4" spans="1:2">
      <c r="A4" t="s">
        <v>49</v>
      </c>
      <c r="B4" t="s">
        <v>55</v>
      </c>
    </row>
    <row r="5" spans="1:2">
      <c r="A5" t="s">
        <v>50</v>
      </c>
      <c r="B5" t="s">
        <v>56</v>
      </c>
    </row>
    <row r="6" spans="1:2">
      <c r="A6" t="s">
        <v>51</v>
      </c>
      <c r="B6" t="s">
        <v>57</v>
      </c>
    </row>
    <row r="7" spans="1:2">
      <c r="A7" t="s">
        <v>52</v>
      </c>
      <c r="B7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59</v>
      </c>
      <c r="B1" s="1" t="s">
        <v>60</v>
      </c>
      <c r="C1" s="1" t="s">
        <v>61</v>
      </c>
      <c r="D1" s="1" t="s">
        <v>21</v>
      </c>
    </row>
    <row r="2" spans="1:4">
      <c r="A2" t="s">
        <v>62</v>
      </c>
    </row>
    <row r="3" spans="1:4">
      <c r="A3" t="s">
        <v>63</v>
      </c>
    </row>
    <row r="4" spans="1:4">
      <c r="A4" t="s">
        <v>64</v>
      </c>
    </row>
    <row r="5" spans="1:4">
      <c r="A5" t="s">
        <v>65</v>
      </c>
    </row>
    <row r="6" spans="1:4">
      <c r="A6" t="s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FormatPr defaultRowHeight="15"/>
  <sheetData>
    <row r="1" spans="1:1">
      <c r="A1" s="1" t="s">
        <v>67</v>
      </c>
    </row>
    <row r="2" spans="1:1">
      <c r="A2" t="s">
        <v>68</v>
      </c>
    </row>
    <row r="3" spans="1:1">
      <c r="A3" t="s">
        <v>69</v>
      </c>
    </row>
    <row r="4" spans="1:1">
      <c r="A4" t="s">
        <v>70</v>
      </c>
    </row>
    <row r="5" spans="1:1">
      <c r="A5" t="s">
        <v>71</v>
      </c>
    </row>
    <row r="6" spans="1:1">
      <c r="A6" t="s">
        <v>72</v>
      </c>
    </row>
    <row r="7" spans="1:1">
      <c r="A7" t="s">
        <v>73</v>
      </c>
    </row>
    <row r="9" spans="1:1">
      <c r="A9" t="s">
        <v>74</v>
      </c>
    </row>
    <row r="10" spans="1:1">
      <c r="A10" t="s">
        <v>75</v>
      </c>
    </row>
    <row r="11" spans="1:1">
      <c r="A11" t="s">
        <v>76</v>
      </c>
    </row>
    <row r="12" spans="1:1">
      <c r="A12" t="s">
        <v>77</v>
      </c>
    </row>
    <row r="13" spans="1:1">
      <c r="A13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Consultancy_Master</vt:lpstr>
      <vt:lpstr>Yearwise_Summary</vt:lpstr>
      <vt:lpstr>Departmentwise_Summary</vt:lpstr>
      <vt:lpstr>Clientwise_Summary</vt:lpstr>
      <vt:lpstr>Formulas</vt:lpstr>
      <vt:lpstr>THE_Rules</vt:lpstr>
      <vt:lpstr>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2025-12-07T06:55:16Z</dcterms:created>
  <dcterms:modified xsi:type="dcterms:W3CDTF">2025-12-07T06:55:16Z</dcterms:modified>
</cp:coreProperties>
</file>