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hodology Overview" sheetId="1" state="visible" r:id="rId3"/>
    <sheet name="1. Country Master List" sheetId="2" state="visible" r:id="rId4"/>
    <sheet name="2. Raw Votes by Country" sheetId="3" state="visible" r:id="rId5"/>
    <sheet name="3. Univ × Country Matrix" sheetId="4" state="visible" r:id="rId6"/>
    <sheet name="4. Univ × Continent Matrix" sheetId="5" state="visible" r:id="rId7"/>
    <sheet name="5. Univ × UN Region Matrix" sheetId="6" state="visible" r:id="rId8"/>
    <sheet name="6. Geo Entropy Calc" sheetId="7" state="visible" r:id="rId9"/>
    <sheet name="7. Entropy Helper" sheetId="8" state="visible" r:id="rId10"/>
    <sheet name="8. Home-Country Analysis" sheetId="9" state="visible" r:id="rId11"/>
    <sheet name="9. Geo Diversity Dashboard" sheetId="10" state="visible" r:id="rId12"/>
    <sheet name="10. Data Quality Audit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<sst xmlns="http://schemas.openxmlformats.org/spreadsheetml/2006/main" count="652" uniqueCount="512">
  <si>
    <t xml:space="preserve">THE WRR — Geographical Diversity Data Collection Formats</t>
  </si>
  <si>
    <t xml:space="preserve">Methodology: WRR 2025 Voter Diversity Indicator — Geographical (Country/Territory) Dimension</t>
  </si>
  <si>
    <t xml:space="preserve">#</t>
  </si>
  <si>
    <t xml:space="preserve">Concept</t>
  </si>
  <si>
    <t xml:space="preserve">Description</t>
  </si>
  <si>
    <t xml:space="preserve">Relevance</t>
  </si>
  <si>
    <t xml:space="preserve">Geographical Diversity in WRR</t>
  </si>
  <si>
    <t xml:space="preserve">In the 2025 revamped WRR, voter diversity examines HOW WIDELY an institution's reputation votes are distributed across countries/territories. An institution receiving votes from scholars in 35 countries has a more robust geographical reputation than one receiving votes from 5 countries, even if both have the same total vote count.</t>
  </si>
  <si>
    <t xml:space="preserve">Core component of 10% Diversity pillar</t>
  </si>
  <si>
    <t xml:space="preserve">Entropy Approach</t>
  </si>
  <si>
    <t xml:space="preserve">Shannon entropy H = −Σ pᵢ × log₂(pᵢ) is computed over the country distribution of each institution's voters. Higher H = broader geographic base. The country dimension is ONE axis of the entropy calculation; the other is subject area.</t>
  </si>
  <si>
    <t xml:space="preserve">Mathematical foundation</t>
  </si>
  <si>
    <t xml:space="preserve">Country/Territory Unit</t>
  </si>
  <si>
    <t xml:space="preserve">Each of the 160+ respondent countries/territories is a unit in the geographic distribution. THE uses UN data as a guide to ensure survey coverage is globally representative.</t>
  </si>
  <si>
    <t xml:space="preserve">Aggregation unit</t>
  </si>
  <si>
    <t xml:space="preserve">Geographic Weighting</t>
  </si>
  <si>
    <t xml:space="preserve">Where countries are over- or under-represented in survey responses, THE's data team applies weights to ensure results reflect the global distribution of scholars. This prevents geographic bias.</t>
  </si>
  <si>
    <t xml:space="preserve">Bias correction</t>
  </si>
  <si>
    <t xml:space="preserve">Self-Vote Dilution</t>
  </si>
  <si>
    <t xml:space="preserve">Votes where respondents rate institutions in their own country receive dilution to prevent home-country bias from inflating geographic concentration.</t>
  </si>
  <si>
    <t xml:space="preserve">Bias safeguard</t>
  </si>
  <si>
    <t xml:space="preserve">Regional Concentration Index</t>
  </si>
  <si>
    <t xml:space="preserve">Beyond entropy, THE examines whether votes cluster in a single continent/region. High regional concentration (e.g., 90% from one continent) signals narrow geographic reputation.</t>
  </si>
  <si>
    <t xml:space="preserve">Supplementary metric</t>
  </si>
  <si>
    <t xml:space="preserve">Weight in Final WRR</t>
  </si>
  <si>
    <t xml:space="preserve">Voter diversity (combining geographic + subject diversity) accounts for 10% of overall WRR — split 6.67% research and 3.33% teaching. Geographic diversity is one half of this pillar.</t>
  </si>
  <si>
    <t xml:space="preserve">~5% effective weight</t>
  </si>
  <si>
    <t xml:space="preserve">2025 WRR Coverage</t>
  </si>
  <si>
    <t xml:space="preserve">The 2025 rankings cover 300 institutions from 38 countries, based on survey responses from scholars in 160+ countries across all continents.</t>
  </si>
  <si>
    <t xml:space="preserve">Scale of data</t>
  </si>
  <si>
    <t xml:space="preserve">Geographic Diversity Formula</t>
  </si>
  <si>
    <t xml:space="preserve">H_geo = − Σ (nᵢ/N) × log₂(nᵢ/N)   where nᵢ = votes from country i, N = total votes. Max H_geo = log₂(K) where K = number of unique countries.</t>
  </si>
  <si>
    <t xml:space="preserve">Country / Territory Master List — Global Academic Survey Coverage</t>
  </si>
  <si>
    <t xml:space="preserve">160+ countries from which survey responses originate — grouped by UN region for weighting analysis</t>
  </si>
  <si>
    <t xml:space="preserve">Country / Territory</t>
  </si>
  <si>
    <t xml:space="preserve">ISO-3</t>
  </si>
  <si>
    <t xml:space="preserve">UN Region</t>
  </si>
  <si>
    <t xml:space="preserve">Continent</t>
  </si>
  <si>
    <t xml:space="preserve">No. of Respondents</t>
  </si>
  <si>
    <t xml:space="preserve">Weighting Factor</t>
  </si>
  <si>
    <t xml:space="preserve">Notes</t>
  </si>
  <si>
    <t xml:space="preserve">United States</t>
  </si>
  <si>
    <t xml:space="preserve">USA</t>
  </si>
  <si>
    <t xml:space="preserve">Americas</t>
  </si>
  <si>
    <t xml:space="preserve">North America</t>
  </si>
  <si>
    <t xml:space="preserve">United Kingdom</t>
  </si>
  <si>
    <t xml:space="preserve">GBR</t>
  </si>
  <si>
    <t xml:space="preserve">Europe &amp; Central Asia</t>
  </si>
  <si>
    <t xml:space="preserve">Europe</t>
  </si>
  <si>
    <t xml:space="preserve">China</t>
  </si>
  <si>
    <t xml:space="preserve">CHN</t>
  </si>
  <si>
    <t xml:space="preserve">East Asia &amp; Pacific</t>
  </si>
  <si>
    <t xml:space="preserve">Asia</t>
  </si>
  <si>
    <t xml:space="preserve">Germany</t>
  </si>
  <si>
    <t xml:space="preserve">DEU</t>
  </si>
  <si>
    <t xml:space="preserve">Japan</t>
  </si>
  <si>
    <t xml:space="preserve">JPN</t>
  </si>
  <si>
    <t xml:space="preserve">Australia</t>
  </si>
  <si>
    <t xml:space="preserve">AUS</t>
  </si>
  <si>
    <t xml:space="preserve">Oceania</t>
  </si>
  <si>
    <t xml:space="preserve">France</t>
  </si>
  <si>
    <t xml:space="preserve">FRA</t>
  </si>
  <si>
    <t xml:space="preserve">Netherlands</t>
  </si>
  <si>
    <t xml:space="preserve">NLD</t>
  </si>
  <si>
    <t xml:space="preserve">Canada</t>
  </si>
  <si>
    <t xml:space="preserve">CAN</t>
  </si>
  <si>
    <t xml:space="preserve">South Korea</t>
  </si>
  <si>
    <t xml:space="preserve">KOR</t>
  </si>
  <si>
    <t xml:space="preserve">Switzerland</t>
  </si>
  <si>
    <t xml:space="preserve">CHE</t>
  </si>
  <si>
    <t xml:space="preserve">Sweden</t>
  </si>
  <si>
    <t xml:space="preserve">SWE</t>
  </si>
  <si>
    <t xml:space="preserve">Italy</t>
  </si>
  <si>
    <t xml:space="preserve">ITA</t>
  </si>
  <si>
    <t xml:space="preserve">Spain</t>
  </si>
  <si>
    <t xml:space="preserve">ESP</t>
  </si>
  <si>
    <t xml:space="preserve">Belgium</t>
  </si>
  <si>
    <t xml:space="preserve">BEL</t>
  </si>
  <si>
    <t xml:space="preserve">Singapore</t>
  </si>
  <si>
    <t xml:space="preserve">SGP</t>
  </si>
  <si>
    <t xml:space="preserve">Hong Kong SAR</t>
  </si>
  <si>
    <t xml:space="preserve">HKG</t>
  </si>
  <si>
    <t xml:space="preserve">Taiwan</t>
  </si>
  <si>
    <t xml:space="preserve">TWN</t>
  </si>
  <si>
    <t xml:space="preserve">Denmark</t>
  </si>
  <si>
    <t xml:space="preserve">DNK</t>
  </si>
  <si>
    <t xml:space="preserve">Israel</t>
  </si>
  <si>
    <t xml:space="preserve">ISR</t>
  </si>
  <si>
    <t xml:space="preserve">Middle East &amp; North Africa</t>
  </si>
  <si>
    <t xml:space="preserve">Finland</t>
  </si>
  <si>
    <t xml:space="preserve">FIN</t>
  </si>
  <si>
    <t xml:space="preserve">Norway</t>
  </si>
  <si>
    <t xml:space="preserve">NOR</t>
  </si>
  <si>
    <t xml:space="preserve">Austria</t>
  </si>
  <si>
    <t xml:space="preserve">AUT</t>
  </si>
  <si>
    <t xml:space="preserve">Brazil</t>
  </si>
  <si>
    <t xml:space="preserve">BRA</t>
  </si>
  <si>
    <t xml:space="preserve">South America</t>
  </si>
  <si>
    <t xml:space="preserve">India</t>
  </si>
  <si>
    <t xml:space="preserve">IND</t>
  </si>
  <si>
    <t xml:space="preserve">South Asia</t>
  </si>
  <si>
    <t xml:space="preserve">Russia</t>
  </si>
  <si>
    <t xml:space="preserve">RUS</t>
  </si>
  <si>
    <t xml:space="preserve">Europe/Asia</t>
  </si>
  <si>
    <t xml:space="preserve">Mexico</t>
  </si>
  <si>
    <t xml:space="preserve">MEX</t>
  </si>
  <si>
    <t xml:space="preserve">South Africa</t>
  </si>
  <si>
    <t xml:space="preserve">ZAF</t>
  </si>
  <si>
    <t xml:space="preserve">Sub-Saharan Africa</t>
  </si>
  <si>
    <t xml:space="preserve">Africa</t>
  </si>
  <si>
    <t xml:space="preserve">Ireland</t>
  </si>
  <si>
    <t xml:space="preserve">IRL</t>
  </si>
  <si>
    <t xml:space="preserve">New Zealand</t>
  </si>
  <si>
    <t xml:space="preserve">NZL</t>
  </si>
  <si>
    <t xml:space="preserve">Portugal</t>
  </si>
  <si>
    <t xml:space="preserve">PRT</t>
  </si>
  <si>
    <t xml:space="preserve">Turkey</t>
  </si>
  <si>
    <t xml:space="preserve">TUR</t>
  </si>
  <si>
    <t xml:space="preserve">Malaysia</t>
  </si>
  <si>
    <t xml:space="preserve">MYS</t>
  </si>
  <si>
    <t xml:space="preserve">Saudi Arabia</t>
  </si>
  <si>
    <t xml:space="preserve">SAU</t>
  </si>
  <si>
    <t xml:space="preserve">Thailand</t>
  </si>
  <si>
    <t xml:space="preserve">THA</t>
  </si>
  <si>
    <t xml:space="preserve">Chile</t>
  </si>
  <si>
    <t xml:space="preserve">CHL</t>
  </si>
  <si>
    <t xml:space="preserve">UAE</t>
  </si>
  <si>
    <t xml:space="preserve">ARE</t>
  </si>
  <si>
    <t xml:space="preserve">Argentina</t>
  </si>
  <si>
    <t xml:space="preserve">ARG</t>
  </si>
  <si>
    <t xml:space="preserve">Poland</t>
  </si>
  <si>
    <t xml:space="preserve">POL</t>
  </si>
  <si>
    <t xml:space="preserve">Egypt</t>
  </si>
  <si>
    <t xml:space="preserve">EGY</t>
  </si>
  <si>
    <t xml:space="preserve">Nigeria</t>
  </si>
  <si>
    <t xml:space="preserve">NGR</t>
  </si>
  <si>
    <t xml:space="preserve">Colombia</t>
  </si>
  <si>
    <t xml:space="preserve">COL</t>
  </si>
  <si>
    <t xml:space="preserve">Pakistan</t>
  </si>
  <si>
    <t xml:space="preserve">PAK</t>
  </si>
  <si>
    <t xml:space="preserve">Indonesia</t>
  </si>
  <si>
    <t xml:space="preserve">IDN</t>
  </si>
  <si>
    <t xml:space="preserve">Czech Republic</t>
  </si>
  <si>
    <t xml:space="preserve">CZE</t>
  </si>
  <si>
    <t xml:space="preserve">Kenya</t>
  </si>
  <si>
    <t xml:space="preserve">KEN</t>
  </si>
  <si>
    <t xml:space="preserve">Ghana</t>
  </si>
  <si>
    <t xml:space="preserve">GHA</t>
  </si>
  <si>
    <t xml:space="preserve">Bangladesh</t>
  </si>
  <si>
    <t xml:space="preserve">BGD</t>
  </si>
  <si>
    <t xml:space="preserve">Philippines</t>
  </si>
  <si>
    <t xml:space="preserve">PHL</t>
  </si>
  <si>
    <t xml:space="preserve">Vietnam</t>
  </si>
  <si>
    <t xml:space="preserve">VNM</t>
  </si>
  <si>
    <t xml:space="preserve">Summary</t>
  </si>
  <si>
    <t xml:space="preserve">Total Countries Listed</t>
  </si>
  <si>
    <t xml:space="preserve">Total Respondents</t>
  </si>
  <si>
    <t xml:space="preserve">Unique Continents</t>
  </si>
  <si>
    <t xml:space="preserve">Unique UN Regions</t>
  </si>
  <si>
    <t xml:space="preserve">Raw Reputation Votes — With Respondent Country/Territory Data</t>
  </si>
  <si>
    <t xml:space="preserve">Each row = one vote cast by one respondent for one institution | Source data for geographic diversity</t>
  </si>
  <si>
    <t xml:space="preserve">Vote ID</t>
  </si>
  <si>
    <t xml:space="preserve">University Voted For</t>
  </si>
  <si>
    <t xml:space="preserve">Respondent ID</t>
  </si>
  <si>
    <t xml:space="preserve">ISO-3 Code</t>
  </si>
  <si>
    <t xml:space="preserve">Respondent Country</t>
  </si>
  <si>
    <t xml:space="preserve">Vote Type (Research/Teaching)</t>
  </si>
  <si>
    <t xml:space="preserve">Self-Vote (Y/N)</t>
  </si>
  <si>
    <t xml:space="preserve">Date</t>
  </si>
  <si>
    <t xml:space="preserve">GV-00001</t>
  </si>
  <si>
    <t xml:space="preserve">GV-00002</t>
  </si>
  <si>
    <t xml:space="preserve">GV-00003</t>
  </si>
  <si>
    <t xml:space="preserve">GV-00004</t>
  </si>
  <si>
    <t xml:space="preserve">GV-00005</t>
  </si>
  <si>
    <t xml:space="preserve">GV-00006</t>
  </si>
  <si>
    <t xml:space="preserve">GV-00007</t>
  </si>
  <si>
    <t xml:space="preserve">GV-00008</t>
  </si>
  <si>
    <t xml:space="preserve">GV-00009</t>
  </si>
  <si>
    <t xml:space="preserve">GV-00010</t>
  </si>
  <si>
    <t xml:space="preserve">GV-00011</t>
  </si>
  <si>
    <t xml:space="preserve">GV-00012</t>
  </si>
  <si>
    <t xml:space="preserve">GV-00013</t>
  </si>
  <si>
    <t xml:space="preserve">GV-00014</t>
  </si>
  <si>
    <t xml:space="preserve">GV-00015</t>
  </si>
  <si>
    <t xml:space="preserve">GV-00016</t>
  </si>
  <si>
    <t xml:space="preserve">GV-00017</t>
  </si>
  <si>
    <t xml:space="preserve">GV-00018</t>
  </si>
  <si>
    <t xml:space="preserve">GV-00019</t>
  </si>
  <si>
    <t xml:space="preserve">GV-00020</t>
  </si>
  <si>
    <t xml:space="preserve">GV-00021</t>
  </si>
  <si>
    <t xml:space="preserve">GV-00022</t>
  </si>
  <si>
    <t xml:space="preserve">GV-00023</t>
  </si>
  <si>
    <t xml:space="preserve">GV-00024</t>
  </si>
  <si>
    <t xml:space="preserve">GV-00025</t>
  </si>
  <si>
    <t xml:space="preserve">GV-00026</t>
  </si>
  <si>
    <t xml:space="preserve">GV-00027</t>
  </si>
  <si>
    <t xml:space="preserve">GV-00028</t>
  </si>
  <si>
    <t xml:space="preserve">GV-00029</t>
  </si>
  <si>
    <t xml:space="preserve">GV-00030</t>
  </si>
  <si>
    <t xml:space="preserve">GV-00031</t>
  </si>
  <si>
    <t xml:space="preserve">GV-00032</t>
  </si>
  <si>
    <t xml:space="preserve">GV-00033</t>
  </si>
  <si>
    <t xml:space="preserve">GV-00034</t>
  </si>
  <si>
    <t xml:space="preserve">GV-00035</t>
  </si>
  <si>
    <t xml:space="preserve">GV-00036</t>
  </si>
  <si>
    <t xml:space="preserve">GV-00037</t>
  </si>
  <si>
    <t xml:space="preserve">GV-00038</t>
  </si>
  <si>
    <t xml:space="preserve">GV-00039</t>
  </si>
  <si>
    <t xml:space="preserve">GV-00040</t>
  </si>
  <si>
    <t xml:space="preserve">GV-00041</t>
  </si>
  <si>
    <t xml:space="preserve">GV-00042</t>
  </si>
  <si>
    <t xml:space="preserve">GV-00043</t>
  </si>
  <si>
    <t xml:space="preserve">GV-00044</t>
  </si>
  <si>
    <t xml:space="preserve">GV-00045</t>
  </si>
  <si>
    <t xml:space="preserve">GV-00046</t>
  </si>
  <si>
    <t xml:space="preserve">GV-00047</t>
  </si>
  <si>
    <t xml:space="preserve">GV-00048</t>
  </si>
  <si>
    <t xml:space="preserve">GV-00049</t>
  </si>
  <si>
    <t xml:space="preserve">GV-00050</t>
  </si>
  <si>
    <t xml:space="preserve">GV-00051</t>
  </si>
  <si>
    <t xml:space="preserve">GV-00052</t>
  </si>
  <si>
    <t xml:space="preserve">GV-00053</t>
  </si>
  <si>
    <t xml:space="preserve">GV-00054</t>
  </si>
  <si>
    <t xml:space="preserve">GV-00055</t>
  </si>
  <si>
    <t xml:space="preserve">GV-00056</t>
  </si>
  <si>
    <t xml:space="preserve">GV-00057</t>
  </si>
  <si>
    <t xml:space="preserve">GV-00058</t>
  </si>
  <si>
    <t xml:space="preserve">GV-00059</t>
  </si>
  <si>
    <t xml:space="preserve">GV-00060</t>
  </si>
  <si>
    <t xml:space="preserve">GV-00061</t>
  </si>
  <si>
    <t xml:space="preserve">GV-00062</t>
  </si>
  <si>
    <t xml:space="preserve">GV-00063</t>
  </si>
  <si>
    <t xml:space="preserve">GV-00064</t>
  </si>
  <si>
    <t xml:space="preserve">GV-00065</t>
  </si>
  <si>
    <t xml:space="preserve">GV-00066</t>
  </si>
  <si>
    <t xml:space="preserve">GV-00067</t>
  </si>
  <si>
    <t xml:space="preserve">GV-00068</t>
  </si>
  <si>
    <t xml:space="preserve">GV-00069</t>
  </si>
  <si>
    <t xml:space="preserve">GV-00070</t>
  </si>
  <si>
    <t xml:space="preserve">GV-00071</t>
  </si>
  <si>
    <t xml:space="preserve">GV-00072</t>
  </si>
  <si>
    <t xml:space="preserve">GV-00073</t>
  </si>
  <si>
    <t xml:space="preserve">GV-00074</t>
  </si>
  <si>
    <t xml:space="preserve">GV-00075</t>
  </si>
  <si>
    <t xml:space="preserve">GV-00076</t>
  </si>
  <si>
    <t xml:space="preserve">GV-00077</t>
  </si>
  <si>
    <t xml:space="preserve">GV-00078</t>
  </si>
  <si>
    <t xml:space="preserve">GV-00079</t>
  </si>
  <si>
    <t xml:space="preserve">GV-00080</t>
  </si>
  <si>
    <t xml:space="preserve">GV-00081</t>
  </si>
  <si>
    <t xml:space="preserve">GV-00082</t>
  </si>
  <si>
    <t xml:space="preserve">GV-00083</t>
  </si>
  <si>
    <t xml:space="preserve">GV-00084</t>
  </si>
  <si>
    <t xml:space="preserve">GV-00085</t>
  </si>
  <si>
    <t xml:space="preserve">GV-00086</t>
  </si>
  <si>
    <t xml:space="preserve">GV-00087</t>
  </si>
  <si>
    <t xml:space="preserve">GV-00088</t>
  </si>
  <si>
    <t xml:space="preserve">GV-00089</t>
  </si>
  <si>
    <t xml:space="preserve">GV-00090</t>
  </si>
  <si>
    <t xml:space="preserve">GV-00091</t>
  </si>
  <si>
    <t xml:space="preserve">GV-00092</t>
  </si>
  <si>
    <t xml:space="preserve">GV-00093</t>
  </si>
  <si>
    <t xml:space="preserve">GV-00094</t>
  </si>
  <si>
    <t xml:space="preserve">GV-00095</t>
  </si>
  <si>
    <t xml:space="preserve">GV-00096</t>
  </si>
  <si>
    <t xml:space="preserve">GV-00097</t>
  </si>
  <si>
    <t xml:space="preserve">GV-00098</t>
  </si>
  <si>
    <t xml:space="preserve">GV-00099</t>
  </si>
  <si>
    <t xml:space="preserve">GV-00100</t>
  </si>
  <si>
    <t xml:space="preserve">GV-00101</t>
  </si>
  <si>
    <t xml:space="preserve">GV-00102</t>
  </si>
  <si>
    <t xml:space="preserve">GV-00103</t>
  </si>
  <si>
    <t xml:space="preserve">GV-00104</t>
  </si>
  <si>
    <t xml:space="preserve">GV-00105</t>
  </si>
  <si>
    <t xml:space="preserve">GV-00106</t>
  </si>
  <si>
    <t xml:space="preserve">GV-00107</t>
  </si>
  <si>
    <t xml:space="preserve">GV-00108</t>
  </si>
  <si>
    <t xml:space="preserve">GV-00109</t>
  </si>
  <si>
    <t xml:space="preserve">GV-00110</t>
  </si>
  <si>
    <t xml:space="preserve">GV-00111</t>
  </si>
  <si>
    <t xml:space="preserve">GV-00112</t>
  </si>
  <si>
    <t xml:space="preserve">GV-00113</t>
  </si>
  <si>
    <t xml:space="preserve">GV-00114</t>
  </si>
  <si>
    <t xml:space="preserve">GV-00115</t>
  </si>
  <si>
    <t xml:space="preserve">GV-00116</t>
  </si>
  <si>
    <t xml:space="preserve">GV-00117</t>
  </si>
  <si>
    <t xml:space="preserve">GV-00118</t>
  </si>
  <si>
    <t xml:space="preserve">GV-00119</t>
  </si>
  <si>
    <t xml:space="preserve">GV-00120</t>
  </si>
  <si>
    <t xml:space="preserve">GV-00121</t>
  </si>
  <si>
    <t xml:space="preserve">GV-00122</t>
  </si>
  <si>
    <t xml:space="preserve">GV-00123</t>
  </si>
  <si>
    <t xml:space="preserve">GV-00124</t>
  </si>
  <si>
    <t xml:space="preserve">GV-00125</t>
  </si>
  <si>
    <t xml:space="preserve">GV-00126</t>
  </si>
  <si>
    <t xml:space="preserve">GV-00127</t>
  </si>
  <si>
    <t xml:space="preserve">GV-00128</t>
  </si>
  <si>
    <t xml:space="preserve">GV-00129</t>
  </si>
  <si>
    <t xml:space="preserve">GV-00130</t>
  </si>
  <si>
    <t xml:space="preserve">GV-00131</t>
  </si>
  <si>
    <t xml:space="preserve">GV-00132</t>
  </si>
  <si>
    <t xml:space="preserve">GV-00133</t>
  </si>
  <si>
    <t xml:space="preserve">GV-00134</t>
  </si>
  <si>
    <t xml:space="preserve">GV-00135</t>
  </si>
  <si>
    <t xml:space="preserve">GV-00136</t>
  </si>
  <si>
    <t xml:space="preserve">GV-00137</t>
  </si>
  <si>
    <t xml:space="preserve">GV-00138</t>
  </si>
  <si>
    <t xml:space="preserve">GV-00139</t>
  </si>
  <si>
    <t xml:space="preserve">GV-00140</t>
  </si>
  <si>
    <t xml:space="preserve">GV-00141</t>
  </si>
  <si>
    <t xml:space="preserve">GV-00142</t>
  </si>
  <si>
    <t xml:space="preserve">GV-00143</t>
  </si>
  <si>
    <t xml:space="preserve">GV-00144</t>
  </si>
  <si>
    <t xml:space="preserve">GV-00145</t>
  </si>
  <si>
    <t xml:space="preserve">GV-00146</t>
  </si>
  <si>
    <t xml:space="preserve">GV-00147</t>
  </si>
  <si>
    <t xml:space="preserve">GV-00148</t>
  </si>
  <si>
    <t xml:space="preserve">GV-00149</t>
  </si>
  <si>
    <t xml:space="preserve">GV-00150</t>
  </si>
  <si>
    <t xml:space="preserve">GV-00151</t>
  </si>
  <si>
    <t xml:space="preserve">GV-00152</t>
  </si>
  <si>
    <t xml:space="preserve">GV-00153</t>
  </si>
  <si>
    <t xml:space="preserve">GV-00154</t>
  </si>
  <si>
    <t xml:space="preserve">GV-00155</t>
  </si>
  <si>
    <t xml:space="preserve">GV-00156</t>
  </si>
  <si>
    <t xml:space="preserve">GV-00157</t>
  </si>
  <si>
    <t xml:space="preserve">GV-00158</t>
  </si>
  <si>
    <t xml:space="preserve">GV-00159</t>
  </si>
  <si>
    <t xml:space="preserve">GV-00160</t>
  </si>
  <si>
    <t xml:space="preserve">GV-00161</t>
  </si>
  <si>
    <t xml:space="preserve">GV-00162</t>
  </si>
  <si>
    <t xml:space="preserve">GV-00163</t>
  </si>
  <si>
    <t xml:space="preserve">GV-00164</t>
  </si>
  <si>
    <t xml:space="preserve">GV-00165</t>
  </si>
  <si>
    <t xml:space="preserve">GV-00166</t>
  </si>
  <si>
    <t xml:space="preserve">GV-00167</t>
  </si>
  <si>
    <t xml:space="preserve">GV-00168</t>
  </si>
  <si>
    <t xml:space="preserve">GV-00169</t>
  </si>
  <si>
    <t xml:space="preserve">GV-00170</t>
  </si>
  <si>
    <t xml:space="preserve">GV-00171</t>
  </si>
  <si>
    <t xml:space="preserve">GV-00172</t>
  </si>
  <si>
    <t xml:space="preserve">GV-00173</t>
  </si>
  <si>
    <t xml:space="preserve">GV-00174</t>
  </si>
  <si>
    <t xml:space="preserve">GV-00175</t>
  </si>
  <si>
    <t xml:space="preserve">GV-00176</t>
  </si>
  <si>
    <t xml:space="preserve">GV-00177</t>
  </si>
  <si>
    <t xml:space="preserve">GV-00178</t>
  </si>
  <si>
    <t xml:space="preserve">GV-00179</t>
  </si>
  <si>
    <t xml:space="preserve">GV-00180</t>
  </si>
  <si>
    <t xml:space="preserve">GV-00181</t>
  </si>
  <si>
    <t xml:space="preserve">GV-00182</t>
  </si>
  <si>
    <t xml:space="preserve">GV-00183</t>
  </si>
  <si>
    <t xml:space="preserve">GV-00184</t>
  </si>
  <si>
    <t xml:space="preserve">GV-00185</t>
  </si>
  <si>
    <t xml:space="preserve">GV-00186</t>
  </si>
  <si>
    <t xml:space="preserve">GV-00187</t>
  </si>
  <si>
    <t xml:space="preserve">GV-00188</t>
  </si>
  <si>
    <t xml:space="preserve">GV-00189</t>
  </si>
  <si>
    <t xml:space="preserve">GV-00190</t>
  </si>
  <si>
    <t xml:space="preserve">GV-00191</t>
  </si>
  <si>
    <t xml:space="preserve">GV-00192</t>
  </si>
  <si>
    <t xml:space="preserve">GV-00193</t>
  </si>
  <si>
    <t xml:space="preserve">GV-00194</t>
  </si>
  <si>
    <t xml:space="preserve">GV-00195</t>
  </si>
  <si>
    <t xml:space="preserve">GV-00196</t>
  </si>
  <si>
    <t xml:space="preserve">GV-00197</t>
  </si>
  <si>
    <t xml:space="preserve">GV-00198</t>
  </si>
  <si>
    <t xml:space="preserve">GV-00199</t>
  </si>
  <si>
    <t xml:space="preserve">GV-00200</t>
  </si>
  <si>
    <t xml:space="preserve">GV-00201</t>
  </si>
  <si>
    <t xml:space="preserve">GV-00202</t>
  </si>
  <si>
    <t xml:space="preserve">GV-00203</t>
  </si>
  <si>
    <t xml:space="preserve">GV-00204</t>
  </si>
  <si>
    <t xml:space="preserve">GV-00205</t>
  </si>
  <si>
    <t xml:space="preserve">GV-00206</t>
  </si>
  <si>
    <t xml:space="preserve">GV-00207</t>
  </si>
  <si>
    <t xml:space="preserve">GV-00208</t>
  </si>
  <si>
    <t xml:space="preserve">GV-00209</t>
  </si>
  <si>
    <t xml:space="preserve">GV-00210</t>
  </si>
  <si>
    <t xml:space="preserve">GV-00211</t>
  </si>
  <si>
    <t xml:space="preserve">GV-00212</t>
  </si>
  <si>
    <t xml:space="preserve">GV-00213</t>
  </si>
  <si>
    <t xml:space="preserve">GV-00214</t>
  </si>
  <si>
    <t xml:space="preserve">GV-00215</t>
  </si>
  <si>
    <t xml:space="preserve">GV-00216</t>
  </si>
  <si>
    <t xml:space="preserve">GV-00217</t>
  </si>
  <si>
    <t xml:space="preserve">GV-00218</t>
  </si>
  <si>
    <t xml:space="preserve">GV-00219</t>
  </si>
  <si>
    <t xml:space="preserve">GV-00220</t>
  </si>
  <si>
    <t xml:space="preserve">GV-00221</t>
  </si>
  <si>
    <t xml:space="preserve">GV-00222</t>
  </si>
  <si>
    <t xml:space="preserve">GV-00223</t>
  </si>
  <si>
    <t xml:space="preserve">GV-00224</t>
  </si>
  <si>
    <t xml:space="preserve">GV-00225</t>
  </si>
  <si>
    <t xml:space="preserve">GV-00226</t>
  </si>
  <si>
    <t xml:space="preserve">GV-00227</t>
  </si>
  <si>
    <t xml:space="preserve">GV-00228</t>
  </si>
  <si>
    <t xml:space="preserve">GV-00229</t>
  </si>
  <si>
    <t xml:space="preserve">GV-00230</t>
  </si>
  <si>
    <t xml:space="preserve">GV-00231</t>
  </si>
  <si>
    <t xml:space="preserve">GV-00232</t>
  </si>
  <si>
    <t xml:space="preserve">GV-00233</t>
  </si>
  <si>
    <t xml:space="preserve">GV-00234</t>
  </si>
  <si>
    <t xml:space="preserve">GV-00235</t>
  </si>
  <si>
    <t xml:space="preserve">GV-00236</t>
  </si>
  <si>
    <t xml:space="preserve">GV-00237</t>
  </si>
  <si>
    <t xml:space="preserve">GV-00238</t>
  </si>
  <si>
    <t xml:space="preserve">GV-00239</t>
  </si>
  <si>
    <t xml:space="preserve">GV-00240</t>
  </si>
  <si>
    <t xml:space="preserve">GV-00241</t>
  </si>
  <si>
    <t xml:space="preserve">GV-00242</t>
  </si>
  <si>
    <t xml:space="preserve">GV-00243</t>
  </si>
  <si>
    <t xml:space="preserve">GV-00244</t>
  </si>
  <si>
    <t xml:space="preserve">GV-00245</t>
  </si>
  <si>
    <t xml:space="preserve">GV-00246</t>
  </si>
  <si>
    <t xml:space="preserve">GV-00247</t>
  </si>
  <si>
    <t xml:space="preserve">GV-00248</t>
  </si>
  <si>
    <t xml:space="preserve">GV-00249</t>
  </si>
  <si>
    <t xml:space="preserve">GV-00250</t>
  </si>
  <si>
    <t xml:space="preserve">Geographic Distribution: University × Respondent Country (Vote Count Matrix)</t>
  </si>
  <si>
    <t xml:space="preserve">Each cell = count of votes for that university from respondents in that country | Extend columns as needed</t>
  </si>
  <si>
    <t xml:space="preserve">University ↓ / Country →</t>
  </si>
  <si>
    <t xml:space="preserve">Total Votes</t>
  </si>
  <si>
    <t xml:space="preserve">Unique Countries</t>
  </si>
  <si>
    <t xml:space="preserve">Geo Concentration Index</t>
  </si>
  <si>
    <t xml:space="preserve">Continental Distribution: University × Respondent Continent</t>
  </si>
  <si>
    <t xml:space="preserve">Aggregated view — reveals continental concentration patterns (Europe-heavy? Asia-heavy? Global?)</t>
  </si>
  <si>
    <t xml:space="preserve">University Name</t>
  </si>
  <si>
    <t xml:space="preserve">Dominant Continent</t>
  </si>
  <si>
    <t xml:space="preserve">HHI (Continent)</t>
  </si>
  <si>
    <t xml:space="preserve">UN Region Distribution: University × Respondent UN Region</t>
  </si>
  <si>
    <t xml:space="preserve">World Bank / UN regional groupings — finer granularity than continent for policy alignment</t>
  </si>
  <si>
    <t xml:space="preserve">Total</t>
  </si>
  <si>
    <t xml:space="preserve">Unique Regions</t>
  </si>
  <si>
    <t xml:space="preserve">HHI (Region)</t>
  </si>
  <si>
    <t xml:space="preserve">Geographic Entropy — Per-University H_geo Calculation</t>
  </si>
  <si>
    <t xml:space="preserve">H_geo = −Σ (nᵢ/N) × log₂(nᵢ/N) over country distribution | Higher H_geo = broader geographic reputation</t>
  </si>
  <si>
    <t xml:space="preserve">S.No.</t>
  </si>
  <si>
    <t xml:space="preserve">H_geo (Geographic Entropy)</t>
  </si>
  <si>
    <t xml:space="preserve">Max H_geo = log₂(K)</t>
  </si>
  <si>
    <t xml:space="preserve">Normalized H_geo (H/Hmax)</t>
  </si>
  <si>
    <t xml:space="preserve">Geo Diversity Score (0–100)</t>
  </si>
  <si>
    <t xml:space="preserve">Diversity Tier</t>
  </si>
  <si>
    <t xml:space="preserve">Entropy Helper — Country-Level p × log₂(p) Summation</t>
  </si>
  <si>
    <t xml:space="preserve">Computes H_geo for each university by summing over country-level vote proportions</t>
  </si>
  <si>
    <t xml:space="preserve">H_geo (bits)</t>
  </si>
  <si>
    <t xml:space="preserve">Computation Notes</t>
  </si>
  <si>
    <t xml:space="preserve">Home-Country Bias &amp; Self-Vote Analysis</t>
  </si>
  <si>
    <t xml:space="preserve">Identifies institutions where a disproportionate share of votes come from the institution's own country</t>
  </si>
  <si>
    <t xml:space="preserve">Home Country (ISO)</t>
  </si>
  <si>
    <t xml:space="preserve">Votes from Home Country</t>
  </si>
  <si>
    <t xml:space="preserve">Home-Country Share (%)</t>
  </si>
  <si>
    <t xml:space="preserve">Self-Votes Flagged</t>
  </si>
  <si>
    <t xml:space="preserve">Dilution Applied (Y/N)</t>
  </si>
  <si>
    <t xml:space="preserve">Adjusted Total Votes</t>
  </si>
  <si>
    <t xml:space="preserve">Geographic Diversity — Final Ranked Dashboard</t>
  </si>
  <si>
    <t xml:space="preserve">Combines entropy, concentration, continental spread — ranked by geo diversity score</t>
  </si>
  <si>
    <t xml:space="preserve">Rank</t>
  </si>
  <si>
    <t xml:space="preserve">H_geo (Entropy)</t>
  </si>
  <si>
    <t xml:space="preserve">Normalized H/Hmax</t>
  </si>
  <si>
    <t xml:space="preserve">Geo Diversity Score</t>
  </si>
  <si>
    <t xml:space="preserve">Concentration Index (%)</t>
  </si>
  <si>
    <t xml:space="preserve">Tier</t>
  </si>
  <si>
    <t xml:space="preserve">Geographic Diversity — Data Quality &amp; Audit Checklist</t>
  </si>
  <si>
    <t xml:space="preserve">Pre- &amp; post-processing checks specific to geographic dimension of voter diversity</t>
  </si>
  <si>
    <t xml:space="preserve">Quality Check</t>
  </si>
  <si>
    <t xml:space="preserve">Status (✓/✗/IP)</t>
  </si>
  <si>
    <t xml:space="preserve">Reviewer</t>
  </si>
  <si>
    <t xml:space="preserve">ISO-3 country code consistency</t>
  </si>
  <si>
    <t xml:space="preserve">All respondent countries coded using consistent ISO-3 codes matching the Country Master List</t>
  </si>
  <si>
    <t xml:space="preserve">UN region assignment validation</t>
  </si>
  <si>
    <t xml:space="preserve">Every ISO code correctly mapped to its UN region via VLOOKUP from master list</t>
  </si>
  <si>
    <t xml:space="preserve">Continent assignment validation</t>
  </si>
  <si>
    <t xml:space="preserve">Every ISO code correctly mapped to continent; multi-region countries (Russia, Turkey) handled consistently</t>
  </si>
  <si>
    <t xml:space="preserve">Missing country data check</t>
  </si>
  <si>
    <t xml:space="preserve">No raw votes have blank, null, or 'Unknown' country codes — all coded</t>
  </si>
  <si>
    <t xml:space="preserve">Self-vote flagging</t>
  </si>
  <si>
    <t xml:space="preserve">Votes where respondent's home country matches the institution's country are correctly flagged (Y/N)</t>
  </si>
  <si>
    <t xml:space="preserve">Self-vote dilution applied</t>
  </si>
  <si>
    <t xml:space="preserve">Dilution/downweighting applied to flagged self-votes per THE methodology</t>
  </si>
  <si>
    <t xml:space="preserve">VPRI threshold check</t>
  </si>
  <si>
    <t xml:space="preserve">Vote-Per-Respondent-Index capped where any single respondent's influence is disproportionate</t>
  </si>
  <si>
    <t xml:space="preserve">Country over-representation check</t>
  </si>
  <si>
    <t xml:space="preserve">Respondent distribution checked vs. global scholar distribution; weights applied where needed</t>
  </si>
  <si>
    <t xml:space="preserve">Under-represented region check</t>
  </si>
  <si>
    <t xml:space="preserve">Sub-Saharan Africa, South Asia, MENA, Latin America checked for adequate representation</t>
  </si>
  <si>
    <t xml:space="preserve">Survey language accessibility</t>
  </si>
  <si>
    <t xml:space="preserve">Survey available in 13 languages — ensures non-English-speaking countries are not systematically excluded</t>
  </si>
  <si>
    <t xml:space="preserve">Vote count reconciliation</t>
  </si>
  <si>
    <t xml:space="preserve">Sum of country-level votes per university = total votes in raw log (no double-counting)</t>
  </si>
  <si>
    <t xml:space="preserve">Continent matrix reconciliation</t>
  </si>
  <si>
    <t xml:space="preserve">Sum across continents = total votes per university (no unclassified residuals)</t>
  </si>
  <si>
    <t xml:space="preserve">Entropy calculation verification</t>
  </si>
  <si>
    <t xml:space="preserve">H_geo values recomputed independently and matched against helper sheet outputs</t>
  </si>
  <si>
    <t xml:space="preserve">Max entropy baseline check</t>
  </si>
  <si>
    <t xml:space="preserve">Max H_geo = log₂(K) correctly computed where K = unique countries for each university</t>
  </si>
  <si>
    <t xml:space="preserve">Normalization consistency</t>
  </si>
  <si>
    <t xml:space="preserve">Diversity scores use same max/reference across all universities (max entropy in dataset)</t>
  </si>
  <si>
    <t xml:space="preserve">HHI concentration index check</t>
  </si>
  <si>
    <t xml:space="preserve">Herfindahl-Hirschman Index correctly computed at continent and country levels</t>
  </si>
  <si>
    <t xml:space="preserve">Home-country share threshold</t>
  </si>
  <si>
    <t xml:space="preserve">Flag universities where &gt;50% of votes come from a single country for review</t>
  </si>
  <si>
    <t xml:space="preserve">Merger/rebranding handling</t>
  </si>
  <si>
    <t xml:space="preserve">Pre- vs post-merger vote attribution (Adelaide, Institute of Science Tokyo, etc.) handled per THE corrections policy</t>
  </si>
  <si>
    <t xml:space="preserve">Cross-validation with WRR 2025</t>
  </si>
  <si>
    <t xml:space="preserve">Spot-check results against THE's published 2025 voter-diversity leaders (Harvard, Oxford, Cambridge led)</t>
  </si>
  <si>
    <t xml:space="preserve">Reproducibility test</t>
  </si>
  <si>
    <t xml:space="preserve">All calculations reproducible by independent analyst using only this workbook and raw data</t>
  </si>
  <si>
    <t xml:space="preserve">Geographic tier calibration</t>
  </si>
  <si>
    <t xml:space="preserve">Diversity tiers (Very Low to Very High) calibrated against published THE benchmarks</t>
  </si>
  <si>
    <t xml:space="preserve">Data exclusion log maintained</t>
  </si>
  <si>
    <t xml:space="preserve">All excluded votes with documented rationale tracked in separate log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</si>
</sst>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"/>
    <numFmt numFmtId="167" formatCode="0.000"/>
    <numFmt numFmtId="168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1A2E4F"/>
      <name val="Arial"/>
      <family val="0"/>
      <charset val="1"/>
    </font>
    <font>
      <b val="true"/>
      <sz val="12"/>
      <color rgb="FF1A2E4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A2E4F"/>
        <bgColor rgb="FF404040"/>
      </patternFill>
    </fill>
    <fill>
      <patternFill patternType="solid">
        <fgColor rgb="FF2F8F9D"/>
        <bgColor rgb="FF2E75B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8EDE6"/>
      </patternFill>
    </fill>
    <fill>
      <patternFill patternType="solid">
        <fgColor rgb="FFC8102E"/>
        <bgColor rgb="FF993300"/>
      </patternFill>
    </fill>
    <fill>
      <patternFill patternType="solid">
        <fgColor rgb="FFFFF5D9"/>
        <bgColor rgb="FFF2F2F2"/>
      </patternFill>
    </fill>
    <fill>
      <patternFill patternType="solid">
        <fgColor rgb="FF5B7553"/>
        <bgColor rgb="FF548235"/>
      </patternFill>
    </fill>
    <fill>
      <patternFill patternType="solid">
        <fgColor rgb="FFE8EDE6"/>
        <bgColor rgb="FFE2EFDA"/>
      </patternFill>
    </fill>
    <fill>
      <patternFill patternType="solid">
        <fgColor rgb="FF548235"/>
        <bgColor rgb="FF5B7553"/>
      </patternFill>
    </fill>
    <fill>
      <patternFill patternType="solid">
        <fgColor rgb="FFE2EFDA"/>
        <bgColor rgb="FFE8EDE6"/>
      </patternFill>
    </fill>
    <fill>
      <patternFill patternType="solid">
        <fgColor rgb="FFBF8F00"/>
        <bgColor rgb="FFED7D31"/>
      </patternFill>
    </fill>
    <fill>
      <patternFill patternType="solid">
        <fgColor rgb="FF2E75B6"/>
        <bgColor rgb="FF2F8F9D"/>
      </patternFill>
    </fill>
    <fill>
      <patternFill patternType="solid">
        <fgColor rgb="FFD6E4F0"/>
        <bgColor rgb="FFD4EEEF"/>
      </patternFill>
    </fill>
    <fill>
      <patternFill patternType="solid">
        <fgColor rgb="FFD4EEEF"/>
        <bgColor rgb="FFD6E4F0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FF5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4B4B4"/>
      <rgbColor rgb="FF5B7553"/>
      <rgbColor rgb="FF9999FF"/>
      <rgbColor rgb="FF993366"/>
      <rgbColor rgb="FFFFF5D9"/>
      <rgbColor rgb="FFD4EEE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DE6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ED7D31"/>
      <rgbColor rgb="FF666699"/>
      <rgbColor rgb="FF969696"/>
      <rgbColor rgb="FF1A2E4F"/>
      <rgbColor rgb="FF2F8F9D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58"/>
    <col collapsed="false" customWidth="true" hidden="false" outlineLevel="0" max="4" min="4" style="0" width="2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</row>
    <row r="2" customFormat="false" ht="25.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75" hidden="false" customHeight="true" outlineLevel="0" collapsed="false">
      <c r="A5" s="4" t="n">
        <v>1</v>
      </c>
      <c r="B5" s="5" t="s">
        <v>6</v>
      </c>
      <c r="C5" s="6" t="s">
        <v>7</v>
      </c>
      <c r="D5" s="4" t="s">
        <v>8</v>
      </c>
    </row>
    <row r="6" customFormat="false" ht="75" hidden="false" customHeight="true" outlineLevel="0" collapsed="false">
      <c r="A6" s="7" t="n">
        <v>2</v>
      </c>
      <c r="B6" s="8" t="s">
        <v>9</v>
      </c>
      <c r="C6" s="9" t="s">
        <v>10</v>
      </c>
      <c r="D6" s="7" t="s">
        <v>11</v>
      </c>
    </row>
    <row r="7" customFormat="false" ht="75" hidden="false" customHeight="true" outlineLevel="0" collapsed="false">
      <c r="A7" s="4" t="n">
        <v>3</v>
      </c>
      <c r="B7" s="5" t="s">
        <v>12</v>
      </c>
      <c r="C7" s="6" t="s">
        <v>13</v>
      </c>
      <c r="D7" s="4" t="s">
        <v>14</v>
      </c>
    </row>
    <row r="8" customFormat="false" ht="75" hidden="false" customHeight="true" outlineLevel="0" collapsed="false">
      <c r="A8" s="7" t="n">
        <v>4</v>
      </c>
      <c r="B8" s="8" t="s">
        <v>15</v>
      </c>
      <c r="C8" s="9" t="s">
        <v>16</v>
      </c>
      <c r="D8" s="7" t="s">
        <v>17</v>
      </c>
    </row>
    <row r="9" customFormat="false" ht="75" hidden="false" customHeight="true" outlineLevel="0" collapsed="false">
      <c r="A9" s="4" t="n">
        <v>5</v>
      </c>
      <c r="B9" s="5" t="s">
        <v>18</v>
      </c>
      <c r="C9" s="6" t="s">
        <v>19</v>
      </c>
      <c r="D9" s="4" t="s">
        <v>20</v>
      </c>
    </row>
    <row r="10" customFormat="false" ht="75" hidden="false" customHeight="true" outlineLevel="0" collapsed="false">
      <c r="A10" s="7" t="n">
        <v>6</v>
      </c>
      <c r="B10" s="8" t="s">
        <v>21</v>
      </c>
      <c r="C10" s="9" t="s">
        <v>22</v>
      </c>
      <c r="D10" s="7" t="s">
        <v>23</v>
      </c>
    </row>
    <row r="11" customFormat="false" ht="75" hidden="false" customHeight="true" outlineLevel="0" collapsed="false">
      <c r="A11" s="4" t="n">
        <v>7</v>
      </c>
      <c r="B11" s="5" t="s">
        <v>24</v>
      </c>
      <c r="C11" s="6" t="s">
        <v>25</v>
      </c>
      <c r="D11" s="4" t="s">
        <v>26</v>
      </c>
    </row>
    <row r="12" customFormat="false" ht="75" hidden="false" customHeight="true" outlineLevel="0" collapsed="false">
      <c r="A12" s="7" t="n">
        <v>8</v>
      </c>
      <c r="B12" s="8" t="s">
        <v>27</v>
      </c>
      <c r="C12" s="9" t="s">
        <v>28</v>
      </c>
      <c r="D12" s="7" t="s">
        <v>29</v>
      </c>
    </row>
    <row r="14" customFormat="false" ht="25.5" hidden="false" customHeight="true" outlineLevel="0" collapsed="false">
      <c r="A14" s="10" t="s">
        <v>30</v>
      </c>
      <c r="B14" s="10"/>
      <c r="C14" s="10"/>
      <c r="D14" s="10"/>
    </row>
    <row r="15" customFormat="false" ht="36" hidden="false" customHeight="true" outlineLevel="0" collapsed="false">
      <c r="A15" s="11" t="s">
        <v>31</v>
      </c>
      <c r="B15" s="11"/>
      <c r="C15" s="11"/>
      <c r="D15" s="11"/>
    </row>
  </sheetData>
  <mergeCells count="4">
    <mergeCell ref="A1:D1"/>
    <mergeCell ref="A2:D2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553"/>
    <pageSetUpPr fitToPage="false"/>
  </sheetPr>
  <dimension ref="A1:H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18"/>
  </cols>
  <sheetData>
    <row r="1" customFormat="false" ht="33.75" hidden="false" customHeight="true" outlineLevel="0" collapsed="false">
      <c r="A1" s="12" t="s">
        <v>32</v>
      </c>
      <c r="B1" s="12"/>
      <c r="C1" s="12"/>
      <c r="D1" s="12"/>
      <c r="E1" s="12"/>
      <c r="F1" s="12"/>
      <c r="G1" s="12"/>
      <c r="H1" s="12"/>
    </row>
    <row r="2" customFormat="false" ht="25.5" hidden="false" customHeight="true" outlineLevel="0" collapsed="false">
      <c r="A2" s="13" t="s">
        <v>33</v>
      </c>
      <c r="B2" s="13"/>
      <c r="C2" s="13"/>
      <c r="D2" s="13"/>
      <c r="E2" s="13"/>
      <c r="F2" s="13"/>
      <c r="G2" s="13"/>
      <c r="H2" s="13"/>
    </row>
    <row r="3" customFormat="false" ht="23.85" hidden="false" customHeight="false" outlineLevel="0" collapsed="false">
      <c r="A3" s="14" t="s">
        <v>2</v>
      </c>
      <c r="B3" s="14" t="s">
        <v>34</v>
      </c>
      <c r="C3" s="14" t="s">
        <v>35</v>
      </c>
      <c r="D3" s="14" t="s">
        <v>36</v>
      </c>
      <c r="E3" s="14" t="s">
        <v>37</v>
      </c>
      <c r="F3" s="14" t="s">
        <v>38</v>
      </c>
      <c r="G3" s="14" t="s">
        <v>39</v>
      </c>
      <c r="H3" s="14" t="s">
        <v>40</v>
      </c>
    </row>
    <row r="4" customFormat="false" ht="15" hidden="false" customHeight="false" outlineLevel="0" collapsed="false">
      <c r="A4" s="15" t="n">
        <v>1</v>
      </c>
      <c r="B4" s="15" t="s">
        <v>41</v>
      </c>
      <c r="C4" s="15" t="s">
        <v>42</v>
      </c>
      <c r="D4" s="15" t="s">
        <v>43</v>
      </c>
      <c r="E4" s="15" t="s">
        <v>44</v>
      </c>
      <c r="F4" s="16"/>
      <c r="G4" s="16"/>
      <c r="H4" s="16"/>
    </row>
    <row r="5" customFormat="false" ht="15" hidden="false" customHeight="false" outlineLevel="0" collapsed="false">
      <c r="A5" s="4" t="n">
        <v>2</v>
      </c>
      <c r="B5" s="4" t="s">
        <v>45</v>
      </c>
      <c r="C5" s="4" t="s">
        <v>46</v>
      </c>
      <c r="D5" s="4" t="s">
        <v>47</v>
      </c>
      <c r="E5" s="4" t="s">
        <v>48</v>
      </c>
      <c r="F5" s="17"/>
      <c r="G5" s="17"/>
      <c r="H5" s="17"/>
    </row>
    <row r="6" customFormat="false" ht="15" hidden="false" customHeight="false" outlineLevel="0" collapsed="false">
      <c r="A6" s="15" t="n">
        <v>3</v>
      </c>
      <c r="B6" s="15" t="s">
        <v>49</v>
      </c>
      <c r="C6" s="15" t="s">
        <v>50</v>
      </c>
      <c r="D6" s="15" t="s">
        <v>51</v>
      </c>
      <c r="E6" s="15" t="s">
        <v>52</v>
      </c>
      <c r="F6" s="16"/>
      <c r="G6" s="16"/>
      <c r="H6" s="16"/>
    </row>
    <row r="7" customFormat="false" ht="15" hidden="false" customHeight="false" outlineLevel="0" collapsed="false">
      <c r="A7" s="4" t="n">
        <v>4</v>
      </c>
      <c r="B7" s="4" t="s">
        <v>53</v>
      </c>
      <c r="C7" s="4" t="s">
        <v>54</v>
      </c>
      <c r="D7" s="4" t="s">
        <v>47</v>
      </c>
      <c r="E7" s="4" t="s">
        <v>48</v>
      </c>
      <c r="F7" s="17"/>
      <c r="G7" s="17"/>
      <c r="H7" s="17"/>
    </row>
    <row r="8" customFormat="false" ht="15" hidden="false" customHeight="false" outlineLevel="0" collapsed="false">
      <c r="A8" s="15" t="n">
        <v>5</v>
      </c>
      <c r="B8" s="15" t="s">
        <v>55</v>
      </c>
      <c r="C8" s="15" t="s">
        <v>56</v>
      </c>
      <c r="D8" s="15" t="s">
        <v>51</v>
      </c>
      <c r="E8" s="15" t="s">
        <v>52</v>
      </c>
      <c r="F8" s="16"/>
      <c r="G8" s="16"/>
      <c r="H8" s="16"/>
    </row>
    <row r="9" customFormat="false" ht="15" hidden="false" customHeight="false" outlineLevel="0" collapsed="false">
      <c r="A9" s="4" t="n">
        <v>6</v>
      </c>
      <c r="B9" s="4" t="s">
        <v>57</v>
      </c>
      <c r="C9" s="4" t="s">
        <v>58</v>
      </c>
      <c r="D9" s="4" t="s">
        <v>51</v>
      </c>
      <c r="E9" s="4" t="s">
        <v>59</v>
      </c>
      <c r="F9" s="17"/>
      <c r="G9" s="17"/>
      <c r="H9" s="17"/>
    </row>
    <row r="10" customFormat="false" ht="15" hidden="false" customHeight="false" outlineLevel="0" collapsed="false">
      <c r="A10" s="15" t="n">
        <v>7</v>
      </c>
      <c r="B10" s="15" t="s">
        <v>60</v>
      </c>
      <c r="C10" s="15" t="s">
        <v>61</v>
      </c>
      <c r="D10" s="15" t="s">
        <v>47</v>
      </c>
      <c r="E10" s="15" t="s">
        <v>48</v>
      </c>
      <c r="F10" s="16"/>
      <c r="G10" s="16"/>
      <c r="H10" s="16"/>
    </row>
    <row r="11" customFormat="false" ht="15" hidden="false" customHeight="false" outlineLevel="0" collapsed="false">
      <c r="A11" s="4" t="n">
        <v>8</v>
      </c>
      <c r="B11" s="4" t="s">
        <v>62</v>
      </c>
      <c r="C11" s="4" t="s">
        <v>63</v>
      </c>
      <c r="D11" s="4" t="s">
        <v>47</v>
      </c>
      <c r="E11" s="4" t="s">
        <v>48</v>
      </c>
      <c r="F11" s="17"/>
      <c r="G11" s="17"/>
      <c r="H11" s="17"/>
    </row>
    <row r="12" customFormat="false" ht="15" hidden="false" customHeight="false" outlineLevel="0" collapsed="false">
      <c r="A12" s="15" t="n">
        <v>9</v>
      </c>
      <c r="B12" s="15" t="s">
        <v>64</v>
      </c>
      <c r="C12" s="15" t="s">
        <v>65</v>
      </c>
      <c r="D12" s="15" t="s">
        <v>43</v>
      </c>
      <c r="E12" s="15" t="s">
        <v>44</v>
      </c>
      <c r="F12" s="16"/>
      <c r="G12" s="16"/>
      <c r="H12" s="16"/>
    </row>
    <row r="13" customFormat="false" ht="15" hidden="false" customHeight="false" outlineLevel="0" collapsed="false">
      <c r="A13" s="4" t="n">
        <v>10</v>
      </c>
      <c r="B13" s="4" t="s">
        <v>66</v>
      </c>
      <c r="C13" s="4" t="s">
        <v>67</v>
      </c>
      <c r="D13" s="4" t="s">
        <v>51</v>
      </c>
      <c r="E13" s="4" t="s">
        <v>52</v>
      </c>
      <c r="F13" s="17"/>
      <c r="G13" s="17"/>
      <c r="H13" s="17"/>
    </row>
    <row r="14" customFormat="false" ht="15" hidden="false" customHeight="false" outlineLevel="0" collapsed="false">
      <c r="A14" s="15" t="n">
        <v>11</v>
      </c>
      <c r="B14" s="15" t="s">
        <v>68</v>
      </c>
      <c r="C14" s="15" t="s">
        <v>69</v>
      </c>
      <c r="D14" s="15" t="s">
        <v>47</v>
      </c>
      <c r="E14" s="15" t="s">
        <v>48</v>
      </c>
      <c r="F14" s="16"/>
      <c r="G14" s="16"/>
      <c r="H14" s="16"/>
    </row>
    <row r="15" customFormat="false" ht="15" hidden="false" customHeight="false" outlineLevel="0" collapsed="false">
      <c r="A15" s="4" t="n">
        <v>12</v>
      </c>
      <c r="B15" s="4" t="s">
        <v>70</v>
      </c>
      <c r="C15" s="4" t="s">
        <v>71</v>
      </c>
      <c r="D15" s="4" t="s">
        <v>47</v>
      </c>
      <c r="E15" s="4" t="s">
        <v>48</v>
      </c>
      <c r="F15" s="17"/>
      <c r="G15" s="17"/>
      <c r="H15" s="17"/>
    </row>
    <row r="16" customFormat="false" ht="15" hidden="false" customHeight="false" outlineLevel="0" collapsed="false">
      <c r="A16" s="15" t="n">
        <v>13</v>
      </c>
      <c r="B16" s="15" t="s">
        <v>72</v>
      </c>
      <c r="C16" s="15" t="s">
        <v>73</v>
      </c>
      <c r="D16" s="15" t="s">
        <v>47</v>
      </c>
      <c r="E16" s="15" t="s">
        <v>48</v>
      </c>
      <c r="F16" s="16"/>
      <c r="G16" s="16"/>
      <c r="H16" s="16"/>
    </row>
    <row r="17" customFormat="false" ht="15" hidden="false" customHeight="false" outlineLevel="0" collapsed="false">
      <c r="A17" s="4" t="n">
        <v>14</v>
      </c>
      <c r="B17" s="4" t="s">
        <v>74</v>
      </c>
      <c r="C17" s="4" t="s">
        <v>75</v>
      </c>
      <c r="D17" s="4" t="s">
        <v>47</v>
      </c>
      <c r="E17" s="4" t="s">
        <v>48</v>
      </c>
      <c r="F17" s="17"/>
      <c r="G17" s="17"/>
      <c r="H17" s="17"/>
    </row>
    <row r="18" customFormat="false" ht="15" hidden="false" customHeight="false" outlineLevel="0" collapsed="false">
      <c r="A18" s="15" t="n">
        <v>15</v>
      </c>
      <c r="B18" s="15" t="s">
        <v>76</v>
      </c>
      <c r="C18" s="15" t="s">
        <v>77</v>
      </c>
      <c r="D18" s="15" t="s">
        <v>47</v>
      </c>
      <c r="E18" s="15" t="s">
        <v>48</v>
      </c>
      <c r="F18" s="16"/>
      <c r="G18" s="16"/>
      <c r="H18" s="16"/>
    </row>
    <row r="19" customFormat="false" ht="15" hidden="false" customHeight="false" outlineLevel="0" collapsed="false">
      <c r="A19" s="4" t="n">
        <v>16</v>
      </c>
      <c r="B19" s="4" t="s">
        <v>78</v>
      </c>
      <c r="C19" s="4" t="s">
        <v>79</v>
      </c>
      <c r="D19" s="4" t="s">
        <v>51</v>
      </c>
      <c r="E19" s="4" t="s">
        <v>52</v>
      </c>
      <c r="F19" s="17"/>
      <c r="G19" s="17"/>
      <c r="H19" s="17"/>
    </row>
    <row r="20" customFormat="false" ht="15" hidden="false" customHeight="false" outlineLevel="0" collapsed="false">
      <c r="A20" s="15" t="n">
        <v>17</v>
      </c>
      <c r="B20" s="15" t="s">
        <v>80</v>
      </c>
      <c r="C20" s="15" t="s">
        <v>81</v>
      </c>
      <c r="D20" s="15" t="s">
        <v>51</v>
      </c>
      <c r="E20" s="15" t="s">
        <v>52</v>
      </c>
      <c r="F20" s="16"/>
      <c r="G20" s="16"/>
      <c r="H20" s="16"/>
    </row>
    <row r="21" customFormat="false" ht="15" hidden="false" customHeight="false" outlineLevel="0" collapsed="false">
      <c r="A21" s="4" t="n">
        <v>18</v>
      </c>
      <c r="B21" s="4" t="s">
        <v>82</v>
      </c>
      <c r="C21" s="4" t="s">
        <v>83</v>
      </c>
      <c r="D21" s="4" t="s">
        <v>51</v>
      </c>
      <c r="E21" s="4" t="s">
        <v>52</v>
      </c>
      <c r="F21" s="17"/>
      <c r="G21" s="17"/>
      <c r="H21" s="17"/>
    </row>
    <row r="22" customFormat="false" ht="15" hidden="false" customHeight="false" outlineLevel="0" collapsed="false">
      <c r="A22" s="15" t="n">
        <v>19</v>
      </c>
      <c r="B22" s="15" t="s">
        <v>84</v>
      </c>
      <c r="C22" s="15" t="s">
        <v>85</v>
      </c>
      <c r="D22" s="15" t="s">
        <v>47</v>
      </c>
      <c r="E22" s="15" t="s">
        <v>48</v>
      </c>
      <c r="F22" s="16"/>
      <c r="G22" s="16"/>
      <c r="H22" s="16"/>
    </row>
    <row r="23" customFormat="false" ht="23.85" hidden="false" customHeight="false" outlineLevel="0" collapsed="false">
      <c r="A23" s="4" t="n">
        <v>20</v>
      </c>
      <c r="B23" s="4" t="s">
        <v>86</v>
      </c>
      <c r="C23" s="4" t="s">
        <v>87</v>
      </c>
      <c r="D23" s="4" t="s">
        <v>88</v>
      </c>
      <c r="E23" s="4" t="s">
        <v>52</v>
      </c>
      <c r="F23" s="17"/>
      <c r="G23" s="17"/>
      <c r="H23" s="17"/>
    </row>
    <row r="24" customFormat="false" ht="15" hidden="false" customHeight="false" outlineLevel="0" collapsed="false">
      <c r="A24" s="15" t="n">
        <v>21</v>
      </c>
      <c r="B24" s="15" t="s">
        <v>89</v>
      </c>
      <c r="C24" s="15" t="s">
        <v>90</v>
      </c>
      <c r="D24" s="15" t="s">
        <v>47</v>
      </c>
      <c r="E24" s="15" t="s">
        <v>48</v>
      </c>
      <c r="F24" s="16"/>
      <c r="G24" s="16"/>
      <c r="H24" s="16"/>
    </row>
    <row r="25" customFormat="false" ht="15" hidden="false" customHeight="false" outlineLevel="0" collapsed="false">
      <c r="A25" s="4" t="n">
        <v>22</v>
      </c>
      <c r="B25" s="4" t="s">
        <v>91</v>
      </c>
      <c r="C25" s="4" t="s">
        <v>92</v>
      </c>
      <c r="D25" s="4" t="s">
        <v>47</v>
      </c>
      <c r="E25" s="4" t="s">
        <v>48</v>
      </c>
      <c r="F25" s="17"/>
      <c r="G25" s="17"/>
      <c r="H25" s="17"/>
    </row>
    <row r="26" customFormat="false" ht="15" hidden="false" customHeight="false" outlineLevel="0" collapsed="false">
      <c r="A26" s="15" t="n">
        <v>23</v>
      </c>
      <c r="B26" s="15" t="s">
        <v>93</v>
      </c>
      <c r="C26" s="15" t="s">
        <v>94</v>
      </c>
      <c r="D26" s="15" t="s">
        <v>47</v>
      </c>
      <c r="E26" s="15" t="s">
        <v>48</v>
      </c>
      <c r="F26" s="16"/>
      <c r="G26" s="16"/>
      <c r="H26" s="16"/>
    </row>
    <row r="27" customFormat="false" ht="15" hidden="false" customHeight="false" outlineLevel="0" collapsed="false">
      <c r="A27" s="4" t="n">
        <v>24</v>
      </c>
      <c r="B27" s="4" t="s">
        <v>95</v>
      </c>
      <c r="C27" s="4" t="s">
        <v>96</v>
      </c>
      <c r="D27" s="4" t="s">
        <v>43</v>
      </c>
      <c r="E27" s="4" t="s">
        <v>97</v>
      </c>
      <c r="F27" s="17"/>
      <c r="G27" s="17"/>
      <c r="H27" s="17"/>
    </row>
    <row r="28" customFormat="false" ht="15" hidden="false" customHeight="false" outlineLevel="0" collapsed="false">
      <c r="A28" s="15" t="n">
        <v>25</v>
      </c>
      <c r="B28" s="15" t="s">
        <v>98</v>
      </c>
      <c r="C28" s="15" t="s">
        <v>99</v>
      </c>
      <c r="D28" s="15" t="s">
        <v>100</v>
      </c>
      <c r="E28" s="15" t="s">
        <v>52</v>
      </c>
      <c r="F28" s="16"/>
      <c r="G28" s="16"/>
      <c r="H28" s="16"/>
    </row>
    <row r="29" customFormat="false" ht="15" hidden="false" customHeight="false" outlineLevel="0" collapsed="false">
      <c r="A29" s="4" t="n">
        <v>26</v>
      </c>
      <c r="B29" s="4" t="s">
        <v>101</v>
      </c>
      <c r="C29" s="4" t="s">
        <v>102</v>
      </c>
      <c r="D29" s="4" t="s">
        <v>47</v>
      </c>
      <c r="E29" s="4" t="s">
        <v>103</v>
      </c>
      <c r="F29" s="17"/>
      <c r="G29" s="17"/>
      <c r="H29" s="17"/>
    </row>
    <row r="30" customFormat="false" ht="15" hidden="false" customHeight="false" outlineLevel="0" collapsed="false">
      <c r="A30" s="15" t="n">
        <v>27</v>
      </c>
      <c r="B30" s="15" t="s">
        <v>104</v>
      </c>
      <c r="C30" s="15" t="s">
        <v>105</v>
      </c>
      <c r="D30" s="15" t="s">
        <v>43</v>
      </c>
      <c r="E30" s="15" t="s">
        <v>44</v>
      </c>
      <c r="F30" s="16"/>
      <c r="G30" s="16"/>
      <c r="H30" s="16"/>
    </row>
    <row r="31" customFormat="false" ht="15" hidden="false" customHeight="false" outlineLevel="0" collapsed="false">
      <c r="A31" s="4" t="n">
        <v>28</v>
      </c>
      <c r="B31" s="4" t="s">
        <v>106</v>
      </c>
      <c r="C31" s="4" t="s">
        <v>107</v>
      </c>
      <c r="D31" s="4" t="s">
        <v>108</v>
      </c>
      <c r="E31" s="4" t="s">
        <v>109</v>
      </c>
      <c r="F31" s="17"/>
      <c r="G31" s="17"/>
      <c r="H31" s="17"/>
    </row>
    <row r="32" customFormat="false" ht="15" hidden="false" customHeight="false" outlineLevel="0" collapsed="false">
      <c r="A32" s="15" t="n">
        <v>29</v>
      </c>
      <c r="B32" s="15" t="s">
        <v>110</v>
      </c>
      <c r="C32" s="15" t="s">
        <v>111</v>
      </c>
      <c r="D32" s="15" t="s">
        <v>47</v>
      </c>
      <c r="E32" s="15" t="s">
        <v>48</v>
      </c>
      <c r="F32" s="16"/>
      <c r="G32" s="16"/>
      <c r="H32" s="16"/>
    </row>
    <row r="33" customFormat="false" ht="15" hidden="false" customHeight="false" outlineLevel="0" collapsed="false">
      <c r="A33" s="4" t="n">
        <v>30</v>
      </c>
      <c r="B33" s="4" t="s">
        <v>112</v>
      </c>
      <c r="C33" s="4" t="s">
        <v>113</v>
      </c>
      <c r="D33" s="4" t="s">
        <v>51</v>
      </c>
      <c r="E33" s="4" t="s">
        <v>59</v>
      </c>
      <c r="F33" s="17"/>
      <c r="G33" s="17"/>
      <c r="H33" s="17"/>
    </row>
    <row r="34" customFormat="false" ht="15" hidden="false" customHeight="false" outlineLevel="0" collapsed="false">
      <c r="A34" s="15" t="n">
        <v>31</v>
      </c>
      <c r="B34" s="15" t="s">
        <v>114</v>
      </c>
      <c r="C34" s="15" t="s">
        <v>115</v>
      </c>
      <c r="D34" s="15" t="s">
        <v>47</v>
      </c>
      <c r="E34" s="15" t="s">
        <v>48</v>
      </c>
      <c r="F34" s="16"/>
      <c r="G34" s="16"/>
      <c r="H34" s="16"/>
    </row>
    <row r="35" customFormat="false" ht="15" hidden="false" customHeight="false" outlineLevel="0" collapsed="false">
      <c r="A35" s="4" t="n">
        <v>32</v>
      </c>
      <c r="B35" s="4" t="s">
        <v>116</v>
      </c>
      <c r="C35" s="4" t="s">
        <v>117</v>
      </c>
      <c r="D35" s="4" t="s">
        <v>47</v>
      </c>
      <c r="E35" s="4" t="s">
        <v>103</v>
      </c>
      <c r="F35" s="17"/>
      <c r="G35" s="17"/>
      <c r="H35" s="17"/>
    </row>
    <row r="36" customFormat="false" ht="15" hidden="false" customHeight="false" outlineLevel="0" collapsed="false">
      <c r="A36" s="15" t="n">
        <v>33</v>
      </c>
      <c r="B36" s="15" t="s">
        <v>118</v>
      </c>
      <c r="C36" s="15" t="s">
        <v>119</v>
      </c>
      <c r="D36" s="15" t="s">
        <v>51</v>
      </c>
      <c r="E36" s="15" t="s">
        <v>52</v>
      </c>
      <c r="F36" s="16"/>
      <c r="G36" s="16"/>
      <c r="H36" s="16"/>
    </row>
    <row r="37" customFormat="false" ht="23.85" hidden="false" customHeight="false" outlineLevel="0" collapsed="false">
      <c r="A37" s="4" t="n">
        <v>34</v>
      </c>
      <c r="B37" s="4" t="s">
        <v>120</v>
      </c>
      <c r="C37" s="4" t="s">
        <v>121</v>
      </c>
      <c r="D37" s="4" t="s">
        <v>88</v>
      </c>
      <c r="E37" s="4" t="s">
        <v>52</v>
      </c>
      <c r="F37" s="17"/>
      <c r="G37" s="17"/>
      <c r="H37" s="17"/>
    </row>
    <row r="38" customFormat="false" ht="15" hidden="false" customHeight="false" outlineLevel="0" collapsed="false">
      <c r="A38" s="15" t="n">
        <v>35</v>
      </c>
      <c r="B38" s="15" t="s">
        <v>122</v>
      </c>
      <c r="C38" s="15" t="s">
        <v>123</v>
      </c>
      <c r="D38" s="15" t="s">
        <v>51</v>
      </c>
      <c r="E38" s="15" t="s">
        <v>52</v>
      </c>
      <c r="F38" s="16"/>
      <c r="G38" s="16"/>
      <c r="H38" s="16"/>
    </row>
    <row r="39" customFormat="false" ht="15" hidden="false" customHeight="false" outlineLevel="0" collapsed="false">
      <c r="A39" s="4" t="n">
        <v>36</v>
      </c>
      <c r="B39" s="4" t="s">
        <v>124</v>
      </c>
      <c r="C39" s="4" t="s">
        <v>125</v>
      </c>
      <c r="D39" s="4" t="s">
        <v>43</v>
      </c>
      <c r="E39" s="4" t="s">
        <v>97</v>
      </c>
      <c r="F39" s="17"/>
      <c r="G39" s="17"/>
      <c r="H39" s="17"/>
    </row>
    <row r="40" customFormat="false" ht="23.85" hidden="false" customHeight="false" outlineLevel="0" collapsed="false">
      <c r="A40" s="15" t="n">
        <v>37</v>
      </c>
      <c r="B40" s="15" t="s">
        <v>126</v>
      </c>
      <c r="C40" s="15" t="s">
        <v>127</v>
      </c>
      <c r="D40" s="15" t="s">
        <v>88</v>
      </c>
      <c r="E40" s="15" t="s">
        <v>52</v>
      </c>
      <c r="F40" s="16"/>
      <c r="G40" s="16"/>
      <c r="H40" s="16"/>
    </row>
    <row r="41" customFormat="false" ht="15" hidden="false" customHeight="false" outlineLevel="0" collapsed="false">
      <c r="A41" s="4" t="n">
        <v>38</v>
      </c>
      <c r="B41" s="4" t="s">
        <v>128</v>
      </c>
      <c r="C41" s="4" t="s">
        <v>129</v>
      </c>
      <c r="D41" s="4" t="s">
        <v>43</v>
      </c>
      <c r="E41" s="4" t="s">
        <v>97</v>
      </c>
      <c r="F41" s="17"/>
      <c r="G41" s="17"/>
      <c r="H41" s="17"/>
    </row>
    <row r="42" customFormat="false" ht="15" hidden="false" customHeight="false" outlineLevel="0" collapsed="false">
      <c r="A42" s="15" t="n">
        <v>39</v>
      </c>
      <c r="B42" s="15" t="s">
        <v>130</v>
      </c>
      <c r="C42" s="15" t="s">
        <v>131</v>
      </c>
      <c r="D42" s="15" t="s">
        <v>47</v>
      </c>
      <c r="E42" s="15" t="s">
        <v>48</v>
      </c>
      <c r="F42" s="16"/>
      <c r="G42" s="16"/>
      <c r="H42" s="16"/>
    </row>
    <row r="43" customFormat="false" ht="23.85" hidden="false" customHeight="false" outlineLevel="0" collapsed="false">
      <c r="A43" s="4" t="n">
        <v>40</v>
      </c>
      <c r="B43" s="4" t="s">
        <v>132</v>
      </c>
      <c r="C43" s="4" t="s">
        <v>133</v>
      </c>
      <c r="D43" s="4" t="s">
        <v>88</v>
      </c>
      <c r="E43" s="4" t="s">
        <v>109</v>
      </c>
      <c r="F43" s="17"/>
      <c r="G43" s="17"/>
      <c r="H43" s="17"/>
    </row>
    <row r="44" customFormat="false" ht="15" hidden="false" customHeight="false" outlineLevel="0" collapsed="false">
      <c r="A44" s="15" t="n">
        <v>41</v>
      </c>
      <c r="B44" s="15" t="s">
        <v>134</v>
      </c>
      <c r="C44" s="15" t="s">
        <v>135</v>
      </c>
      <c r="D44" s="15" t="s">
        <v>108</v>
      </c>
      <c r="E44" s="15" t="s">
        <v>109</v>
      </c>
      <c r="F44" s="16"/>
      <c r="G44" s="16"/>
      <c r="H44" s="16"/>
    </row>
    <row r="45" customFormat="false" ht="15" hidden="false" customHeight="false" outlineLevel="0" collapsed="false">
      <c r="A45" s="4" t="n">
        <v>42</v>
      </c>
      <c r="B45" s="4" t="s">
        <v>136</v>
      </c>
      <c r="C45" s="4" t="s">
        <v>137</v>
      </c>
      <c r="D45" s="4" t="s">
        <v>43</v>
      </c>
      <c r="E45" s="4" t="s">
        <v>97</v>
      </c>
      <c r="F45" s="17"/>
      <c r="G45" s="17"/>
      <c r="H45" s="17"/>
    </row>
    <row r="46" customFormat="false" ht="15" hidden="false" customHeight="false" outlineLevel="0" collapsed="false">
      <c r="A46" s="15" t="n">
        <v>43</v>
      </c>
      <c r="B46" s="15" t="s">
        <v>138</v>
      </c>
      <c r="C46" s="15" t="s">
        <v>139</v>
      </c>
      <c r="D46" s="15" t="s">
        <v>100</v>
      </c>
      <c r="E46" s="15" t="s">
        <v>52</v>
      </c>
      <c r="F46" s="16"/>
      <c r="G46" s="16"/>
      <c r="H46" s="16"/>
    </row>
    <row r="47" customFormat="false" ht="15" hidden="false" customHeight="false" outlineLevel="0" collapsed="false">
      <c r="A47" s="4" t="n">
        <v>44</v>
      </c>
      <c r="B47" s="4" t="s">
        <v>140</v>
      </c>
      <c r="C47" s="4" t="s">
        <v>141</v>
      </c>
      <c r="D47" s="4" t="s">
        <v>51</v>
      </c>
      <c r="E47" s="4" t="s">
        <v>52</v>
      </c>
      <c r="F47" s="17"/>
      <c r="G47" s="17"/>
      <c r="H47" s="17"/>
    </row>
    <row r="48" customFormat="false" ht="15" hidden="false" customHeight="false" outlineLevel="0" collapsed="false">
      <c r="A48" s="15" t="n">
        <v>45</v>
      </c>
      <c r="B48" s="15" t="s">
        <v>142</v>
      </c>
      <c r="C48" s="15" t="s">
        <v>143</v>
      </c>
      <c r="D48" s="15" t="s">
        <v>47</v>
      </c>
      <c r="E48" s="15" t="s">
        <v>48</v>
      </c>
      <c r="F48" s="16"/>
      <c r="G48" s="16"/>
      <c r="H48" s="16"/>
    </row>
    <row r="49" customFormat="false" ht="15" hidden="false" customHeight="false" outlineLevel="0" collapsed="false">
      <c r="A49" s="4" t="n">
        <v>46</v>
      </c>
      <c r="B49" s="4" t="s">
        <v>144</v>
      </c>
      <c r="C49" s="4" t="s">
        <v>145</v>
      </c>
      <c r="D49" s="4" t="s">
        <v>108</v>
      </c>
      <c r="E49" s="4" t="s">
        <v>109</v>
      </c>
      <c r="F49" s="17"/>
      <c r="G49" s="17"/>
      <c r="H49" s="17"/>
    </row>
    <row r="50" customFormat="false" ht="15" hidden="false" customHeight="false" outlineLevel="0" collapsed="false">
      <c r="A50" s="15" t="n">
        <v>47</v>
      </c>
      <c r="B50" s="15" t="s">
        <v>146</v>
      </c>
      <c r="C50" s="15" t="s">
        <v>147</v>
      </c>
      <c r="D50" s="15" t="s">
        <v>108</v>
      </c>
      <c r="E50" s="15" t="s">
        <v>109</v>
      </c>
      <c r="F50" s="16"/>
      <c r="G50" s="16"/>
      <c r="H50" s="16"/>
    </row>
    <row r="51" customFormat="false" ht="15" hidden="false" customHeight="false" outlineLevel="0" collapsed="false">
      <c r="A51" s="4" t="n">
        <v>48</v>
      </c>
      <c r="B51" s="4" t="s">
        <v>148</v>
      </c>
      <c r="C51" s="4" t="s">
        <v>149</v>
      </c>
      <c r="D51" s="4" t="s">
        <v>100</v>
      </c>
      <c r="E51" s="4" t="s">
        <v>52</v>
      </c>
      <c r="F51" s="17"/>
      <c r="G51" s="17"/>
      <c r="H51" s="17"/>
    </row>
    <row r="52" customFormat="false" ht="15" hidden="false" customHeight="false" outlineLevel="0" collapsed="false">
      <c r="A52" s="15" t="n">
        <v>49</v>
      </c>
      <c r="B52" s="15" t="s">
        <v>150</v>
      </c>
      <c r="C52" s="15" t="s">
        <v>151</v>
      </c>
      <c r="D52" s="15" t="s">
        <v>51</v>
      </c>
      <c r="E52" s="15" t="s">
        <v>52</v>
      </c>
      <c r="F52" s="16"/>
      <c r="G52" s="16"/>
      <c r="H52" s="16"/>
    </row>
    <row r="53" customFormat="false" ht="15" hidden="false" customHeight="false" outlineLevel="0" collapsed="false">
      <c r="A53" s="4" t="n">
        <v>50</v>
      </c>
      <c r="B53" s="4" t="s">
        <v>152</v>
      </c>
      <c r="C53" s="4" t="s">
        <v>153</v>
      </c>
      <c r="D53" s="4" t="s">
        <v>51</v>
      </c>
      <c r="E53" s="4" t="s">
        <v>52</v>
      </c>
      <c r="F53" s="17"/>
      <c r="G53" s="17"/>
      <c r="H53" s="17"/>
    </row>
    <row r="55" customFormat="false" ht="25.5" hidden="false" customHeight="true" outlineLevel="0" collapsed="false">
      <c r="A55" s="18" t="s">
        <v>154</v>
      </c>
      <c r="B55" s="18"/>
      <c r="C55" s="18"/>
      <c r="D55" s="18"/>
      <c r="E55" s="18"/>
      <c r="F55" s="18"/>
      <c r="G55" s="18"/>
      <c r="H55" s="18"/>
    </row>
    <row r="56" customFormat="false" ht="15" hidden="false" customHeight="true" outlineLevel="0" collapsed="false">
      <c r="A56" s="19" t="s">
        <v>155</v>
      </c>
      <c r="B56" s="19"/>
      <c r="C56" s="19"/>
      <c r="D56" s="19"/>
      <c r="E56" s="20" t="n">
        <f aca="false">COUNTA(B4:B53)</f>
        <v>50</v>
      </c>
      <c r="F56" s="21"/>
      <c r="G56" s="21"/>
      <c r="H56" s="21"/>
    </row>
    <row r="57" customFormat="false" ht="15" hidden="false" customHeight="true" outlineLevel="0" collapsed="false">
      <c r="A57" s="19" t="s">
        <v>156</v>
      </c>
      <c r="B57" s="19"/>
      <c r="C57" s="19"/>
      <c r="D57" s="19"/>
      <c r="E57" s="20" t="n">
        <f aca="false">SUM(F4:F53)</f>
        <v>0</v>
      </c>
      <c r="F57" s="21"/>
      <c r="G57" s="21"/>
      <c r="H57" s="21"/>
    </row>
    <row r="58" customFormat="false" ht="15" hidden="false" customHeight="true" outlineLevel="0" collapsed="false">
      <c r="A58" s="19" t="s">
        <v>157</v>
      </c>
      <c r="B58" s="19"/>
      <c r="C58" s="19"/>
      <c r="D58" s="19"/>
      <c r="E58" s="20" t="n">
        <f aca="false">SUMPRODUCT((E4:E53&lt;&gt;"")/COUNTIF(E4:E53,E4:E53&amp;""))</f>
        <v>7</v>
      </c>
      <c r="F58" s="21"/>
      <c r="G58" s="21"/>
      <c r="H58" s="21"/>
    </row>
    <row r="59" customFormat="false" ht="15" hidden="false" customHeight="true" outlineLevel="0" collapsed="false">
      <c r="A59" s="19" t="s">
        <v>158</v>
      </c>
      <c r="B59" s="19"/>
      <c r="C59" s="19"/>
      <c r="D59" s="19"/>
      <c r="E59" s="20" t="n">
        <f aca="false">SUMPRODUCT((D4:D53&lt;&gt;"")/COUNTIF(D4:D53,D4:D53&amp;""))</f>
        <v>6</v>
      </c>
      <c r="F59" s="21"/>
      <c r="G59" s="21"/>
      <c r="H59" s="21"/>
    </row>
  </sheetData>
  <mergeCells count="7">
    <mergeCell ref="A1:H1"/>
    <mergeCell ref="A2:H2"/>
    <mergeCell ref="A55:H55"/>
    <mergeCell ref="A56:D56"/>
    <mergeCell ref="A57:D57"/>
    <mergeCell ref="A58:D58"/>
    <mergeCell ref="A59:D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2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2" t="s">
        <v>159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25.5" hidden="false" customHeight="true" outlineLevel="0" collapsed="false">
      <c r="A2" s="10" t="s">
        <v>160</v>
      </c>
      <c r="B2" s="10"/>
      <c r="C2" s="10"/>
      <c r="D2" s="10"/>
      <c r="E2" s="10"/>
      <c r="F2" s="10"/>
      <c r="G2" s="10"/>
      <c r="H2" s="10"/>
      <c r="I2" s="10"/>
      <c r="J2" s="10"/>
    </row>
    <row r="3" customFormat="false" ht="35.05" hidden="false" customHeight="false" outlineLevel="0" collapsed="false">
      <c r="A3" s="23" t="s">
        <v>161</v>
      </c>
      <c r="B3" s="23" t="s">
        <v>162</v>
      </c>
      <c r="C3" s="23" t="s">
        <v>163</v>
      </c>
      <c r="D3" s="23" t="s">
        <v>164</v>
      </c>
      <c r="E3" s="23" t="s">
        <v>165</v>
      </c>
      <c r="F3" s="23" t="s">
        <v>36</v>
      </c>
      <c r="G3" s="23" t="s">
        <v>37</v>
      </c>
      <c r="H3" s="23" t="s">
        <v>166</v>
      </c>
      <c r="I3" s="23" t="s">
        <v>167</v>
      </c>
      <c r="J3" s="23" t="s">
        <v>168</v>
      </c>
    </row>
    <row r="4" customFormat="false" ht="23.85" hidden="false" customHeight="false" outlineLevel="0" collapsed="false">
      <c r="A4" s="7" t="s">
        <v>169</v>
      </c>
      <c r="B4" s="24"/>
      <c r="C4" s="24"/>
      <c r="D4" s="24"/>
      <c r="E4" s="7" t="str">
        <f aca="false">IFERROR(VLOOKUP(D4,'1. Country Master List'!C:B,2,FALSE()),"")</f>
        <v/>
      </c>
      <c r="F4" s="7" t="str">
        <f aca="false">IFERROR(VLOOKUP(D4,'1. Country Master List'!$C$4:$D$53,2,FALSE()),"")</f>
        <v/>
      </c>
      <c r="G4" s="7" t="str">
        <f aca="false">IFERROR(VLOOKUP(D4,'1. Country Master List'!$C$4:$E$53,3,FALSE()),"")</f>
        <v/>
      </c>
      <c r="H4" s="24"/>
      <c r="I4" s="24"/>
      <c r="J4" s="24"/>
    </row>
    <row r="5" customFormat="false" ht="23.85" hidden="false" customHeight="false" outlineLevel="0" collapsed="false">
      <c r="A5" s="4" t="s">
        <v>170</v>
      </c>
      <c r="B5" s="17"/>
      <c r="C5" s="17"/>
      <c r="D5" s="17"/>
      <c r="E5" s="4" t="str">
        <f aca="false">IFERROR(VLOOKUP(D5,'1. Country Master List'!C:B,2,FALSE()),"")</f>
        <v/>
      </c>
      <c r="F5" s="4" t="str">
        <f aca="false">IFERROR(VLOOKUP(D5,'1. Country Master List'!$C$4:$D$53,2,FALSE()),"")</f>
        <v/>
      </c>
      <c r="G5" s="4" t="str">
        <f aca="false">IFERROR(VLOOKUP(D5,'1. Country Master List'!$C$4:$E$53,3,FALSE()),"")</f>
        <v/>
      </c>
      <c r="H5" s="17"/>
      <c r="I5" s="17"/>
      <c r="J5" s="17"/>
    </row>
    <row r="6" customFormat="false" ht="23.85" hidden="false" customHeight="false" outlineLevel="0" collapsed="false">
      <c r="A6" s="7" t="s">
        <v>171</v>
      </c>
      <c r="B6" s="24"/>
      <c r="C6" s="24"/>
      <c r="D6" s="24"/>
      <c r="E6" s="7" t="str">
        <f aca="false">IFERROR(VLOOKUP(D6,'1. Country Master List'!C:B,2,FALSE()),"")</f>
        <v/>
      </c>
      <c r="F6" s="7" t="str">
        <f aca="false">IFERROR(VLOOKUP(D6,'1. Country Master List'!$C$4:$D$53,2,FALSE()),"")</f>
        <v/>
      </c>
      <c r="G6" s="7" t="str">
        <f aca="false">IFERROR(VLOOKUP(D6,'1. Country Master List'!$C$4:$E$53,3,FALSE()),"")</f>
        <v/>
      </c>
      <c r="H6" s="24"/>
      <c r="I6" s="24"/>
      <c r="J6" s="24"/>
    </row>
    <row r="7" customFormat="false" ht="23.85" hidden="false" customHeight="false" outlineLevel="0" collapsed="false">
      <c r="A7" s="4" t="s">
        <v>172</v>
      </c>
      <c r="B7" s="17"/>
      <c r="C7" s="17"/>
      <c r="D7" s="17"/>
      <c r="E7" s="4" t="str">
        <f aca="false">IFERROR(VLOOKUP(D7,'1. Country Master List'!C:B,2,FALSE()),"")</f>
        <v/>
      </c>
      <c r="F7" s="4" t="str">
        <f aca="false">IFERROR(VLOOKUP(D7,'1. Country Master List'!$C$4:$D$53,2,FALSE()),"")</f>
        <v/>
      </c>
      <c r="G7" s="4" t="str">
        <f aca="false">IFERROR(VLOOKUP(D7,'1. Country Master List'!$C$4:$E$53,3,FALSE()),"")</f>
        <v/>
      </c>
      <c r="H7" s="17"/>
      <c r="I7" s="17"/>
      <c r="J7" s="17"/>
    </row>
    <row r="8" customFormat="false" ht="23.85" hidden="false" customHeight="false" outlineLevel="0" collapsed="false">
      <c r="A8" s="7" t="s">
        <v>173</v>
      </c>
      <c r="B8" s="24"/>
      <c r="C8" s="24"/>
      <c r="D8" s="24"/>
      <c r="E8" s="7" t="str">
        <f aca="false">IFERROR(VLOOKUP(D8,'1. Country Master List'!C:B,2,FALSE()),"")</f>
        <v/>
      </c>
      <c r="F8" s="7" t="str">
        <f aca="false">IFERROR(VLOOKUP(D8,'1. Country Master List'!$C$4:$D$53,2,FALSE()),"")</f>
        <v/>
      </c>
      <c r="G8" s="7" t="str">
        <f aca="false">IFERROR(VLOOKUP(D8,'1. Country Master List'!$C$4:$E$53,3,FALSE()),"")</f>
        <v/>
      </c>
      <c r="H8" s="24"/>
      <c r="I8" s="24"/>
      <c r="J8" s="24"/>
    </row>
    <row r="9" customFormat="false" ht="23.85" hidden="false" customHeight="false" outlineLevel="0" collapsed="false">
      <c r="A9" s="4" t="s">
        <v>174</v>
      </c>
      <c r="B9" s="17"/>
      <c r="C9" s="17"/>
      <c r="D9" s="17"/>
      <c r="E9" s="4" t="str">
        <f aca="false">IFERROR(VLOOKUP(D9,'1. Country Master List'!C:B,2,FALSE()),"")</f>
        <v/>
      </c>
      <c r="F9" s="4" t="str">
        <f aca="false">IFERROR(VLOOKUP(D9,'1. Country Master List'!$C$4:$D$53,2,FALSE()),"")</f>
        <v/>
      </c>
      <c r="G9" s="4" t="str">
        <f aca="false">IFERROR(VLOOKUP(D9,'1. Country Master List'!$C$4:$E$53,3,FALSE()),"")</f>
        <v/>
      </c>
      <c r="H9" s="17"/>
      <c r="I9" s="17"/>
      <c r="J9" s="17"/>
    </row>
    <row r="10" customFormat="false" ht="23.85" hidden="false" customHeight="false" outlineLevel="0" collapsed="false">
      <c r="A10" s="7" t="s">
        <v>175</v>
      </c>
      <c r="B10" s="24"/>
      <c r="C10" s="24"/>
      <c r="D10" s="24"/>
      <c r="E10" s="7" t="str">
        <f aca="false">IFERROR(VLOOKUP(D10,'1. Country Master List'!C:B,2,FALSE()),"")</f>
        <v/>
      </c>
      <c r="F10" s="7" t="str">
        <f aca="false">IFERROR(VLOOKUP(D10,'1. Country Master List'!$C$4:$D$53,2,FALSE()),"")</f>
        <v/>
      </c>
      <c r="G10" s="7" t="str">
        <f aca="false">IFERROR(VLOOKUP(D10,'1. Country Master List'!$C$4:$E$53,3,FALSE()),"")</f>
        <v/>
      </c>
      <c r="H10" s="24"/>
      <c r="I10" s="24"/>
      <c r="J10" s="24"/>
    </row>
    <row r="11" customFormat="false" ht="23.85" hidden="false" customHeight="false" outlineLevel="0" collapsed="false">
      <c r="A11" s="4" t="s">
        <v>176</v>
      </c>
      <c r="B11" s="17"/>
      <c r="C11" s="17"/>
      <c r="D11" s="17"/>
      <c r="E11" s="4" t="str">
        <f aca="false">IFERROR(VLOOKUP(D11,'1. Country Master List'!C:B,2,FALSE()),"")</f>
        <v/>
      </c>
      <c r="F11" s="4" t="str">
        <f aca="false">IFERROR(VLOOKUP(D11,'1. Country Master List'!$C$4:$D$53,2,FALSE()),"")</f>
        <v/>
      </c>
      <c r="G11" s="4" t="str">
        <f aca="false">IFERROR(VLOOKUP(D11,'1. Country Master List'!$C$4:$E$53,3,FALSE()),"")</f>
        <v/>
      </c>
      <c r="H11" s="17"/>
      <c r="I11" s="17"/>
      <c r="J11" s="17"/>
    </row>
    <row r="12" customFormat="false" ht="23.85" hidden="false" customHeight="false" outlineLevel="0" collapsed="false">
      <c r="A12" s="7" t="s">
        <v>177</v>
      </c>
      <c r="B12" s="24"/>
      <c r="C12" s="24"/>
      <c r="D12" s="24"/>
      <c r="E12" s="7" t="str">
        <f aca="false">IFERROR(VLOOKUP(D12,'1. Country Master List'!C:B,2,FALSE()),"")</f>
        <v/>
      </c>
      <c r="F12" s="7" t="str">
        <f aca="false">IFERROR(VLOOKUP(D12,'1. Country Master List'!$C$4:$D$53,2,FALSE()),"")</f>
        <v/>
      </c>
      <c r="G12" s="7" t="str">
        <f aca="false">IFERROR(VLOOKUP(D12,'1. Country Master List'!$C$4:$E$53,3,FALSE()),"")</f>
        <v/>
      </c>
      <c r="H12" s="24"/>
      <c r="I12" s="24"/>
      <c r="J12" s="24"/>
    </row>
    <row r="13" customFormat="false" ht="23.85" hidden="false" customHeight="false" outlineLevel="0" collapsed="false">
      <c r="A13" s="4" t="s">
        <v>178</v>
      </c>
      <c r="B13" s="17"/>
      <c r="C13" s="17"/>
      <c r="D13" s="17"/>
      <c r="E13" s="4" t="str">
        <f aca="false">IFERROR(VLOOKUP(D13,'1. Country Master List'!C:B,2,FALSE()),"")</f>
        <v/>
      </c>
      <c r="F13" s="4" t="str">
        <f aca="false">IFERROR(VLOOKUP(D13,'1. Country Master List'!$C$4:$D$53,2,FALSE()),"")</f>
        <v/>
      </c>
      <c r="G13" s="4" t="str">
        <f aca="false">IFERROR(VLOOKUP(D13,'1. Country Master List'!$C$4:$E$53,3,FALSE()),"")</f>
        <v/>
      </c>
      <c r="H13" s="17"/>
      <c r="I13" s="17"/>
      <c r="J13" s="17"/>
    </row>
    <row r="14" customFormat="false" ht="23.85" hidden="false" customHeight="false" outlineLevel="0" collapsed="false">
      <c r="A14" s="7" t="s">
        <v>179</v>
      </c>
      <c r="B14" s="24"/>
      <c r="C14" s="24"/>
      <c r="D14" s="24"/>
      <c r="E14" s="7" t="str">
        <f aca="false">IFERROR(VLOOKUP(D14,'1. Country Master List'!C:B,2,FALSE()),"")</f>
        <v/>
      </c>
      <c r="F14" s="7" t="str">
        <f aca="false">IFERROR(VLOOKUP(D14,'1. Country Master List'!$C$4:$D$53,2,FALSE()),"")</f>
        <v/>
      </c>
      <c r="G14" s="7" t="str">
        <f aca="false">IFERROR(VLOOKUP(D14,'1. Country Master List'!$C$4:$E$53,3,FALSE()),"")</f>
        <v/>
      </c>
      <c r="H14" s="24"/>
      <c r="I14" s="24"/>
      <c r="J14" s="24"/>
    </row>
    <row r="15" customFormat="false" ht="23.85" hidden="false" customHeight="false" outlineLevel="0" collapsed="false">
      <c r="A15" s="4" t="s">
        <v>180</v>
      </c>
      <c r="B15" s="17"/>
      <c r="C15" s="17"/>
      <c r="D15" s="17"/>
      <c r="E15" s="4" t="str">
        <f aca="false">IFERROR(VLOOKUP(D15,'1. Country Master List'!C:B,2,FALSE()),"")</f>
        <v/>
      </c>
      <c r="F15" s="4" t="str">
        <f aca="false">IFERROR(VLOOKUP(D15,'1. Country Master List'!$C$4:$D$53,2,FALSE()),"")</f>
        <v/>
      </c>
      <c r="G15" s="4" t="str">
        <f aca="false">IFERROR(VLOOKUP(D15,'1. Country Master List'!$C$4:$E$53,3,FALSE()),"")</f>
        <v/>
      </c>
      <c r="H15" s="17"/>
      <c r="I15" s="17"/>
      <c r="J15" s="17"/>
    </row>
    <row r="16" customFormat="false" ht="23.85" hidden="false" customHeight="false" outlineLevel="0" collapsed="false">
      <c r="A16" s="7" t="s">
        <v>181</v>
      </c>
      <c r="B16" s="24"/>
      <c r="C16" s="24"/>
      <c r="D16" s="24"/>
      <c r="E16" s="7" t="str">
        <f aca="false">IFERROR(VLOOKUP(D16,'1. Country Master List'!C:B,2,FALSE()),"")</f>
        <v/>
      </c>
      <c r="F16" s="7" t="str">
        <f aca="false">IFERROR(VLOOKUP(D16,'1. Country Master List'!$C$4:$D$53,2,FALSE()),"")</f>
        <v/>
      </c>
      <c r="G16" s="7" t="str">
        <f aca="false">IFERROR(VLOOKUP(D16,'1. Country Master List'!$C$4:$E$53,3,FALSE()),"")</f>
        <v/>
      </c>
      <c r="H16" s="24"/>
      <c r="I16" s="24"/>
      <c r="J16" s="24"/>
    </row>
    <row r="17" customFormat="false" ht="23.85" hidden="false" customHeight="false" outlineLevel="0" collapsed="false">
      <c r="A17" s="4" t="s">
        <v>182</v>
      </c>
      <c r="B17" s="17"/>
      <c r="C17" s="17"/>
      <c r="D17" s="17"/>
      <c r="E17" s="4" t="str">
        <f aca="false">IFERROR(VLOOKUP(D17,'1. Country Master List'!C:B,2,FALSE()),"")</f>
        <v/>
      </c>
      <c r="F17" s="4" t="str">
        <f aca="false">IFERROR(VLOOKUP(D17,'1. Country Master List'!$C$4:$D$53,2,FALSE()),"")</f>
        <v/>
      </c>
      <c r="G17" s="4" t="str">
        <f aca="false">IFERROR(VLOOKUP(D17,'1. Country Master List'!$C$4:$E$53,3,FALSE()),"")</f>
        <v/>
      </c>
      <c r="H17" s="17"/>
      <c r="I17" s="17"/>
      <c r="J17" s="17"/>
    </row>
    <row r="18" customFormat="false" ht="23.85" hidden="false" customHeight="false" outlineLevel="0" collapsed="false">
      <c r="A18" s="7" t="s">
        <v>183</v>
      </c>
      <c r="B18" s="24"/>
      <c r="C18" s="24"/>
      <c r="D18" s="24"/>
      <c r="E18" s="7" t="str">
        <f aca="false">IFERROR(VLOOKUP(D18,'1. Country Master List'!C:B,2,FALSE()),"")</f>
        <v/>
      </c>
      <c r="F18" s="7" t="str">
        <f aca="false">IFERROR(VLOOKUP(D18,'1. Country Master List'!$C$4:$D$53,2,FALSE()),"")</f>
        <v/>
      </c>
      <c r="G18" s="7" t="str">
        <f aca="false">IFERROR(VLOOKUP(D18,'1. Country Master List'!$C$4:$E$53,3,FALSE()),"")</f>
        <v/>
      </c>
      <c r="H18" s="24"/>
      <c r="I18" s="24"/>
      <c r="J18" s="24"/>
    </row>
    <row r="19" customFormat="false" ht="23.85" hidden="false" customHeight="false" outlineLevel="0" collapsed="false">
      <c r="A19" s="4" t="s">
        <v>184</v>
      </c>
      <c r="B19" s="17"/>
      <c r="C19" s="17"/>
      <c r="D19" s="17"/>
      <c r="E19" s="4" t="str">
        <f aca="false">IFERROR(VLOOKUP(D19,'1. Country Master List'!C:B,2,FALSE()),"")</f>
        <v/>
      </c>
      <c r="F19" s="4" t="str">
        <f aca="false">IFERROR(VLOOKUP(D19,'1. Country Master List'!$C$4:$D$53,2,FALSE()),"")</f>
        <v/>
      </c>
      <c r="G19" s="4" t="str">
        <f aca="false">IFERROR(VLOOKUP(D19,'1. Country Master List'!$C$4:$E$53,3,FALSE()),"")</f>
        <v/>
      </c>
      <c r="H19" s="17"/>
      <c r="I19" s="17"/>
      <c r="J19" s="17"/>
    </row>
    <row r="20" customFormat="false" ht="23.85" hidden="false" customHeight="false" outlineLevel="0" collapsed="false">
      <c r="A20" s="7" t="s">
        <v>185</v>
      </c>
      <c r="B20" s="24"/>
      <c r="C20" s="24"/>
      <c r="D20" s="24"/>
      <c r="E20" s="7" t="str">
        <f aca="false">IFERROR(VLOOKUP(D20,'1. Country Master List'!C:B,2,FALSE()),"")</f>
        <v/>
      </c>
      <c r="F20" s="7" t="str">
        <f aca="false">IFERROR(VLOOKUP(D20,'1. Country Master List'!$C$4:$D$53,2,FALSE()),"")</f>
        <v/>
      </c>
      <c r="G20" s="7" t="str">
        <f aca="false">IFERROR(VLOOKUP(D20,'1. Country Master List'!$C$4:$E$53,3,FALSE()),"")</f>
        <v/>
      </c>
      <c r="H20" s="24"/>
      <c r="I20" s="24"/>
      <c r="J20" s="24"/>
    </row>
    <row r="21" customFormat="false" ht="23.85" hidden="false" customHeight="false" outlineLevel="0" collapsed="false">
      <c r="A21" s="4" t="s">
        <v>186</v>
      </c>
      <c r="B21" s="17"/>
      <c r="C21" s="17"/>
      <c r="D21" s="17"/>
      <c r="E21" s="4" t="str">
        <f aca="false">IFERROR(VLOOKUP(D21,'1. Country Master List'!C:B,2,FALSE()),"")</f>
        <v/>
      </c>
      <c r="F21" s="4" t="str">
        <f aca="false">IFERROR(VLOOKUP(D21,'1. Country Master List'!$C$4:$D$53,2,FALSE()),"")</f>
        <v/>
      </c>
      <c r="G21" s="4" t="str">
        <f aca="false">IFERROR(VLOOKUP(D21,'1. Country Master List'!$C$4:$E$53,3,FALSE()),"")</f>
        <v/>
      </c>
      <c r="H21" s="17"/>
      <c r="I21" s="17"/>
      <c r="J21" s="17"/>
    </row>
    <row r="22" customFormat="false" ht="23.85" hidden="false" customHeight="false" outlineLevel="0" collapsed="false">
      <c r="A22" s="7" t="s">
        <v>187</v>
      </c>
      <c r="B22" s="24"/>
      <c r="C22" s="24"/>
      <c r="D22" s="24"/>
      <c r="E22" s="7" t="str">
        <f aca="false">IFERROR(VLOOKUP(D22,'1. Country Master List'!C:B,2,FALSE()),"")</f>
        <v/>
      </c>
      <c r="F22" s="7" t="str">
        <f aca="false">IFERROR(VLOOKUP(D22,'1. Country Master List'!$C$4:$D$53,2,FALSE()),"")</f>
        <v/>
      </c>
      <c r="G22" s="7" t="str">
        <f aca="false">IFERROR(VLOOKUP(D22,'1. Country Master List'!$C$4:$E$53,3,FALSE()),"")</f>
        <v/>
      </c>
      <c r="H22" s="24"/>
      <c r="I22" s="24"/>
      <c r="J22" s="24"/>
    </row>
    <row r="23" customFormat="false" ht="23.85" hidden="false" customHeight="false" outlineLevel="0" collapsed="false">
      <c r="A23" s="4" t="s">
        <v>188</v>
      </c>
      <c r="B23" s="17"/>
      <c r="C23" s="17"/>
      <c r="D23" s="17"/>
      <c r="E23" s="4" t="str">
        <f aca="false">IFERROR(VLOOKUP(D23,'1. Country Master List'!C:B,2,FALSE()),"")</f>
        <v/>
      </c>
      <c r="F23" s="4" t="str">
        <f aca="false">IFERROR(VLOOKUP(D23,'1. Country Master List'!$C$4:$D$53,2,FALSE()),"")</f>
        <v/>
      </c>
      <c r="G23" s="4" t="str">
        <f aca="false">IFERROR(VLOOKUP(D23,'1. Country Master List'!$C$4:$E$53,3,FALSE()),"")</f>
        <v/>
      </c>
      <c r="H23" s="17"/>
      <c r="I23" s="17"/>
      <c r="J23" s="17"/>
    </row>
    <row r="24" customFormat="false" ht="23.85" hidden="false" customHeight="false" outlineLevel="0" collapsed="false">
      <c r="A24" s="7" t="s">
        <v>189</v>
      </c>
      <c r="B24" s="24"/>
      <c r="C24" s="24"/>
      <c r="D24" s="24"/>
      <c r="E24" s="7" t="str">
        <f aca="false">IFERROR(VLOOKUP(D24,'1. Country Master List'!C:B,2,FALSE()),"")</f>
        <v/>
      </c>
      <c r="F24" s="7" t="str">
        <f aca="false">IFERROR(VLOOKUP(D24,'1. Country Master List'!$C$4:$D$53,2,FALSE()),"")</f>
        <v/>
      </c>
      <c r="G24" s="7" t="str">
        <f aca="false">IFERROR(VLOOKUP(D24,'1. Country Master List'!$C$4:$E$53,3,FALSE()),"")</f>
        <v/>
      </c>
      <c r="H24" s="24"/>
      <c r="I24" s="24"/>
      <c r="J24" s="24"/>
    </row>
    <row r="25" customFormat="false" ht="23.85" hidden="false" customHeight="false" outlineLevel="0" collapsed="false">
      <c r="A25" s="4" t="s">
        <v>190</v>
      </c>
      <c r="B25" s="17"/>
      <c r="C25" s="17"/>
      <c r="D25" s="17"/>
      <c r="E25" s="4" t="str">
        <f aca="false">IFERROR(VLOOKUP(D25,'1. Country Master List'!C:B,2,FALSE()),"")</f>
        <v/>
      </c>
      <c r="F25" s="4" t="str">
        <f aca="false">IFERROR(VLOOKUP(D25,'1. Country Master List'!$C$4:$D$53,2,FALSE()),"")</f>
        <v/>
      </c>
      <c r="G25" s="4" t="str">
        <f aca="false">IFERROR(VLOOKUP(D25,'1. Country Master List'!$C$4:$E$53,3,FALSE()),"")</f>
        <v/>
      </c>
      <c r="H25" s="17"/>
      <c r="I25" s="17"/>
      <c r="J25" s="17"/>
    </row>
    <row r="26" customFormat="false" ht="23.85" hidden="false" customHeight="false" outlineLevel="0" collapsed="false">
      <c r="A26" s="7" t="s">
        <v>191</v>
      </c>
      <c r="B26" s="24"/>
      <c r="C26" s="24"/>
      <c r="D26" s="24"/>
      <c r="E26" s="7" t="str">
        <f aca="false">IFERROR(VLOOKUP(D26,'1. Country Master List'!C:B,2,FALSE()),"")</f>
        <v/>
      </c>
      <c r="F26" s="7" t="str">
        <f aca="false">IFERROR(VLOOKUP(D26,'1. Country Master List'!$C$4:$D$53,2,FALSE()),"")</f>
        <v/>
      </c>
      <c r="G26" s="7" t="str">
        <f aca="false">IFERROR(VLOOKUP(D26,'1. Country Master List'!$C$4:$E$53,3,FALSE()),"")</f>
        <v/>
      </c>
      <c r="H26" s="24"/>
      <c r="I26" s="24"/>
      <c r="J26" s="24"/>
    </row>
    <row r="27" customFormat="false" ht="23.85" hidden="false" customHeight="false" outlineLevel="0" collapsed="false">
      <c r="A27" s="4" t="s">
        <v>192</v>
      </c>
      <c r="B27" s="17"/>
      <c r="C27" s="17"/>
      <c r="D27" s="17"/>
      <c r="E27" s="4" t="str">
        <f aca="false">IFERROR(VLOOKUP(D27,'1. Country Master List'!C:B,2,FALSE()),"")</f>
        <v/>
      </c>
      <c r="F27" s="4" t="str">
        <f aca="false">IFERROR(VLOOKUP(D27,'1. Country Master List'!$C$4:$D$53,2,FALSE()),"")</f>
        <v/>
      </c>
      <c r="G27" s="4" t="str">
        <f aca="false">IFERROR(VLOOKUP(D27,'1. Country Master List'!$C$4:$E$53,3,FALSE()),"")</f>
        <v/>
      </c>
      <c r="H27" s="17"/>
      <c r="I27" s="17"/>
      <c r="J27" s="17"/>
    </row>
    <row r="28" customFormat="false" ht="23.85" hidden="false" customHeight="false" outlineLevel="0" collapsed="false">
      <c r="A28" s="7" t="s">
        <v>193</v>
      </c>
      <c r="B28" s="24"/>
      <c r="C28" s="24"/>
      <c r="D28" s="24"/>
      <c r="E28" s="7" t="str">
        <f aca="false">IFERROR(VLOOKUP(D28,'1. Country Master List'!C:B,2,FALSE()),"")</f>
        <v/>
      </c>
      <c r="F28" s="7" t="str">
        <f aca="false">IFERROR(VLOOKUP(D28,'1. Country Master List'!$C$4:$D$53,2,FALSE()),"")</f>
        <v/>
      </c>
      <c r="G28" s="7" t="str">
        <f aca="false">IFERROR(VLOOKUP(D28,'1. Country Master List'!$C$4:$E$53,3,FALSE()),"")</f>
        <v/>
      </c>
      <c r="H28" s="24"/>
      <c r="I28" s="24"/>
      <c r="J28" s="24"/>
    </row>
    <row r="29" customFormat="false" ht="23.85" hidden="false" customHeight="false" outlineLevel="0" collapsed="false">
      <c r="A29" s="4" t="s">
        <v>194</v>
      </c>
      <c r="B29" s="17"/>
      <c r="C29" s="17"/>
      <c r="D29" s="17"/>
      <c r="E29" s="4" t="str">
        <f aca="false">IFERROR(VLOOKUP(D29,'1. Country Master List'!C:B,2,FALSE()),"")</f>
        <v/>
      </c>
      <c r="F29" s="4" t="str">
        <f aca="false">IFERROR(VLOOKUP(D29,'1. Country Master List'!$C$4:$D$53,2,FALSE()),"")</f>
        <v/>
      </c>
      <c r="G29" s="4" t="str">
        <f aca="false">IFERROR(VLOOKUP(D29,'1. Country Master List'!$C$4:$E$53,3,FALSE()),"")</f>
        <v/>
      </c>
      <c r="H29" s="17"/>
      <c r="I29" s="17"/>
      <c r="J29" s="17"/>
    </row>
    <row r="30" customFormat="false" ht="23.85" hidden="false" customHeight="false" outlineLevel="0" collapsed="false">
      <c r="A30" s="7" t="s">
        <v>195</v>
      </c>
      <c r="B30" s="24"/>
      <c r="C30" s="24"/>
      <c r="D30" s="24"/>
      <c r="E30" s="7" t="str">
        <f aca="false">IFERROR(VLOOKUP(D30,'1. Country Master List'!C:B,2,FALSE()),"")</f>
        <v/>
      </c>
      <c r="F30" s="7" t="str">
        <f aca="false">IFERROR(VLOOKUP(D30,'1. Country Master List'!$C$4:$D$53,2,FALSE()),"")</f>
        <v/>
      </c>
      <c r="G30" s="7" t="str">
        <f aca="false">IFERROR(VLOOKUP(D30,'1. Country Master List'!$C$4:$E$53,3,FALSE()),"")</f>
        <v/>
      </c>
      <c r="H30" s="24"/>
      <c r="I30" s="24"/>
      <c r="J30" s="24"/>
    </row>
    <row r="31" customFormat="false" ht="23.85" hidden="false" customHeight="false" outlineLevel="0" collapsed="false">
      <c r="A31" s="4" t="s">
        <v>196</v>
      </c>
      <c r="B31" s="17"/>
      <c r="C31" s="17"/>
      <c r="D31" s="17"/>
      <c r="E31" s="4" t="str">
        <f aca="false">IFERROR(VLOOKUP(D31,'1. Country Master List'!C:B,2,FALSE()),"")</f>
        <v/>
      </c>
      <c r="F31" s="4" t="str">
        <f aca="false">IFERROR(VLOOKUP(D31,'1. Country Master List'!$C$4:$D$53,2,FALSE()),"")</f>
        <v/>
      </c>
      <c r="G31" s="4" t="str">
        <f aca="false">IFERROR(VLOOKUP(D31,'1. Country Master List'!$C$4:$E$53,3,FALSE()),"")</f>
        <v/>
      </c>
      <c r="H31" s="17"/>
      <c r="I31" s="17"/>
      <c r="J31" s="17"/>
    </row>
    <row r="32" customFormat="false" ht="23.85" hidden="false" customHeight="false" outlineLevel="0" collapsed="false">
      <c r="A32" s="7" t="s">
        <v>197</v>
      </c>
      <c r="B32" s="24"/>
      <c r="C32" s="24"/>
      <c r="D32" s="24"/>
      <c r="E32" s="7" t="str">
        <f aca="false">IFERROR(VLOOKUP(D32,'1. Country Master List'!C:B,2,FALSE()),"")</f>
        <v/>
      </c>
      <c r="F32" s="7" t="str">
        <f aca="false">IFERROR(VLOOKUP(D32,'1. Country Master List'!$C$4:$D$53,2,FALSE()),"")</f>
        <v/>
      </c>
      <c r="G32" s="7" t="str">
        <f aca="false">IFERROR(VLOOKUP(D32,'1. Country Master List'!$C$4:$E$53,3,FALSE()),"")</f>
        <v/>
      </c>
      <c r="H32" s="24"/>
      <c r="I32" s="24"/>
      <c r="J32" s="24"/>
    </row>
    <row r="33" customFormat="false" ht="23.85" hidden="false" customHeight="false" outlineLevel="0" collapsed="false">
      <c r="A33" s="4" t="s">
        <v>198</v>
      </c>
      <c r="B33" s="17"/>
      <c r="C33" s="17"/>
      <c r="D33" s="17"/>
      <c r="E33" s="4" t="str">
        <f aca="false">IFERROR(VLOOKUP(D33,'1. Country Master List'!C:B,2,FALSE()),"")</f>
        <v/>
      </c>
      <c r="F33" s="4" t="str">
        <f aca="false">IFERROR(VLOOKUP(D33,'1. Country Master List'!$C$4:$D$53,2,FALSE()),"")</f>
        <v/>
      </c>
      <c r="G33" s="4" t="str">
        <f aca="false">IFERROR(VLOOKUP(D33,'1. Country Master List'!$C$4:$E$53,3,FALSE()),"")</f>
        <v/>
      </c>
      <c r="H33" s="17"/>
      <c r="I33" s="17"/>
      <c r="J33" s="17"/>
    </row>
    <row r="34" customFormat="false" ht="23.85" hidden="false" customHeight="false" outlineLevel="0" collapsed="false">
      <c r="A34" s="7" t="s">
        <v>199</v>
      </c>
      <c r="B34" s="24"/>
      <c r="C34" s="24"/>
      <c r="D34" s="24"/>
      <c r="E34" s="7" t="str">
        <f aca="false">IFERROR(VLOOKUP(D34,'1. Country Master List'!C:B,2,FALSE()),"")</f>
        <v/>
      </c>
      <c r="F34" s="7" t="str">
        <f aca="false">IFERROR(VLOOKUP(D34,'1. Country Master List'!$C$4:$D$53,2,FALSE()),"")</f>
        <v/>
      </c>
      <c r="G34" s="7" t="str">
        <f aca="false">IFERROR(VLOOKUP(D34,'1. Country Master List'!$C$4:$E$53,3,FALSE()),"")</f>
        <v/>
      </c>
      <c r="H34" s="24"/>
      <c r="I34" s="24"/>
      <c r="J34" s="24"/>
    </row>
    <row r="35" customFormat="false" ht="23.85" hidden="false" customHeight="false" outlineLevel="0" collapsed="false">
      <c r="A35" s="4" t="s">
        <v>200</v>
      </c>
      <c r="B35" s="17"/>
      <c r="C35" s="17"/>
      <c r="D35" s="17"/>
      <c r="E35" s="4" t="str">
        <f aca="false">IFERROR(VLOOKUP(D35,'1. Country Master List'!C:B,2,FALSE()),"")</f>
        <v/>
      </c>
      <c r="F35" s="4" t="str">
        <f aca="false">IFERROR(VLOOKUP(D35,'1. Country Master List'!$C$4:$D$53,2,FALSE()),"")</f>
        <v/>
      </c>
      <c r="G35" s="4" t="str">
        <f aca="false">IFERROR(VLOOKUP(D35,'1. Country Master List'!$C$4:$E$53,3,FALSE()),"")</f>
        <v/>
      </c>
      <c r="H35" s="17"/>
      <c r="I35" s="17"/>
      <c r="J35" s="17"/>
    </row>
    <row r="36" customFormat="false" ht="23.85" hidden="false" customHeight="false" outlineLevel="0" collapsed="false">
      <c r="A36" s="7" t="s">
        <v>201</v>
      </c>
      <c r="B36" s="24"/>
      <c r="C36" s="24"/>
      <c r="D36" s="24"/>
      <c r="E36" s="7" t="str">
        <f aca="false">IFERROR(VLOOKUP(D36,'1. Country Master List'!C:B,2,FALSE()),"")</f>
        <v/>
      </c>
      <c r="F36" s="7" t="str">
        <f aca="false">IFERROR(VLOOKUP(D36,'1. Country Master List'!$C$4:$D$53,2,FALSE()),"")</f>
        <v/>
      </c>
      <c r="G36" s="7" t="str">
        <f aca="false">IFERROR(VLOOKUP(D36,'1. Country Master List'!$C$4:$E$53,3,FALSE()),"")</f>
        <v/>
      </c>
      <c r="H36" s="24"/>
      <c r="I36" s="24"/>
      <c r="J36" s="24"/>
    </row>
    <row r="37" customFormat="false" ht="23.85" hidden="false" customHeight="false" outlineLevel="0" collapsed="false">
      <c r="A37" s="4" t="s">
        <v>202</v>
      </c>
      <c r="B37" s="17"/>
      <c r="C37" s="17"/>
      <c r="D37" s="17"/>
      <c r="E37" s="4" t="str">
        <f aca="false">IFERROR(VLOOKUP(D37,'1. Country Master List'!C:B,2,FALSE()),"")</f>
        <v/>
      </c>
      <c r="F37" s="4" t="str">
        <f aca="false">IFERROR(VLOOKUP(D37,'1. Country Master List'!$C$4:$D$53,2,FALSE()),"")</f>
        <v/>
      </c>
      <c r="G37" s="4" t="str">
        <f aca="false">IFERROR(VLOOKUP(D37,'1. Country Master List'!$C$4:$E$53,3,FALSE()),"")</f>
        <v/>
      </c>
      <c r="H37" s="17"/>
      <c r="I37" s="17"/>
      <c r="J37" s="17"/>
    </row>
    <row r="38" customFormat="false" ht="23.85" hidden="false" customHeight="false" outlineLevel="0" collapsed="false">
      <c r="A38" s="7" t="s">
        <v>203</v>
      </c>
      <c r="B38" s="24"/>
      <c r="C38" s="24"/>
      <c r="D38" s="24"/>
      <c r="E38" s="7" t="str">
        <f aca="false">IFERROR(VLOOKUP(D38,'1. Country Master List'!C:B,2,FALSE()),"")</f>
        <v/>
      </c>
      <c r="F38" s="7" t="str">
        <f aca="false">IFERROR(VLOOKUP(D38,'1. Country Master List'!$C$4:$D$53,2,FALSE()),"")</f>
        <v/>
      </c>
      <c r="G38" s="7" t="str">
        <f aca="false">IFERROR(VLOOKUP(D38,'1. Country Master List'!$C$4:$E$53,3,FALSE()),"")</f>
        <v/>
      </c>
      <c r="H38" s="24"/>
      <c r="I38" s="24"/>
      <c r="J38" s="24"/>
    </row>
    <row r="39" customFormat="false" ht="23.85" hidden="false" customHeight="false" outlineLevel="0" collapsed="false">
      <c r="A39" s="4" t="s">
        <v>204</v>
      </c>
      <c r="B39" s="17"/>
      <c r="C39" s="17"/>
      <c r="D39" s="17"/>
      <c r="E39" s="4" t="str">
        <f aca="false">IFERROR(VLOOKUP(D39,'1. Country Master List'!C:B,2,FALSE()),"")</f>
        <v/>
      </c>
      <c r="F39" s="4" t="str">
        <f aca="false">IFERROR(VLOOKUP(D39,'1. Country Master List'!$C$4:$D$53,2,FALSE()),"")</f>
        <v/>
      </c>
      <c r="G39" s="4" t="str">
        <f aca="false">IFERROR(VLOOKUP(D39,'1. Country Master List'!$C$4:$E$53,3,FALSE()),"")</f>
        <v/>
      </c>
      <c r="H39" s="17"/>
      <c r="I39" s="17"/>
      <c r="J39" s="17"/>
    </row>
    <row r="40" customFormat="false" ht="23.85" hidden="false" customHeight="false" outlineLevel="0" collapsed="false">
      <c r="A40" s="7" t="s">
        <v>205</v>
      </c>
      <c r="B40" s="24"/>
      <c r="C40" s="24"/>
      <c r="D40" s="24"/>
      <c r="E40" s="7" t="str">
        <f aca="false">IFERROR(VLOOKUP(D40,'1. Country Master List'!C:B,2,FALSE()),"")</f>
        <v/>
      </c>
      <c r="F40" s="7" t="str">
        <f aca="false">IFERROR(VLOOKUP(D40,'1. Country Master List'!$C$4:$D$53,2,FALSE()),"")</f>
        <v/>
      </c>
      <c r="G40" s="7" t="str">
        <f aca="false">IFERROR(VLOOKUP(D40,'1. Country Master List'!$C$4:$E$53,3,FALSE()),"")</f>
        <v/>
      </c>
      <c r="H40" s="24"/>
      <c r="I40" s="24"/>
      <c r="J40" s="24"/>
    </row>
    <row r="41" customFormat="false" ht="23.85" hidden="false" customHeight="false" outlineLevel="0" collapsed="false">
      <c r="A41" s="4" t="s">
        <v>206</v>
      </c>
      <c r="B41" s="17"/>
      <c r="C41" s="17"/>
      <c r="D41" s="17"/>
      <c r="E41" s="4" t="str">
        <f aca="false">IFERROR(VLOOKUP(D41,'1. Country Master List'!C:B,2,FALSE()),"")</f>
        <v/>
      </c>
      <c r="F41" s="4" t="str">
        <f aca="false">IFERROR(VLOOKUP(D41,'1. Country Master List'!$C$4:$D$53,2,FALSE()),"")</f>
        <v/>
      </c>
      <c r="G41" s="4" t="str">
        <f aca="false">IFERROR(VLOOKUP(D41,'1. Country Master List'!$C$4:$E$53,3,FALSE()),"")</f>
        <v/>
      </c>
      <c r="H41" s="17"/>
      <c r="I41" s="17"/>
      <c r="J41" s="17"/>
    </row>
    <row r="42" customFormat="false" ht="23.85" hidden="false" customHeight="false" outlineLevel="0" collapsed="false">
      <c r="A42" s="7" t="s">
        <v>207</v>
      </c>
      <c r="B42" s="24"/>
      <c r="C42" s="24"/>
      <c r="D42" s="24"/>
      <c r="E42" s="7" t="str">
        <f aca="false">IFERROR(VLOOKUP(D42,'1. Country Master List'!C:B,2,FALSE()),"")</f>
        <v/>
      </c>
      <c r="F42" s="7" t="str">
        <f aca="false">IFERROR(VLOOKUP(D42,'1. Country Master List'!$C$4:$D$53,2,FALSE()),"")</f>
        <v/>
      </c>
      <c r="G42" s="7" t="str">
        <f aca="false">IFERROR(VLOOKUP(D42,'1. Country Master List'!$C$4:$E$53,3,FALSE()),"")</f>
        <v/>
      </c>
      <c r="H42" s="24"/>
      <c r="I42" s="24"/>
      <c r="J42" s="24"/>
    </row>
    <row r="43" customFormat="false" ht="23.85" hidden="false" customHeight="false" outlineLevel="0" collapsed="false">
      <c r="A43" s="4" t="s">
        <v>208</v>
      </c>
      <c r="B43" s="17"/>
      <c r="C43" s="17"/>
      <c r="D43" s="17"/>
      <c r="E43" s="4" t="str">
        <f aca="false">IFERROR(VLOOKUP(D43,'1. Country Master List'!C:B,2,FALSE()),"")</f>
        <v/>
      </c>
      <c r="F43" s="4" t="str">
        <f aca="false">IFERROR(VLOOKUP(D43,'1. Country Master List'!$C$4:$D$53,2,FALSE()),"")</f>
        <v/>
      </c>
      <c r="G43" s="4" t="str">
        <f aca="false">IFERROR(VLOOKUP(D43,'1. Country Master List'!$C$4:$E$53,3,FALSE()),"")</f>
        <v/>
      </c>
      <c r="H43" s="17"/>
      <c r="I43" s="17"/>
      <c r="J43" s="17"/>
    </row>
    <row r="44" customFormat="false" ht="23.85" hidden="false" customHeight="false" outlineLevel="0" collapsed="false">
      <c r="A44" s="7" t="s">
        <v>209</v>
      </c>
      <c r="B44" s="24"/>
      <c r="C44" s="24"/>
      <c r="D44" s="24"/>
      <c r="E44" s="7" t="str">
        <f aca="false">IFERROR(VLOOKUP(D44,'1. Country Master List'!C:B,2,FALSE()),"")</f>
        <v/>
      </c>
      <c r="F44" s="7" t="str">
        <f aca="false">IFERROR(VLOOKUP(D44,'1. Country Master List'!$C$4:$D$53,2,FALSE()),"")</f>
        <v/>
      </c>
      <c r="G44" s="7" t="str">
        <f aca="false">IFERROR(VLOOKUP(D44,'1. Country Master List'!$C$4:$E$53,3,FALSE()),"")</f>
        <v/>
      </c>
      <c r="H44" s="24"/>
      <c r="I44" s="24"/>
      <c r="J44" s="24"/>
    </row>
    <row r="45" customFormat="false" ht="23.85" hidden="false" customHeight="false" outlineLevel="0" collapsed="false">
      <c r="A45" s="4" t="s">
        <v>210</v>
      </c>
      <c r="B45" s="17"/>
      <c r="C45" s="17"/>
      <c r="D45" s="17"/>
      <c r="E45" s="4" t="str">
        <f aca="false">IFERROR(VLOOKUP(D45,'1. Country Master List'!C:B,2,FALSE()),"")</f>
        <v/>
      </c>
      <c r="F45" s="4" t="str">
        <f aca="false">IFERROR(VLOOKUP(D45,'1. Country Master List'!$C$4:$D$53,2,FALSE()),"")</f>
        <v/>
      </c>
      <c r="G45" s="4" t="str">
        <f aca="false">IFERROR(VLOOKUP(D45,'1. Country Master List'!$C$4:$E$53,3,FALSE()),"")</f>
        <v/>
      </c>
      <c r="H45" s="17"/>
      <c r="I45" s="17"/>
      <c r="J45" s="17"/>
    </row>
    <row r="46" customFormat="false" ht="23.85" hidden="false" customHeight="false" outlineLevel="0" collapsed="false">
      <c r="A46" s="7" t="s">
        <v>211</v>
      </c>
      <c r="B46" s="24"/>
      <c r="C46" s="24"/>
      <c r="D46" s="24"/>
      <c r="E46" s="7" t="str">
        <f aca="false">IFERROR(VLOOKUP(D46,'1. Country Master List'!C:B,2,FALSE()),"")</f>
        <v/>
      </c>
      <c r="F46" s="7" t="str">
        <f aca="false">IFERROR(VLOOKUP(D46,'1. Country Master List'!$C$4:$D$53,2,FALSE()),"")</f>
        <v/>
      </c>
      <c r="G46" s="7" t="str">
        <f aca="false">IFERROR(VLOOKUP(D46,'1. Country Master List'!$C$4:$E$53,3,FALSE()),"")</f>
        <v/>
      </c>
      <c r="H46" s="24"/>
      <c r="I46" s="24"/>
      <c r="J46" s="24"/>
    </row>
    <row r="47" customFormat="false" ht="23.85" hidden="false" customHeight="false" outlineLevel="0" collapsed="false">
      <c r="A47" s="4" t="s">
        <v>212</v>
      </c>
      <c r="B47" s="17"/>
      <c r="C47" s="17"/>
      <c r="D47" s="17"/>
      <c r="E47" s="4" t="str">
        <f aca="false">IFERROR(VLOOKUP(D47,'1. Country Master List'!C:B,2,FALSE()),"")</f>
        <v/>
      </c>
      <c r="F47" s="4" t="str">
        <f aca="false">IFERROR(VLOOKUP(D47,'1. Country Master List'!$C$4:$D$53,2,FALSE()),"")</f>
        <v/>
      </c>
      <c r="G47" s="4" t="str">
        <f aca="false">IFERROR(VLOOKUP(D47,'1. Country Master List'!$C$4:$E$53,3,FALSE()),"")</f>
        <v/>
      </c>
      <c r="H47" s="17"/>
      <c r="I47" s="17"/>
      <c r="J47" s="17"/>
    </row>
    <row r="48" customFormat="false" ht="23.85" hidden="false" customHeight="false" outlineLevel="0" collapsed="false">
      <c r="A48" s="7" t="s">
        <v>213</v>
      </c>
      <c r="B48" s="24"/>
      <c r="C48" s="24"/>
      <c r="D48" s="24"/>
      <c r="E48" s="7" t="str">
        <f aca="false">IFERROR(VLOOKUP(D48,'1. Country Master List'!C:B,2,FALSE()),"")</f>
        <v/>
      </c>
      <c r="F48" s="7" t="str">
        <f aca="false">IFERROR(VLOOKUP(D48,'1. Country Master List'!$C$4:$D$53,2,FALSE()),"")</f>
        <v/>
      </c>
      <c r="G48" s="7" t="str">
        <f aca="false">IFERROR(VLOOKUP(D48,'1. Country Master List'!$C$4:$E$53,3,FALSE()),"")</f>
        <v/>
      </c>
      <c r="H48" s="24"/>
      <c r="I48" s="24"/>
      <c r="J48" s="24"/>
    </row>
    <row r="49" customFormat="false" ht="23.85" hidden="false" customHeight="false" outlineLevel="0" collapsed="false">
      <c r="A49" s="4" t="s">
        <v>214</v>
      </c>
      <c r="B49" s="17"/>
      <c r="C49" s="17"/>
      <c r="D49" s="17"/>
      <c r="E49" s="4" t="str">
        <f aca="false">IFERROR(VLOOKUP(D49,'1. Country Master List'!C:B,2,FALSE()),"")</f>
        <v/>
      </c>
      <c r="F49" s="4" t="str">
        <f aca="false">IFERROR(VLOOKUP(D49,'1. Country Master List'!$C$4:$D$53,2,FALSE()),"")</f>
        <v/>
      </c>
      <c r="G49" s="4" t="str">
        <f aca="false">IFERROR(VLOOKUP(D49,'1. Country Master List'!$C$4:$E$53,3,FALSE()),"")</f>
        <v/>
      </c>
      <c r="H49" s="17"/>
      <c r="I49" s="17"/>
      <c r="J49" s="17"/>
    </row>
    <row r="50" customFormat="false" ht="23.85" hidden="false" customHeight="false" outlineLevel="0" collapsed="false">
      <c r="A50" s="7" t="s">
        <v>215</v>
      </c>
      <c r="B50" s="24"/>
      <c r="C50" s="24"/>
      <c r="D50" s="24"/>
      <c r="E50" s="7" t="str">
        <f aca="false">IFERROR(VLOOKUP(D50,'1. Country Master List'!C:B,2,FALSE()),"")</f>
        <v/>
      </c>
      <c r="F50" s="7" t="str">
        <f aca="false">IFERROR(VLOOKUP(D50,'1. Country Master List'!$C$4:$D$53,2,FALSE()),"")</f>
        <v/>
      </c>
      <c r="G50" s="7" t="str">
        <f aca="false">IFERROR(VLOOKUP(D50,'1. Country Master List'!$C$4:$E$53,3,FALSE()),"")</f>
        <v/>
      </c>
      <c r="H50" s="24"/>
      <c r="I50" s="24"/>
      <c r="J50" s="24"/>
    </row>
    <row r="51" customFormat="false" ht="23.85" hidden="false" customHeight="false" outlineLevel="0" collapsed="false">
      <c r="A51" s="4" t="s">
        <v>216</v>
      </c>
      <c r="B51" s="17"/>
      <c r="C51" s="17"/>
      <c r="D51" s="17"/>
      <c r="E51" s="4" t="str">
        <f aca="false">IFERROR(VLOOKUP(D51,'1. Country Master List'!C:B,2,FALSE()),"")</f>
        <v/>
      </c>
      <c r="F51" s="4" t="str">
        <f aca="false">IFERROR(VLOOKUP(D51,'1. Country Master List'!$C$4:$D$53,2,FALSE()),"")</f>
        <v/>
      </c>
      <c r="G51" s="4" t="str">
        <f aca="false">IFERROR(VLOOKUP(D51,'1. Country Master List'!$C$4:$E$53,3,FALSE()),"")</f>
        <v/>
      </c>
      <c r="H51" s="17"/>
      <c r="I51" s="17"/>
      <c r="J51" s="17"/>
    </row>
    <row r="52" customFormat="false" ht="23.85" hidden="false" customHeight="false" outlineLevel="0" collapsed="false">
      <c r="A52" s="7" t="s">
        <v>217</v>
      </c>
      <c r="B52" s="24"/>
      <c r="C52" s="24"/>
      <c r="D52" s="24"/>
      <c r="E52" s="7" t="str">
        <f aca="false">IFERROR(VLOOKUP(D52,'1. Country Master List'!C:B,2,FALSE()),"")</f>
        <v/>
      </c>
      <c r="F52" s="7" t="str">
        <f aca="false">IFERROR(VLOOKUP(D52,'1. Country Master List'!$C$4:$D$53,2,FALSE()),"")</f>
        <v/>
      </c>
      <c r="G52" s="7" t="str">
        <f aca="false">IFERROR(VLOOKUP(D52,'1. Country Master List'!$C$4:$E$53,3,FALSE()),"")</f>
        <v/>
      </c>
      <c r="H52" s="24"/>
      <c r="I52" s="24"/>
      <c r="J52" s="24"/>
    </row>
    <row r="53" customFormat="false" ht="23.85" hidden="false" customHeight="false" outlineLevel="0" collapsed="false">
      <c r="A53" s="4" t="s">
        <v>218</v>
      </c>
      <c r="B53" s="17"/>
      <c r="C53" s="17"/>
      <c r="D53" s="17"/>
      <c r="E53" s="4" t="str">
        <f aca="false">IFERROR(VLOOKUP(D53,'1. Country Master List'!C:B,2,FALSE()),"")</f>
        <v/>
      </c>
      <c r="F53" s="4" t="str">
        <f aca="false">IFERROR(VLOOKUP(D53,'1. Country Master List'!$C$4:$D$53,2,FALSE()),"")</f>
        <v/>
      </c>
      <c r="G53" s="4" t="str">
        <f aca="false">IFERROR(VLOOKUP(D53,'1. Country Master List'!$C$4:$E$53,3,FALSE()),"")</f>
        <v/>
      </c>
      <c r="H53" s="17"/>
      <c r="I53" s="17"/>
      <c r="J53" s="17"/>
    </row>
    <row r="54" customFormat="false" ht="23.85" hidden="false" customHeight="false" outlineLevel="0" collapsed="false">
      <c r="A54" s="7" t="s">
        <v>219</v>
      </c>
      <c r="B54" s="24"/>
      <c r="C54" s="24"/>
      <c r="D54" s="24"/>
      <c r="E54" s="7" t="str">
        <f aca="false">IFERROR(VLOOKUP(D54,'1. Country Master List'!C:B,2,FALSE()),"")</f>
        <v/>
      </c>
      <c r="F54" s="7" t="str">
        <f aca="false">IFERROR(VLOOKUP(D54,'1. Country Master List'!$C$4:$D$53,2,FALSE()),"")</f>
        <v/>
      </c>
      <c r="G54" s="7" t="str">
        <f aca="false">IFERROR(VLOOKUP(D54,'1. Country Master List'!$C$4:$E$53,3,FALSE()),"")</f>
        <v/>
      </c>
      <c r="H54" s="24"/>
      <c r="I54" s="24"/>
      <c r="J54" s="24"/>
    </row>
    <row r="55" customFormat="false" ht="23.85" hidden="false" customHeight="false" outlineLevel="0" collapsed="false">
      <c r="A55" s="4" t="s">
        <v>220</v>
      </c>
      <c r="B55" s="17"/>
      <c r="C55" s="17"/>
      <c r="D55" s="17"/>
      <c r="E55" s="4" t="str">
        <f aca="false">IFERROR(VLOOKUP(D55,'1. Country Master List'!C:B,2,FALSE()),"")</f>
        <v/>
      </c>
      <c r="F55" s="4" t="str">
        <f aca="false">IFERROR(VLOOKUP(D55,'1. Country Master List'!$C$4:$D$53,2,FALSE()),"")</f>
        <v/>
      </c>
      <c r="G55" s="4" t="str">
        <f aca="false">IFERROR(VLOOKUP(D55,'1. Country Master List'!$C$4:$E$53,3,FALSE()),"")</f>
        <v/>
      </c>
      <c r="H55" s="17"/>
      <c r="I55" s="17"/>
      <c r="J55" s="17"/>
    </row>
    <row r="56" customFormat="false" ht="23.85" hidden="false" customHeight="false" outlineLevel="0" collapsed="false">
      <c r="A56" s="7" t="s">
        <v>221</v>
      </c>
      <c r="B56" s="24"/>
      <c r="C56" s="24"/>
      <c r="D56" s="24"/>
      <c r="E56" s="7" t="str">
        <f aca="false">IFERROR(VLOOKUP(D56,'1. Country Master List'!C:B,2,FALSE()),"")</f>
        <v/>
      </c>
      <c r="F56" s="7" t="str">
        <f aca="false">IFERROR(VLOOKUP(D56,'1. Country Master List'!$C$4:$D$53,2,FALSE()),"")</f>
        <v/>
      </c>
      <c r="G56" s="7" t="str">
        <f aca="false">IFERROR(VLOOKUP(D56,'1. Country Master List'!$C$4:$E$53,3,FALSE()),"")</f>
        <v/>
      </c>
      <c r="H56" s="24"/>
      <c r="I56" s="24"/>
      <c r="J56" s="24"/>
    </row>
    <row r="57" customFormat="false" ht="23.85" hidden="false" customHeight="false" outlineLevel="0" collapsed="false">
      <c r="A57" s="4" t="s">
        <v>222</v>
      </c>
      <c r="B57" s="17"/>
      <c r="C57" s="17"/>
      <c r="D57" s="17"/>
      <c r="E57" s="4" t="str">
        <f aca="false">IFERROR(VLOOKUP(D57,'1. Country Master List'!C:B,2,FALSE()),"")</f>
        <v/>
      </c>
      <c r="F57" s="4" t="str">
        <f aca="false">IFERROR(VLOOKUP(D57,'1. Country Master List'!$C$4:$D$53,2,FALSE()),"")</f>
        <v/>
      </c>
      <c r="G57" s="4" t="str">
        <f aca="false">IFERROR(VLOOKUP(D57,'1. Country Master List'!$C$4:$E$53,3,FALSE()),"")</f>
        <v/>
      </c>
      <c r="H57" s="17"/>
      <c r="I57" s="17"/>
      <c r="J57" s="17"/>
    </row>
    <row r="58" customFormat="false" ht="23.85" hidden="false" customHeight="false" outlineLevel="0" collapsed="false">
      <c r="A58" s="7" t="s">
        <v>223</v>
      </c>
      <c r="B58" s="24"/>
      <c r="C58" s="24"/>
      <c r="D58" s="24"/>
      <c r="E58" s="7" t="str">
        <f aca="false">IFERROR(VLOOKUP(D58,'1. Country Master List'!C:B,2,FALSE()),"")</f>
        <v/>
      </c>
      <c r="F58" s="7" t="str">
        <f aca="false">IFERROR(VLOOKUP(D58,'1. Country Master List'!$C$4:$D$53,2,FALSE()),"")</f>
        <v/>
      </c>
      <c r="G58" s="7" t="str">
        <f aca="false">IFERROR(VLOOKUP(D58,'1. Country Master List'!$C$4:$E$53,3,FALSE()),"")</f>
        <v/>
      </c>
      <c r="H58" s="24"/>
      <c r="I58" s="24"/>
      <c r="J58" s="24"/>
    </row>
    <row r="59" customFormat="false" ht="23.85" hidden="false" customHeight="false" outlineLevel="0" collapsed="false">
      <c r="A59" s="4" t="s">
        <v>224</v>
      </c>
      <c r="B59" s="17"/>
      <c r="C59" s="17"/>
      <c r="D59" s="17"/>
      <c r="E59" s="4" t="str">
        <f aca="false">IFERROR(VLOOKUP(D59,'1. Country Master List'!C:B,2,FALSE()),"")</f>
        <v/>
      </c>
      <c r="F59" s="4" t="str">
        <f aca="false">IFERROR(VLOOKUP(D59,'1. Country Master List'!$C$4:$D$53,2,FALSE()),"")</f>
        <v/>
      </c>
      <c r="G59" s="4" t="str">
        <f aca="false">IFERROR(VLOOKUP(D59,'1. Country Master List'!$C$4:$E$53,3,FALSE()),"")</f>
        <v/>
      </c>
      <c r="H59" s="17"/>
      <c r="I59" s="17"/>
      <c r="J59" s="17"/>
    </row>
    <row r="60" customFormat="false" ht="23.85" hidden="false" customHeight="false" outlineLevel="0" collapsed="false">
      <c r="A60" s="7" t="s">
        <v>225</v>
      </c>
      <c r="B60" s="24"/>
      <c r="C60" s="24"/>
      <c r="D60" s="24"/>
      <c r="E60" s="7" t="str">
        <f aca="false">IFERROR(VLOOKUP(D60,'1. Country Master List'!C:B,2,FALSE()),"")</f>
        <v/>
      </c>
      <c r="F60" s="7" t="str">
        <f aca="false">IFERROR(VLOOKUP(D60,'1. Country Master List'!$C$4:$D$53,2,FALSE()),"")</f>
        <v/>
      </c>
      <c r="G60" s="7" t="str">
        <f aca="false">IFERROR(VLOOKUP(D60,'1. Country Master List'!$C$4:$E$53,3,FALSE()),"")</f>
        <v/>
      </c>
      <c r="H60" s="24"/>
      <c r="I60" s="24"/>
      <c r="J60" s="24"/>
    </row>
    <row r="61" customFormat="false" ht="23.85" hidden="false" customHeight="false" outlineLevel="0" collapsed="false">
      <c r="A61" s="4" t="s">
        <v>226</v>
      </c>
      <c r="B61" s="17"/>
      <c r="C61" s="17"/>
      <c r="D61" s="17"/>
      <c r="E61" s="4" t="str">
        <f aca="false">IFERROR(VLOOKUP(D61,'1. Country Master List'!C:B,2,FALSE()),"")</f>
        <v/>
      </c>
      <c r="F61" s="4" t="str">
        <f aca="false">IFERROR(VLOOKUP(D61,'1. Country Master List'!$C$4:$D$53,2,FALSE()),"")</f>
        <v/>
      </c>
      <c r="G61" s="4" t="str">
        <f aca="false">IFERROR(VLOOKUP(D61,'1. Country Master List'!$C$4:$E$53,3,FALSE()),"")</f>
        <v/>
      </c>
      <c r="H61" s="17"/>
      <c r="I61" s="17"/>
      <c r="J61" s="17"/>
    </row>
    <row r="62" customFormat="false" ht="23.85" hidden="false" customHeight="false" outlineLevel="0" collapsed="false">
      <c r="A62" s="7" t="s">
        <v>227</v>
      </c>
      <c r="B62" s="24"/>
      <c r="C62" s="24"/>
      <c r="D62" s="24"/>
      <c r="E62" s="7" t="str">
        <f aca="false">IFERROR(VLOOKUP(D62,'1. Country Master List'!C:B,2,FALSE()),"")</f>
        <v/>
      </c>
      <c r="F62" s="7" t="str">
        <f aca="false">IFERROR(VLOOKUP(D62,'1. Country Master List'!$C$4:$D$53,2,FALSE()),"")</f>
        <v/>
      </c>
      <c r="G62" s="7" t="str">
        <f aca="false">IFERROR(VLOOKUP(D62,'1. Country Master List'!$C$4:$E$53,3,FALSE()),"")</f>
        <v/>
      </c>
      <c r="H62" s="24"/>
      <c r="I62" s="24"/>
      <c r="J62" s="24"/>
    </row>
    <row r="63" customFormat="false" ht="23.85" hidden="false" customHeight="false" outlineLevel="0" collapsed="false">
      <c r="A63" s="4" t="s">
        <v>228</v>
      </c>
      <c r="B63" s="17"/>
      <c r="C63" s="17"/>
      <c r="D63" s="17"/>
      <c r="E63" s="4" t="str">
        <f aca="false">IFERROR(VLOOKUP(D63,'1. Country Master List'!C:B,2,FALSE()),"")</f>
        <v/>
      </c>
      <c r="F63" s="4" t="str">
        <f aca="false">IFERROR(VLOOKUP(D63,'1. Country Master List'!$C$4:$D$53,2,FALSE()),"")</f>
        <v/>
      </c>
      <c r="G63" s="4" t="str">
        <f aca="false">IFERROR(VLOOKUP(D63,'1. Country Master List'!$C$4:$E$53,3,FALSE()),"")</f>
        <v/>
      </c>
      <c r="H63" s="17"/>
      <c r="I63" s="17"/>
      <c r="J63" s="17"/>
    </row>
    <row r="64" customFormat="false" ht="23.85" hidden="false" customHeight="false" outlineLevel="0" collapsed="false">
      <c r="A64" s="7" t="s">
        <v>229</v>
      </c>
      <c r="B64" s="24"/>
      <c r="C64" s="24"/>
      <c r="D64" s="24"/>
      <c r="E64" s="7" t="str">
        <f aca="false">IFERROR(VLOOKUP(D64,'1. Country Master List'!C:B,2,FALSE()),"")</f>
        <v/>
      </c>
      <c r="F64" s="7" t="str">
        <f aca="false">IFERROR(VLOOKUP(D64,'1. Country Master List'!$C$4:$D$53,2,FALSE()),"")</f>
        <v/>
      </c>
      <c r="G64" s="7" t="str">
        <f aca="false">IFERROR(VLOOKUP(D64,'1. Country Master List'!$C$4:$E$53,3,FALSE()),"")</f>
        <v/>
      </c>
      <c r="H64" s="24"/>
      <c r="I64" s="24"/>
      <c r="J64" s="24"/>
    </row>
    <row r="65" customFormat="false" ht="23.85" hidden="false" customHeight="false" outlineLevel="0" collapsed="false">
      <c r="A65" s="4" t="s">
        <v>230</v>
      </c>
      <c r="B65" s="17"/>
      <c r="C65" s="17"/>
      <c r="D65" s="17"/>
      <c r="E65" s="4" t="str">
        <f aca="false">IFERROR(VLOOKUP(D65,'1. Country Master List'!C:B,2,FALSE()),"")</f>
        <v/>
      </c>
      <c r="F65" s="4" t="str">
        <f aca="false">IFERROR(VLOOKUP(D65,'1. Country Master List'!$C$4:$D$53,2,FALSE()),"")</f>
        <v/>
      </c>
      <c r="G65" s="4" t="str">
        <f aca="false">IFERROR(VLOOKUP(D65,'1. Country Master List'!$C$4:$E$53,3,FALSE()),"")</f>
        <v/>
      </c>
      <c r="H65" s="17"/>
      <c r="I65" s="17"/>
      <c r="J65" s="17"/>
    </row>
    <row r="66" customFormat="false" ht="23.85" hidden="false" customHeight="false" outlineLevel="0" collapsed="false">
      <c r="A66" s="7" t="s">
        <v>231</v>
      </c>
      <c r="B66" s="24"/>
      <c r="C66" s="24"/>
      <c r="D66" s="24"/>
      <c r="E66" s="7" t="str">
        <f aca="false">IFERROR(VLOOKUP(D66,'1. Country Master List'!C:B,2,FALSE()),"")</f>
        <v/>
      </c>
      <c r="F66" s="7" t="str">
        <f aca="false">IFERROR(VLOOKUP(D66,'1. Country Master List'!$C$4:$D$53,2,FALSE()),"")</f>
        <v/>
      </c>
      <c r="G66" s="7" t="str">
        <f aca="false">IFERROR(VLOOKUP(D66,'1. Country Master List'!$C$4:$E$53,3,FALSE()),"")</f>
        <v/>
      </c>
      <c r="H66" s="24"/>
      <c r="I66" s="24"/>
      <c r="J66" s="24"/>
    </row>
    <row r="67" customFormat="false" ht="23.85" hidden="false" customHeight="false" outlineLevel="0" collapsed="false">
      <c r="A67" s="4" t="s">
        <v>232</v>
      </c>
      <c r="B67" s="17"/>
      <c r="C67" s="17"/>
      <c r="D67" s="17"/>
      <c r="E67" s="4" t="str">
        <f aca="false">IFERROR(VLOOKUP(D67,'1. Country Master List'!C:B,2,FALSE()),"")</f>
        <v/>
      </c>
      <c r="F67" s="4" t="str">
        <f aca="false">IFERROR(VLOOKUP(D67,'1. Country Master List'!$C$4:$D$53,2,FALSE()),"")</f>
        <v/>
      </c>
      <c r="G67" s="4" t="str">
        <f aca="false">IFERROR(VLOOKUP(D67,'1. Country Master List'!$C$4:$E$53,3,FALSE()),"")</f>
        <v/>
      </c>
      <c r="H67" s="17"/>
      <c r="I67" s="17"/>
      <c r="J67" s="17"/>
    </row>
    <row r="68" customFormat="false" ht="23.85" hidden="false" customHeight="false" outlineLevel="0" collapsed="false">
      <c r="A68" s="7" t="s">
        <v>233</v>
      </c>
      <c r="B68" s="24"/>
      <c r="C68" s="24"/>
      <c r="D68" s="24"/>
      <c r="E68" s="7" t="str">
        <f aca="false">IFERROR(VLOOKUP(D68,'1. Country Master List'!C:B,2,FALSE()),"")</f>
        <v/>
      </c>
      <c r="F68" s="7" t="str">
        <f aca="false">IFERROR(VLOOKUP(D68,'1. Country Master List'!$C$4:$D$53,2,FALSE()),"")</f>
        <v/>
      </c>
      <c r="G68" s="7" t="str">
        <f aca="false">IFERROR(VLOOKUP(D68,'1. Country Master List'!$C$4:$E$53,3,FALSE()),"")</f>
        <v/>
      </c>
      <c r="H68" s="24"/>
      <c r="I68" s="24"/>
      <c r="J68" s="24"/>
    </row>
    <row r="69" customFormat="false" ht="23.85" hidden="false" customHeight="false" outlineLevel="0" collapsed="false">
      <c r="A69" s="4" t="s">
        <v>234</v>
      </c>
      <c r="B69" s="17"/>
      <c r="C69" s="17"/>
      <c r="D69" s="17"/>
      <c r="E69" s="4" t="str">
        <f aca="false">IFERROR(VLOOKUP(D69,'1. Country Master List'!C:B,2,FALSE()),"")</f>
        <v/>
      </c>
      <c r="F69" s="4" t="str">
        <f aca="false">IFERROR(VLOOKUP(D69,'1. Country Master List'!$C$4:$D$53,2,FALSE()),"")</f>
        <v/>
      </c>
      <c r="G69" s="4" t="str">
        <f aca="false">IFERROR(VLOOKUP(D69,'1. Country Master List'!$C$4:$E$53,3,FALSE()),"")</f>
        <v/>
      </c>
      <c r="H69" s="17"/>
      <c r="I69" s="17"/>
      <c r="J69" s="17"/>
    </row>
    <row r="70" customFormat="false" ht="23.85" hidden="false" customHeight="false" outlineLevel="0" collapsed="false">
      <c r="A70" s="7" t="s">
        <v>235</v>
      </c>
      <c r="B70" s="24"/>
      <c r="C70" s="24"/>
      <c r="D70" s="24"/>
      <c r="E70" s="7" t="str">
        <f aca="false">IFERROR(VLOOKUP(D70,'1. Country Master List'!C:B,2,FALSE()),"")</f>
        <v/>
      </c>
      <c r="F70" s="7" t="str">
        <f aca="false">IFERROR(VLOOKUP(D70,'1. Country Master List'!$C$4:$D$53,2,FALSE()),"")</f>
        <v/>
      </c>
      <c r="G70" s="7" t="str">
        <f aca="false">IFERROR(VLOOKUP(D70,'1. Country Master List'!$C$4:$E$53,3,FALSE()),"")</f>
        <v/>
      </c>
      <c r="H70" s="24"/>
      <c r="I70" s="24"/>
      <c r="J70" s="24"/>
    </row>
    <row r="71" customFormat="false" ht="23.85" hidden="false" customHeight="false" outlineLevel="0" collapsed="false">
      <c r="A71" s="4" t="s">
        <v>236</v>
      </c>
      <c r="B71" s="17"/>
      <c r="C71" s="17"/>
      <c r="D71" s="17"/>
      <c r="E71" s="4" t="str">
        <f aca="false">IFERROR(VLOOKUP(D71,'1. Country Master List'!C:B,2,FALSE()),"")</f>
        <v/>
      </c>
      <c r="F71" s="4" t="str">
        <f aca="false">IFERROR(VLOOKUP(D71,'1. Country Master List'!$C$4:$D$53,2,FALSE()),"")</f>
        <v/>
      </c>
      <c r="G71" s="4" t="str">
        <f aca="false">IFERROR(VLOOKUP(D71,'1. Country Master List'!$C$4:$E$53,3,FALSE()),"")</f>
        <v/>
      </c>
      <c r="H71" s="17"/>
      <c r="I71" s="17"/>
      <c r="J71" s="17"/>
    </row>
    <row r="72" customFormat="false" ht="23.85" hidden="false" customHeight="false" outlineLevel="0" collapsed="false">
      <c r="A72" s="7" t="s">
        <v>237</v>
      </c>
      <c r="B72" s="24"/>
      <c r="C72" s="24"/>
      <c r="D72" s="24"/>
      <c r="E72" s="7" t="str">
        <f aca="false">IFERROR(VLOOKUP(D72,'1. Country Master List'!C:B,2,FALSE()),"")</f>
        <v/>
      </c>
      <c r="F72" s="7" t="str">
        <f aca="false">IFERROR(VLOOKUP(D72,'1. Country Master List'!$C$4:$D$53,2,FALSE()),"")</f>
        <v/>
      </c>
      <c r="G72" s="7" t="str">
        <f aca="false">IFERROR(VLOOKUP(D72,'1. Country Master List'!$C$4:$E$53,3,FALSE()),"")</f>
        <v/>
      </c>
      <c r="H72" s="24"/>
      <c r="I72" s="24"/>
      <c r="J72" s="24"/>
    </row>
    <row r="73" customFormat="false" ht="23.85" hidden="false" customHeight="false" outlineLevel="0" collapsed="false">
      <c r="A73" s="4" t="s">
        <v>238</v>
      </c>
      <c r="B73" s="17"/>
      <c r="C73" s="17"/>
      <c r="D73" s="17"/>
      <c r="E73" s="4" t="str">
        <f aca="false">IFERROR(VLOOKUP(D73,'1. Country Master List'!C:B,2,FALSE()),"")</f>
        <v/>
      </c>
      <c r="F73" s="4" t="str">
        <f aca="false">IFERROR(VLOOKUP(D73,'1. Country Master List'!$C$4:$D$53,2,FALSE()),"")</f>
        <v/>
      </c>
      <c r="G73" s="4" t="str">
        <f aca="false">IFERROR(VLOOKUP(D73,'1. Country Master List'!$C$4:$E$53,3,FALSE()),"")</f>
        <v/>
      </c>
      <c r="H73" s="17"/>
      <c r="I73" s="17"/>
      <c r="J73" s="17"/>
    </row>
    <row r="74" customFormat="false" ht="23.85" hidden="false" customHeight="false" outlineLevel="0" collapsed="false">
      <c r="A74" s="7" t="s">
        <v>239</v>
      </c>
      <c r="B74" s="24"/>
      <c r="C74" s="24"/>
      <c r="D74" s="24"/>
      <c r="E74" s="7" t="str">
        <f aca="false">IFERROR(VLOOKUP(D74,'1. Country Master List'!C:B,2,FALSE()),"")</f>
        <v/>
      </c>
      <c r="F74" s="7" t="str">
        <f aca="false">IFERROR(VLOOKUP(D74,'1. Country Master List'!$C$4:$D$53,2,FALSE()),"")</f>
        <v/>
      </c>
      <c r="G74" s="7" t="str">
        <f aca="false">IFERROR(VLOOKUP(D74,'1. Country Master List'!$C$4:$E$53,3,FALSE()),"")</f>
        <v/>
      </c>
      <c r="H74" s="24"/>
      <c r="I74" s="24"/>
      <c r="J74" s="24"/>
    </row>
    <row r="75" customFormat="false" ht="23.85" hidden="false" customHeight="false" outlineLevel="0" collapsed="false">
      <c r="A75" s="4" t="s">
        <v>240</v>
      </c>
      <c r="B75" s="17"/>
      <c r="C75" s="17"/>
      <c r="D75" s="17"/>
      <c r="E75" s="4" t="str">
        <f aca="false">IFERROR(VLOOKUP(D75,'1. Country Master List'!C:B,2,FALSE()),"")</f>
        <v/>
      </c>
      <c r="F75" s="4" t="str">
        <f aca="false">IFERROR(VLOOKUP(D75,'1. Country Master List'!$C$4:$D$53,2,FALSE()),"")</f>
        <v/>
      </c>
      <c r="G75" s="4" t="str">
        <f aca="false">IFERROR(VLOOKUP(D75,'1. Country Master List'!$C$4:$E$53,3,FALSE()),"")</f>
        <v/>
      </c>
      <c r="H75" s="17"/>
      <c r="I75" s="17"/>
      <c r="J75" s="17"/>
    </row>
    <row r="76" customFormat="false" ht="23.85" hidden="false" customHeight="false" outlineLevel="0" collapsed="false">
      <c r="A76" s="7" t="s">
        <v>241</v>
      </c>
      <c r="B76" s="24"/>
      <c r="C76" s="24"/>
      <c r="D76" s="24"/>
      <c r="E76" s="7" t="str">
        <f aca="false">IFERROR(VLOOKUP(D76,'1. Country Master List'!C:B,2,FALSE()),"")</f>
        <v/>
      </c>
      <c r="F76" s="7" t="str">
        <f aca="false">IFERROR(VLOOKUP(D76,'1. Country Master List'!$C$4:$D$53,2,FALSE()),"")</f>
        <v/>
      </c>
      <c r="G76" s="7" t="str">
        <f aca="false">IFERROR(VLOOKUP(D76,'1. Country Master List'!$C$4:$E$53,3,FALSE()),"")</f>
        <v/>
      </c>
      <c r="H76" s="24"/>
      <c r="I76" s="24"/>
      <c r="J76" s="24"/>
    </row>
    <row r="77" customFormat="false" ht="23.85" hidden="false" customHeight="false" outlineLevel="0" collapsed="false">
      <c r="A77" s="4" t="s">
        <v>242</v>
      </c>
      <c r="B77" s="17"/>
      <c r="C77" s="17"/>
      <c r="D77" s="17"/>
      <c r="E77" s="4" t="str">
        <f aca="false">IFERROR(VLOOKUP(D77,'1. Country Master List'!C:B,2,FALSE()),"")</f>
        <v/>
      </c>
      <c r="F77" s="4" t="str">
        <f aca="false">IFERROR(VLOOKUP(D77,'1. Country Master List'!$C$4:$D$53,2,FALSE()),"")</f>
        <v/>
      </c>
      <c r="G77" s="4" t="str">
        <f aca="false">IFERROR(VLOOKUP(D77,'1. Country Master List'!$C$4:$E$53,3,FALSE()),"")</f>
        <v/>
      </c>
      <c r="H77" s="17"/>
      <c r="I77" s="17"/>
      <c r="J77" s="17"/>
    </row>
    <row r="78" customFormat="false" ht="23.85" hidden="false" customHeight="false" outlineLevel="0" collapsed="false">
      <c r="A78" s="7" t="s">
        <v>243</v>
      </c>
      <c r="B78" s="24"/>
      <c r="C78" s="24"/>
      <c r="D78" s="24"/>
      <c r="E78" s="7" t="str">
        <f aca="false">IFERROR(VLOOKUP(D78,'1. Country Master List'!C:B,2,FALSE()),"")</f>
        <v/>
      </c>
      <c r="F78" s="7" t="str">
        <f aca="false">IFERROR(VLOOKUP(D78,'1. Country Master List'!$C$4:$D$53,2,FALSE()),"")</f>
        <v/>
      </c>
      <c r="G78" s="7" t="str">
        <f aca="false">IFERROR(VLOOKUP(D78,'1. Country Master List'!$C$4:$E$53,3,FALSE()),"")</f>
        <v/>
      </c>
      <c r="H78" s="24"/>
      <c r="I78" s="24"/>
      <c r="J78" s="24"/>
    </row>
    <row r="79" customFormat="false" ht="23.85" hidden="false" customHeight="false" outlineLevel="0" collapsed="false">
      <c r="A79" s="4" t="s">
        <v>244</v>
      </c>
      <c r="B79" s="17"/>
      <c r="C79" s="17"/>
      <c r="D79" s="17"/>
      <c r="E79" s="4" t="str">
        <f aca="false">IFERROR(VLOOKUP(D79,'1. Country Master List'!C:B,2,FALSE()),"")</f>
        <v/>
      </c>
      <c r="F79" s="4" t="str">
        <f aca="false">IFERROR(VLOOKUP(D79,'1. Country Master List'!$C$4:$D$53,2,FALSE()),"")</f>
        <v/>
      </c>
      <c r="G79" s="4" t="str">
        <f aca="false">IFERROR(VLOOKUP(D79,'1. Country Master List'!$C$4:$E$53,3,FALSE()),"")</f>
        <v/>
      </c>
      <c r="H79" s="17"/>
      <c r="I79" s="17"/>
      <c r="J79" s="17"/>
    </row>
    <row r="80" customFormat="false" ht="23.85" hidden="false" customHeight="false" outlineLevel="0" collapsed="false">
      <c r="A80" s="7" t="s">
        <v>245</v>
      </c>
      <c r="B80" s="24"/>
      <c r="C80" s="24"/>
      <c r="D80" s="24"/>
      <c r="E80" s="7" t="str">
        <f aca="false">IFERROR(VLOOKUP(D80,'1. Country Master List'!C:B,2,FALSE()),"")</f>
        <v/>
      </c>
      <c r="F80" s="7" t="str">
        <f aca="false">IFERROR(VLOOKUP(D80,'1. Country Master List'!$C$4:$D$53,2,FALSE()),"")</f>
        <v/>
      </c>
      <c r="G80" s="7" t="str">
        <f aca="false">IFERROR(VLOOKUP(D80,'1. Country Master List'!$C$4:$E$53,3,FALSE()),"")</f>
        <v/>
      </c>
      <c r="H80" s="24"/>
      <c r="I80" s="24"/>
      <c r="J80" s="24"/>
    </row>
    <row r="81" customFormat="false" ht="23.85" hidden="false" customHeight="false" outlineLevel="0" collapsed="false">
      <c r="A81" s="4" t="s">
        <v>246</v>
      </c>
      <c r="B81" s="17"/>
      <c r="C81" s="17"/>
      <c r="D81" s="17"/>
      <c r="E81" s="4" t="str">
        <f aca="false">IFERROR(VLOOKUP(D81,'1. Country Master List'!C:B,2,FALSE()),"")</f>
        <v/>
      </c>
      <c r="F81" s="4" t="str">
        <f aca="false">IFERROR(VLOOKUP(D81,'1. Country Master List'!$C$4:$D$53,2,FALSE()),"")</f>
        <v/>
      </c>
      <c r="G81" s="4" t="str">
        <f aca="false">IFERROR(VLOOKUP(D81,'1. Country Master List'!$C$4:$E$53,3,FALSE()),"")</f>
        <v/>
      </c>
      <c r="H81" s="17"/>
      <c r="I81" s="17"/>
      <c r="J81" s="17"/>
    </row>
    <row r="82" customFormat="false" ht="23.85" hidden="false" customHeight="false" outlineLevel="0" collapsed="false">
      <c r="A82" s="7" t="s">
        <v>247</v>
      </c>
      <c r="B82" s="24"/>
      <c r="C82" s="24"/>
      <c r="D82" s="24"/>
      <c r="E82" s="7" t="str">
        <f aca="false">IFERROR(VLOOKUP(D82,'1. Country Master List'!C:B,2,FALSE()),"")</f>
        <v/>
      </c>
      <c r="F82" s="7" t="str">
        <f aca="false">IFERROR(VLOOKUP(D82,'1. Country Master List'!$C$4:$D$53,2,FALSE()),"")</f>
        <v/>
      </c>
      <c r="G82" s="7" t="str">
        <f aca="false">IFERROR(VLOOKUP(D82,'1. Country Master List'!$C$4:$E$53,3,FALSE()),"")</f>
        <v/>
      </c>
      <c r="H82" s="24"/>
      <c r="I82" s="24"/>
      <c r="J82" s="24"/>
    </row>
    <row r="83" customFormat="false" ht="23.85" hidden="false" customHeight="false" outlineLevel="0" collapsed="false">
      <c r="A83" s="4" t="s">
        <v>248</v>
      </c>
      <c r="B83" s="17"/>
      <c r="C83" s="17"/>
      <c r="D83" s="17"/>
      <c r="E83" s="4" t="str">
        <f aca="false">IFERROR(VLOOKUP(D83,'1. Country Master List'!C:B,2,FALSE()),"")</f>
        <v/>
      </c>
      <c r="F83" s="4" t="str">
        <f aca="false">IFERROR(VLOOKUP(D83,'1. Country Master List'!$C$4:$D$53,2,FALSE()),"")</f>
        <v/>
      </c>
      <c r="G83" s="4" t="str">
        <f aca="false">IFERROR(VLOOKUP(D83,'1. Country Master List'!$C$4:$E$53,3,FALSE()),"")</f>
        <v/>
      </c>
      <c r="H83" s="17"/>
      <c r="I83" s="17"/>
      <c r="J83" s="17"/>
    </row>
    <row r="84" customFormat="false" ht="23.85" hidden="false" customHeight="false" outlineLevel="0" collapsed="false">
      <c r="A84" s="7" t="s">
        <v>249</v>
      </c>
      <c r="B84" s="24"/>
      <c r="C84" s="24"/>
      <c r="D84" s="24"/>
      <c r="E84" s="7" t="str">
        <f aca="false">IFERROR(VLOOKUP(D84,'1. Country Master List'!C:B,2,FALSE()),"")</f>
        <v/>
      </c>
      <c r="F84" s="7" t="str">
        <f aca="false">IFERROR(VLOOKUP(D84,'1. Country Master List'!$C$4:$D$53,2,FALSE()),"")</f>
        <v/>
      </c>
      <c r="G84" s="7" t="str">
        <f aca="false">IFERROR(VLOOKUP(D84,'1. Country Master List'!$C$4:$E$53,3,FALSE()),"")</f>
        <v/>
      </c>
      <c r="H84" s="24"/>
      <c r="I84" s="24"/>
      <c r="J84" s="24"/>
    </row>
    <row r="85" customFormat="false" ht="23.85" hidden="false" customHeight="false" outlineLevel="0" collapsed="false">
      <c r="A85" s="4" t="s">
        <v>250</v>
      </c>
      <c r="B85" s="17"/>
      <c r="C85" s="17"/>
      <c r="D85" s="17"/>
      <c r="E85" s="4" t="str">
        <f aca="false">IFERROR(VLOOKUP(D85,'1. Country Master List'!C:B,2,FALSE()),"")</f>
        <v/>
      </c>
      <c r="F85" s="4" t="str">
        <f aca="false">IFERROR(VLOOKUP(D85,'1. Country Master List'!$C$4:$D$53,2,FALSE()),"")</f>
        <v/>
      </c>
      <c r="G85" s="4" t="str">
        <f aca="false">IFERROR(VLOOKUP(D85,'1. Country Master List'!$C$4:$E$53,3,FALSE()),"")</f>
        <v/>
      </c>
      <c r="H85" s="17"/>
      <c r="I85" s="17"/>
      <c r="J85" s="17"/>
    </row>
    <row r="86" customFormat="false" ht="23.85" hidden="false" customHeight="false" outlineLevel="0" collapsed="false">
      <c r="A86" s="7" t="s">
        <v>251</v>
      </c>
      <c r="B86" s="24"/>
      <c r="C86" s="24"/>
      <c r="D86" s="24"/>
      <c r="E86" s="7" t="str">
        <f aca="false">IFERROR(VLOOKUP(D86,'1. Country Master List'!C:B,2,FALSE()),"")</f>
        <v/>
      </c>
      <c r="F86" s="7" t="str">
        <f aca="false">IFERROR(VLOOKUP(D86,'1. Country Master List'!$C$4:$D$53,2,FALSE()),"")</f>
        <v/>
      </c>
      <c r="G86" s="7" t="str">
        <f aca="false">IFERROR(VLOOKUP(D86,'1. Country Master List'!$C$4:$E$53,3,FALSE()),"")</f>
        <v/>
      </c>
      <c r="H86" s="24"/>
      <c r="I86" s="24"/>
      <c r="J86" s="24"/>
    </row>
    <row r="87" customFormat="false" ht="23.85" hidden="false" customHeight="false" outlineLevel="0" collapsed="false">
      <c r="A87" s="4" t="s">
        <v>252</v>
      </c>
      <c r="B87" s="17"/>
      <c r="C87" s="17"/>
      <c r="D87" s="17"/>
      <c r="E87" s="4" t="str">
        <f aca="false">IFERROR(VLOOKUP(D87,'1. Country Master List'!C:B,2,FALSE()),"")</f>
        <v/>
      </c>
      <c r="F87" s="4" t="str">
        <f aca="false">IFERROR(VLOOKUP(D87,'1. Country Master List'!$C$4:$D$53,2,FALSE()),"")</f>
        <v/>
      </c>
      <c r="G87" s="4" t="str">
        <f aca="false">IFERROR(VLOOKUP(D87,'1. Country Master List'!$C$4:$E$53,3,FALSE()),"")</f>
        <v/>
      </c>
      <c r="H87" s="17"/>
      <c r="I87" s="17"/>
      <c r="J87" s="17"/>
    </row>
    <row r="88" customFormat="false" ht="23.85" hidden="false" customHeight="false" outlineLevel="0" collapsed="false">
      <c r="A88" s="7" t="s">
        <v>253</v>
      </c>
      <c r="B88" s="24"/>
      <c r="C88" s="24"/>
      <c r="D88" s="24"/>
      <c r="E88" s="7" t="str">
        <f aca="false">IFERROR(VLOOKUP(D88,'1. Country Master List'!C:B,2,FALSE()),"")</f>
        <v/>
      </c>
      <c r="F88" s="7" t="str">
        <f aca="false">IFERROR(VLOOKUP(D88,'1. Country Master List'!$C$4:$D$53,2,FALSE()),"")</f>
        <v/>
      </c>
      <c r="G88" s="7" t="str">
        <f aca="false">IFERROR(VLOOKUP(D88,'1. Country Master List'!$C$4:$E$53,3,FALSE()),"")</f>
        <v/>
      </c>
      <c r="H88" s="24"/>
      <c r="I88" s="24"/>
      <c r="J88" s="24"/>
    </row>
    <row r="89" customFormat="false" ht="23.85" hidden="false" customHeight="false" outlineLevel="0" collapsed="false">
      <c r="A89" s="4" t="s">
        <v>254</v>
      </c>
      <c r="B89" s="17"/>
      <c r="C89" s="17"/>
      <c r="D89" s="17"/>
      <c r="E89" s="4" t="str">
        <f aca="false">IFERROR(VLOOKUP(D89,'1. Country Master List'!C:B,2,FALSE()),"")</f>
        <v/>
      </c>
      <c r="F89" s="4" t="str">
        <f aca="false">IFERROR(VLOOKUP(D89,'1. Country Master List'!$C$4:$D$53,2,FALSE()),"")</f>
        <v/>
      </c>
      <c r="G89" s="4" t="str">
        <f aca="false">IFERROR(VLOOKUP(D89,'1. Country Master List'!$C$4:$E$53,3,FALSE()),"")</f>
        <v/>
      </c>
      <c r="H89" s="17"/>
      <c r="I89" s="17"/>
      <c r="J89" s="17"/>
    </row>
    <row r="90" customFormat="false" ht="23.85" hidden="false" customHeight="false" outlineLevel="0" collapsed="false">
      <c r="A90" s="7" t="s">
        <v>255</v>
      </c>
      <c r="B90" s="24"/>
      <c r="C90" s="24"/>
      <c r="D90" s="24"/>
      <c r="E90" s="7" t="str">
        <f aca="false">IFERROR(VLOOKUP(D90,'1. Country Master List'!C:B,2,FALSE()),"")</f>
        <v/>
      </c>
      <c r="F90" s="7" t="str">
        <f aca="false">IFERROR(VLOOKUP(D90,'1. Country Master List'!$C$4:$D$53,2,FALSE()),"")</f>
        <v/>
      </c>
      <c r="G90" s="7" t="str">
        <f aca="false">IFERROR(VLOOKUP(D90,'1. Country Master List'!$C$4:$E$53,3,FALSE()),"")</f>
        <v/>
      </c>
      <c r="H90" s="24"/>
      <c r="I90" s="24"/>
      <c r="J90" s="24"/>
    </row>
    <row r="91" customFormat="false" ht="23.85" hidden="false" customHeight="false" outlineLevel="0" collapsed="false">
      <c r="A91" s="4" t="s">
        <v>256</v>
      </c>
      <c r="B91" s="17"/>
      <c r="C91" s="17"/>
      <c r="D91" s="17"/>
      <c r="E91" s="4" t="str">
        <f aca="false">IFERROR(VLOOKUP(D91,'1. Country Master List'!C:B,2,FALSE()),"")</f>
        <v/>
      </c>
      <c r="F91" s="4" t="str">
        <f aca="false">IFERROR(VLOOKUP(D91,'1. Country Master List'!$C$4:$D$53,2,FALSE()),"")</f>
        <v/>
      </c>
      <c r="G91" s="4" t="str">
        <f aca="false">IFERROR(VLOOKUP(D91,'1. Country Master List'!$C$4:$E$53,3,FALSE()),"")</f>
        <v/>
      </c>
      <c r="H91" s="17"/>
      <c r="I91" s="17"/>
      <c r="J91" s="17"/>
    </row>
    <row r="92" customFormat="false" ht="23.85" hidden="false" customHeight="false" outlineLevel="0" collapsed="false">
      <c r="A92" s="7" t="s">
        <v>257</v>
      </c>
      <c r="B92" s="24"/>
      <c r="C92" s="24"/>
      <c r="D92" s="24"/>
      <c r="E92" s="7" t="str">
        <f aca="false">IFERROR(VLOOKUP(D92,'1. Country Master List'!C:B,2,FALSE()),"")</f>
        <v/>
      </c>
      <c r="F92" s="7" t="str">
        <f aca="false">IFERROR(VLOOKUP(D92,'1. Country Master List'!$C$4:$D$53,2,FALSE()),"")</f>
        <v/>
      </c>
      <c r="G92" s="7" t="str">
        <f aca="false">IFERROR(VLOOKUP(D92,'1. Country Master List'!$C$4:$E$53,3,FALSE()),"")</f>
        <v/>
      </c>
      <c r="H92" s="24"/>
      <c r="I92" s="24"/>
      <c r="J92" s="24"/>
    </row>
    <row r="93" customFormat="false" ht="23.85" hidden="false" customHeight="false" outlineLevel="0" collapsed="false">
      <c r="A93" s="4" t="s">
        <v>258</v>
      </c>
      <c r="B93" s="17"/>
      <c r="C93" s="17"/>
      <c r="D93" s="17"/>
      <c r="E93" s="4" t="str">
        <f aca="false">IFERROR(VLOOKUP(D93,'1. Country Master List'!C:B,2,FALSE()),"")</f>
        <v/>
      </c>
      <c r="F93" s="4" t="str">
        <f aca="false">IFERROR(VLOOKUP(D93,'1. Country Master List'!$C$4:$D$53,2,FALSE()),"")</f>
        <v/>
      </c>
      <c r="G93" s="4" t="str">
        <f aca="false">IFERROR(VLOOKUP(D93,'1. Country Master List'!$C$4:$E$53,3,FALSE()),"")</f>
        <v/>
      </c>
      <c r="H93" s="17"/>
      <c r="I93" s="17"/>
      <c r="J93" s="17"/>
    </row>
    <row r="94" customFormat="false" ht="23.85" hidden="false" customHeight="false" outlineLevel="0" collapsed="false">
      <c r="A94" s="7" t="s">
        <v>259</v>
      </c>
      <c r="B94" s="24"/>
      <c r="C94" s="24"/>
      <c r="D94" s="24"/>
      <c r="E94" s="7" t="str">
        <f aca="false">IFERROR(VLOOKUP(D94,'1. Country Master List'!C:B,2,FALSE()),"")</f>
        <v/>
      </c>
      <c r="F94" s="7" t="str">
        <f aca="false">IFERROR(VLOOKUP(D94,'1. Country Master List'!$C$4:$D$53,2,FALSE()),"")</f>
        <v/>
      </c>
      <c r="G94" s="7" t="str">
        <f aca="false">IFERROR(VLOOKUP(D94,'1. Country Master List'!$C$4:$E$53,3,FALSE()),"")</f>
        <v/>
      </c>
      <c r="H94" s="24"/>
      <c r="I94" s="24"/>
      <c r="J94" s="24"/>
    </row>
    <row r="95" customFormat="false" ht="23.85" hidden="false" customHeight="false" outlineLevel="0" collapsed="false">
      <c r="A95" s="4" t="s">
        <v>260</v>
      </c>
      <c r="B95" s="17"/>
      <c r="C95" s="17"/>
      <c r="D95" s="17"/>
      <c r="E95" s="4" t="str">
        <f aca="false">IFERROR(VLOOKUP(D95,'1. Country Master List'!C:B,2,FALSE()),"")</f>
        <v/>
      </c>
      <c r="F95" s="4" t="str">
        <f aca="false">IFERROR(VLOOKUP(D95,'1. Country Master List'!$C$4:$D$53,2,FALSE()),"")</f>
        <v/>
      </c>
      <c r="G95" s="4" t="str">
        <f aca="false">IFERROR(VLOOKUP(D95,'1. Country Master List'!$C$4:$E$53,3,FALSE()),"")</f>
        <v/>
      </c>
      <c r="H95" s="17"/>
      <c r="I95" s="17"/>
      <c r="J95" s="17"/>
    </row>
    <row r="96" customFormat="false" ht="23.85" hidden="false" customHeight="false" outlineLevel="0" collapsed="false">
      <c r="A96" s="7" t="s">
        <v>261</v>
      </c>
      <c r="B96" s="24"/>
      <c r="C96" s="24"/>
      <c r="D96" s="24"/>
      <c r="E96" s="7" t="str">
        <f aca="false">IFERROR(VLOOKUP(D96,'1. Country Master List'!C:B,2,FALSE()),"")</f>
        <v/>
      </c>
      <c r="F96" s="7" t="str">
        <f aca="false">IFERROR(VLOOKUP(D96,'1. Country Master List'!$C$4:$D$53,2,FALSE()),"")</f>
        <v/>
      </c>
      <c r="G96" s="7" t="str">
        <f aca="false">IFERROR(VLOOKUP(D96,'1. Country Master List'!$C$4:$E$53,3,FALSE()),"")</f>
        <v/>
      </c>
      <c r="H96" s="24"/>
      <c r="I96" s="24"/>
      <c r="J96" s="24"/>
    </row>
    <row r="97" customFormat="false" ht="23.85" hidden="false" customHeight="false" outlineLevel="0" collapsed="false">
      <c r="A97" s="4" t="s">
        <v>262</v>
      </c>
      <c r="B97" s="17"/>
      <c r="C97" s="17"/>
      <c r="D97" s="17"/>
      <c r="E97" s="4" t="str">
        <f aca="false">IFERROR(VLOOKUP(D97,'1. Country Master List'!C:B,2,FALSE()),"")</f>
        <v/>
      </c>
      <c r="F97" s="4" t="str">
        <f aca="false">IFERROR(VLOOKUP(D97,'1. Country Master List'!$C$4:$D$53,2,FALSE()),"")</f>
        <v/>
      </c>
      <c r="G97" s="4" t="str">
        <f aca="false">IFERROR(VLOOKUP(D97,'1. Country Master List'!$C$4:$E$53,3,FALSE()),"")</f>
        <v/>
      </c>
      <c r="H97" s="17"/>
      <c r="I97" s="17"/>
      <c r="J97" s="17"/>
    </row>
    <row r="98" customFormat="false" ht="23.85" hidden="false" customHeight="false" outlineLevel="0" collapsed="false">
      <c r="A98" s="7" t="s">
        <v>263</v>
      </c>
      <c r="B98" s="24"/>
      <c r="C98" s="24"/>
      <c r="D98" s="24"/>
      <c r="E98" s="7" t="str">
        <f aca="false">IFERROR(VLOOKUP(D98,'1. Country Master List'!C:B,2,FALSE()),"")</f>
        <v/>
      </c>
      <c r="F98" s="7" t="str">
        <f aca="false">IFERROR(VLOOKUP(D98,'1. Country Master List'!$C$4:$D$53,2,FALSE()),"")</f>
        <v/>
      </c>
      <c r="G98" s="7" t="str">
        <f aca="false">IFERROR(VLOOKUP(D98,'1. Country Master List'!$C$4:$E$53,3,FALSE()),"")</f>
        <v/>
      </c>
      <c r="H98" s="24"/>
      <c r="I98" s="24"/>
      <c r="J98" s="24"/>
    </row>
    <row r="99" customFormat="false" ht="23.85" hidden="false" customHeight="false" outlineLevel="0" collapsed="false">
      <c r="A99" s="4" t="s">
        <v>264</v>
      </c>
      <c r="B99" s="17"/>
      <c r="C99" s="17"/>
      <c r="D99" s="17"/>
      <c r="E99" s="4" t="str">
        <f aca="false">IFERROR(VLOOKUP(D99,'1. Country Master List'!C:B,2,FALSE()),"")</f>
        <v/>
      </c>
      <c r="F99" s="4" t="str">
        <f aca="false">IFERROR(VLOOKUP(D99,'1. Country Master List'!$C$4:$D$53,2,FALSE()),"")</f>
        <v/>
      </c>
      <c r="G99" s="4" t="str">
        <f aca="false">IFERROR(VLOOKUP(D99,'1. Country Master List'!$C$4:$E$53,3,FALSE()),"")</f>
        <v/>
      </c>
      <c r="H99" s="17"/>
      <c r="I99" s="17"/>
      <c r="J99" s="17"/>
    </row>
    <row r="100" customFormat="false" ht="23.85" hidden="false" customHeight="false" outlineLevel="0" collapsed="false">
      <c r="A100" s="7" t="s">
        <v>265</v>
      </c>
      <c r="B100" s="24"/>
      <c r="C100" s="24"/>
      <c r="D100" s="24"/>
      <c r="E100" s="7" t="str">
        <f aca="false">IFERROR(VLOOKUP(D100,'1. Country Master List'!C:B,2,FALSE()),"")</f>
        <v/>
      </c>
      <c r="F100" s="7" t="str">
        <f aca="false">IFERROR(VLOOKUP(D100,'1. Country Master List'!$C$4:$D$53,2,FALSE()),"")</f>
        <v/>
      </c>
      <c r="G100" s="7" t="str">
        <f aca="false">IFERROR(VLOOKUP(D100,'1. Country Master List'!$C$4:$E$53,3,FALSE()),"")</f>
        <v/>
      </c>
      <c r="H100" s="24"/>
      <c r="I100" s="24"/>
      <c r="J100" s="24"/>
    </row>
    <row r="101" customFormat="false" ht="23.85" hidden="false" customHeight="false" outlineLevel="0" collapsed="false">
      <c r="A101" s="4" t="s">
        <v>266</v>
      </c>
      <c r="B101" s="17"/>
      <c r="C101" s="17"/>
      <c r="D101" s="17"/>
      <c r="E101" s="4" t="str">
        <f aca="false">IFERROR(VLOOKUP(D101,'1. Country Master List'!C:B,2,FALSE()),"")</f>
        <v/>
      </c>
      <c r="F101" s="4" t="str">
        <f aca="false">IFERROR(VLOOKUP(D101,'1. Country Master List'!$C$4:$D$53,2,FALSE()),"")</f>
        <v/>
      </c>
      <c r="G101" s="4" t="str">
        <f aca="false">IFERROR(VLOOKUP(D101,'1. Country Master List'!$C$4:$E$53,3,FALSE()),"")</f>
        <v/>
      </c>
      <c r="H101" s="17"/>
      <c r="I101" s="17"/>
      <c r="J101" s="17"/>
    </row>
    <row r="102" customFormat="false" ht="23.85" hidden="false" customHeight="false" outlineLevel="0" collapsed="false">
      <c r="A102" s="7" t="s">
        <v>267</v>
      </c>
      <c r="B102" s="24"/>
      <c r="C102" s="24"/>
      <c r="D102" s="24"/>
      <c r="E102" s="7" t="str">
        <f aca="false">IFERROR(VLOOKUP(D102,'1. Country Master List'!C:B,2,FALSE()),"")</f>
        <v/>
      </c>
      <c r="F102" s="7" t="str">
        <f aca="false">IFERROR(VLOOKUP(D102,'1. Country Master List'!$C$4:$D$53,2,FALSE()),"")</f>
        <v/>
      </c>
      <c r="G102" s="7" t="str">
        <f aca="false">IFERROR(VLOOKUP(D102,'1. Country Master List'!$C$4:$E$53,3,FALSE()),"")</f>
        <v/>
      </c>
      <c r="H102" s="24"/>
      <c r="I102" s="24"/>
      <c r="J102" s="24"/>
    </row>
    <row r="103" customFormat="false" ht="23.85" hidden="false" customHeight="false" outlineLevel="0" collapsed="false">
      <c r="A103" s="4" t="s">
        <v>268</v>
      </c>
      <c r="B103" s="17"/>
      <c r="C103" s="17"/>
      <c r="D103" s="17"/>
      <c r="E103" s="4" t="str">
        <f aca="false">IFERROR(VLOOKUP(D103,'1. Country Master List'!C:B,2,FALSE()),"")</f>
        <v/>
      </c>
      <c r="F103" s="4" t="str">
        <f aca="false">IFERROR(VLOOKUP(D103,'1. Country Master List'!$C$4:$D$53,2,FALSE()),"")</f>
        <v/>
      </c>
      <c r="G103" s="4" t="str">
        <f aca="false">IFERROR(VLOOKUP(D103,'1. Country Master List'!$C$4:$E$53,3,FALSE()),"")</f>
        <v/>
      </c>
      <c r="H103" s="17"/>
      <c r="I103" s="17"/>
      <c r="J103" s="17"/>
    </row>
    <row r="104" customFormat="false" ht="23.85" hidden="false" customHeight="false" outlineLevel="0" collapsed="false">
      <c r="A104" s="7" t="s">
        <v>269</v>
      </c>
      <c r="B104" s="24"/>
      <c r="C104" s="24"/>
      <c r="D104" s="24"/>
      <c r="E104" s="7" t="str">
        <f aca="false">IFERROR(VLOOKUP(D104,'1. Country Master List'!C:B,2,FALSE()),"")</f>
        <v/>
      </c>
      <c r="F104" s="7" t="str">
        <f aca="false">IFERROR(VLOOKUP(D104,'1. Country Master List'!$C$4:$D$53,2,FALSE()),"")</f>
        <v/>
      </c>
      <c r="G104" s="7" t="str">
        <f aca="false">IFERROR(VLOOKUP(D104,'1. Country Master List'!$C$4:$E$53,3,FALSE()),"")</f>
        <v/>
      </c>
      <c r="H104" s="24"/>
      <c r="I104" s="24"/>
      <c r="J104" s="24"/>
    </row>
    <row r="105" customFormat="false" ht="23.85" hidden="false" customHeight="false" outlineLevel="0" collapsed="false">
      <c r="A105" s="4" t="s">
        <v>270</v>
      </c>
      <c r="B105" s="17"/>
      <c r="C105" s="17"/>
      <c r="D105" s="17"/>
      <c r="E105" s="4" t="str">
        <f aca="false">IFERROR(VLOOKUP(D105,'1. Country Master List'!C:B,2,FALSE()),"")</f>
        <v/>
      </c>
      <c r="F105" s="4" t="str">
        <f aca="false">IFERROR(VLOOKUP(D105,'1. Country Master List'!$C$4:$D$53,2,FALSE()),"")</f>
        <v/>
      </c>
      <c r="G105" s="4" t="str">
        <f aca="false">IFERROR(VLOOKUP(D105,'1. Country Master List'!$C$4:$E$53,3,FALSE()),"")</f>
        <v/>
      </c>
      <c r="H105" s="17"/>
      <c r="I105" s="17"/>
      <c r="J105" s="17"/>
    </row>
    <row r="106" customFormat="false" ht="23.85" hidden="false" customHeight="false" outlineLevel="0" collapsed="false">
      <c r="A106" s="7" t="s">
        <v>271</v>
      </c>
      <c r="B106" s="24"/>
      <c r="C106" s="24"/>
      <c r="D106" s="24"/>
      <c r="E106" s="7" t="str">
        <f aca="false">IFERROR(VLOOKUP(D106,'1. Country Master List'!C:B,2,FALSE()),"")</f>
        <v/>
      </c>
      <c r="F106" s="7" t="str">
        <f aca="false">IFERROR(VLOOKUP(D106,'1. Country Master List'!$C$4:$D$53,2,FALSE()),"")</f>
        <v/>
      </c>
      <c r="G106" s="7" t="str">
        <f aca="false">IFERROR(VLOOKUP(D106,'1. Country Master List'!$C$4:$E$53,3,FALSE()),"")</f>
        <v/>
      </c>
      <c r="H106" s="24"/>
      <c r="I106" s="24"/>
      <c r="J106" s="24"/>
    </row>
    <row r="107" customFormat="false" ht="23.85" hidden="false" customHeight="false" outlineLevel="0" collapsed="false">
      <c r="A107" s="4" t="s">
        <v>272</v>
      </c>
      <c r="B107" s="17"/>
      <c r="C107" s="17"/>
      <c r="D107" s="17"/>
      <c r="E107" s="4" t="str">
        <f aca="false">IFERROR(VLOOKUP(D107,'1. Country Master List'!C:B,2,FALSE()),"")</f>
        <v/>
      </c>
      <c r="F107" s="4" t="str">
        <f aca="false">IFERROR(VLOOKUP(D107,'1. Country Master List'!$C$4:$D$53,2,FALSE()),"")</f>
        <v/>
      </c>
      <c r="G107" s="4" t="str">
        <f aca="false">IFERROR(VLOOKUP(D107,'1. Country Master List'!$C$4:$E$53,3,FALSE()),"")</f>
        <v/>
      </c>
      <c r="H107" s="17"/>
      <c r="I107" s="17"/>
      <c r="J107" s="17"/>
    </row>
    <row r="108" customFormat="false" ht="23.85" hidden="false" customHeight="false" outlineLevel="0" collapsed="false">
      <c r="A108" s="7" t="s">
        <v>273</v>
      </c>
      <c r="B108" s="24"/>
      <c r="C108" s="24"/>
      <c r="D108" s="24"/>
      <c r="E108" s="7" t="str">
        <f aca="false">IFERROR(VLOOKUP(D108,'1. Country Master List'!C:B,2,FALSE()),"")</f>
        <v/>
      </c>
      <c r="F108" s="7" t="str">
        <f aca="false">IFERROR(VLOOKUP(D108,'1. Country Master List'!$C$4:$D$53,2,FALSE()),"")</f>
        <v/>
      </c>
      <c r="G108" s="7" t="str">
        <f aca="false">IFERROR(VLOOKUP(D108,'1. Country Master List'!$C$4:$E$53,3,FALSE()),"")</f>
        <v/>
      </c>
      <c r="H108" s="24"/>
      <c r="I108" s="24"/>
      <c r="J108" s="24"/>
    </row>
    <row r="109" customFormat="false" ht="23.85" hidden="false" customHeight="false" outlineLevel="0" collapsed="false">
      <c r="A109" s="4" t="s">
        <v>274</v>
      </c>
      <c r="B109" s="17"/>
      <c r="C109" s="17"/>
      <c r="D109" s="17"/>
      <c r="E109" s="4" t="str">
        <f aca="false">IFERROR(VLOOKUP(D109,'1. Country Master List'!C:B,2,FALSE()),"")</f>
        <v/>
      </c>
      <c r="F109" s="4" t="str">
        <f aca="false">IFERROR(VLOOKUP(D109,'1. Country Master List'!$C$4:$D$53,2,FALSE()),"")</f>
        <v/>
      </c>
      <c r="G109" s="4" t="str">
        <f aca="false">IFERROR(VLOOKUP(D109,'1. Country Master List'!$C$4:$E$53,3,FALSE()),"")</f>
        <v/>
      </c>
      <c r="H109" s="17"/>
      <c r="I109" s="17"/>
      <c r="J109" s="17"/>
    </row>
    <row r="110" customFormat="false" ht="23.85" hidden="false" customHeight="false" outlineLevel="0" collapsed="false">
      <c r="A110" s="7" t="s">
        <v>275</v>
      </c>
      <c r="B110" s="24"/>
      <c r="C110" s="24"/>
      <c r="D110" s="24"/>
      <c r="E110" s="7" t="str">
        <f aca="false">IFERROR(VLOOKUP(D110,'1. Country Master List'!C:B,2,FALSE()),"")</f>
        <v/>
      </c>
      <c r="F110" s="7" t="str">
        <f aca="false">IFERROR(VLOOKUP(D110,'1. Country Master List'!$C$4:$D$53,2,FALSE()),"")</f>
        <v/>
      </c>
      <c r="G110" s="7" t="str">
        <f aca="false">IFERROR(VLOOKUP(D110,'1. Country Master List'!$C$4:$E$53,3,FALSE()),"")</f>
        <v/>
      </c>
      <c r="H110" s="24"/>
      <c r="I110" s="24"/>
      <c r="J110" s="24"/>
    </row>
    <row r="111" customFormat="false" ht="23.85" hidden="false" customHeight="false" outlineLevel="0" collapsed="false">
      <c r="A111" s="4" t="s">
        <v>276</v>
      </c>
      <c r="B111" s="17"/>
      <c r="C111" s="17"/>
      <c r="D111" s="17"/>
      <c r="E111" s="4" t="str">
        <f aca="false">IFERROR(VLOOKUP(D111,'1. Country Master List'!C:B,2,FALSE()),"")</f>
        <v/>
      </c>
      <c r="F111" s="4" t="str">
        <f aca="false">IFERROR(VLOOKUP(D111,'1. Country Master List'!$C$4:$D$53,2,FALSE()),"")</f>
        <v/>
      </c>
      <c r="G111" s="4" t="str">
        <f aca="false">IFERROR(VLOOKUP(D111,'1. Country Master List'!$C$4:$E$53,3,FALSE()),"")</f>
        <v/>
      </c>
      <c r="H111" s="17"/>
      <c r="I111" s="17"/>
      <c r="J111" s="17"/>
    </row>
    <row r="112" customFormat="false" ht="23.85" hidden="false" customHeight="false" outlineLevel="0" collapsed="false">
      <c r="A112" s="7" t="s">
        <v>277</v>
      </c>
      <c r="B112" s="24"/>
      <c r="C112" s="24"/>
      <c r="D112" s="24"/>
      <c r="E112" s="7" t="str">
        <f aca="false">IFERROR(VLOOKUP(D112,'1. Country Master List'!C:B,2,FALSE()),"")</f>
        <v/>
      </c>
      <c r="F112" s="7" t="str">
        <f aca="false">IFERROR(VLOOKUP(D112,'1. Country Master List'!$C$4:$D$53,2,FALSE()),"")</f>
        <v/>
      </c>
      <c r="G112" s="7" t="str">
        <f aca="false">IFERROR(VLOOKUP(D112,'1. Country Master List'!$C$4:$E$53,3,FALSE()),"")</f>
        <v/>
      </c>
      <c r="H112" s="24"/>
      <c r="I112" s="24"/>
      <c r="J112" s="24"/>
    </row>
    <row r="113" customFormat="false" ht="23.85" hidden="false" customHeight="false" outlineLevel="0" collapsed="false">
      <c r="A113" s="4" t="s">
        <v>278</v>
      </c>
      <c r="B113" s="17"/>
      <c r="C113" s="17"/>
      <c r="D113" s="17"/>
      <c r="E113" s="4" t="str">
        <f aca="false">IFERROR(VLOOKUP(D113,'1. Country Master List'!C:B,2,FALSE()),"")</f>
        <v/>
      </c>
      <c r="F113" s="4" t="str">
        <f aca="false">IFERROR(VLOOKUP(D113,'1. Country Master List'!$C$4:$D$53,2,FALSE()),"")</f>
        <v/>
      </c>
      <c r="G113" s="4" t="str">
        <f aca="false">IFERROR(VLOOKUP(D113,'1. Country Master List'!$C$4:$E$53,3,FALSE()),"")</f>
        <v/>
      </c>
      <c r="H113" s="17"/>
      <c r="I113" s="17"/>
      <c r="J113" s="17"/>
    </row>
    <row r="114" customFormat="false" ht="23.85" hidden="false" customHeight="false" outlineLevel="0" collapsed="false">
      <c r="A114" s="7" t="s">
        <v>279</v>
      </c>
      <c r="B114" s="24"/>
      <c r="C114" s="24"/>
      <c r="D114" s="24"/>
      <c r="E114" s="7" t="str">
        <f aca="false">IFERROR(VLOOKUP(D114,'1. Country Master List'!C:B,2,FALSE()),"")</f>
        <v/>
      </c>
      <c r="F114" s="7" t="str">
        <f aca="false">IFERROR(VLOOKUP(D114,'1. Country Master List'!$C$4:$D$53,2,FALSE()),"")</f>
        <v/>
      </c>
      <c r="G114" s="7" t="str">
        <f aca="false">IFERROR(VLOOKUP(D114,'1. Country Master List'!$C$4:$E$53,3,FALSE()),"")</f>
        <v/>
      </c>
      <c r="H114" s="24"/>
      <c r="I114" s="24"/>
      <c r="J114" s="24"/>
    </row>
    <row r="115" customFormat="false" ht="23.85" hidden="false" customHeight="false" outlineLevel="0" collapsed="false">
      <c r="A115" s="4" t="s">
        <v>280</v>
      </c>
      <c r="B115" s="17"/>
      <c r="C115" s="17"/>
      <c r="D115" s="17"/>
      <c r="E115" s="4" t="str">
        <f aca="false">IFERROR(VLOOKUP(D115,'1. Country Master List'!C:B,2,FALSE()),"")</f>
        <v/>
      </c>
      <c r="F115" s="4" t="str">
        <f aca="false">IFERROR(VLOOKUP(D115,'1. Country Master List'!$C$4:$D$53,2,FALSE()),"")</f>
        <v/>
      </c>
      <c r="G115" s="4" t="str">
        <f aca="false">IFERROR(VLOOKUP(D115,'1. Country Master List'!$C$4:$E$53,3,FALSE()),"")</f>
        <v/>
      </c>
      <c r="H115" s="17"/>
      <c r="I115" s="17"/>
      <c r="J115" s="17"/>
    </row>
    <row r="116" customFormat="false" ht="23.85" hidden="false" customHeight="false" outlineLevel="0" collapsed="false">
      <c r="A116" s="7" t="s">
        <v>281</v>
      </c>
      <c r="B116" s="24"/>
      <c r="C116" s="24"/>
      <c r="D116" s="24"/>
      <c r="E116" s="7" t="str">
        <f aca="false">IFERROR(VLOOKUP(D116,'1. Country Master List'!C:B,2,FALSE()),"")</f>
        <v/>
      </c>
      <c r="F116" s="7" t="str">
        <f aca="false">IFERROR(VLOOKUP(D116,'1. Country Master List'!$C$4:$D$53,2,FALSE()),"")</f>
        <v/>
      </c>
      <c r="G116" s="7" t="str">
        <f aca="false">IFERROR(VLOOKUP(D116,'1. Country Master List'!$C$4:$E$53,3,FALSE()),"")</f>
        <v/>
      </c>
      <c r="H116" s="24"/>
      <c r="I116" s="24"/>
      <c r="J116" s="24"/>
    </row>
    <row r="117" customFormat="false" ht="23.85" hidden="false" customHeight="false" outlineLevel="0" collapsed="false">
      <c r="A117" s="4" t="s">
        <v>282</v>
      </c>
      <c r="B117" s="17"/>
      <c r="C117" s="17"/>
      <c r="D117" s="17"/>
      <c r="E117" s="4" t="str">
        <f aca="false">IFERROR(VLOOKUP(D117,'1. Country Master List'!C:B,2,FALSE()),"")</f>
        <v/>
      </c>
      <c r="F117" s="4" t="str">
        <f aca="false">IFERROR(VLOOKUP(D117,'1. Country Master List'!$C$4:$D$53,2,FALSE()),"")</f>
        <v/>
      </c>
      <c r="G117" s="4" t="str">
        <f aca="false">IFERROR(VLOOKUP(D117,'1. Country Master List'!$C$4:$E$53,3,FALSE()),"")</f>
        <v/>
      </c>
      <c r="H117" s="17"/>
      <c r="I117" s="17"/>
      <c r="J117" s="17"/>
    </row>
    <row r="118" customFormat="false" ht="23.85" hidden="false" customHeight="false" outlineLevel="0" collapsed="false">
      <c r="A118" s="7" t="s">
        <v>283</v>
      </c>
      <c r="B118" s="24"/>
      <c r="C118" s="24"/>
      <c r="D118" s="24"/>
      <c r="E118" s="7" t="str">
        <f aca="false">IFERROR(VLOOKUP(D118,'1. Country Master List'!C:B,2,FALSE()),"")</f>
        <v/>
      </c>
      <c r="F118" s="7" t="str">
        <f aca="false">IFERROR(VLOOKUP(D118,'1. Country Master List'!$C$4:$D$53,2,FALSE()),"")</f>
        <v/>
      </c>
      <c r="G118" s="7" t="str">
        <f aca="false">IFERROR(VLOOKUP(D118,'1. Country Master List'!$C$4:$E$53,3,FALSE()),"")</f>
        <v/>
      </c>
      <c r="H118" s="24"/>
      <c r="I118" s="24"/>
      <c r="J118" s="24"/>
    </row>
    <row r="119" customFormat="false" ht="23.85" hidden="false" customHeight="false" outlineLevel="0" collapsed="false">
      <c r="A119" s="4" t="s">
        <v>284</v>
      </c>
      <c r="B119" s="17"/>
      <c r="C119" s="17"/>
      <c r="D119" s="17"/>
      <c r="E119" s="4" t="str">
        <f aca="false">IFERROR(VLOOKUP(D119,'1. Country Master List'!C:B,2,FALSE()),"")</f>
        <v/>
      </c>
      <c r="F119" s="4" t="str">
        <f aca="false">IFERROR(VLOOKUP(D119,'1. Country Master List'!$C$4:$D$53,2,FALSE()),"")</f>
        <v/>
      </c>
      <c r="G119" s="4" t="str">
        <f aca="false">IFERROR(VLOOKUP(D119,'1. Country Master List'!$C$4:$E$53,3,FALSE()),"")</f>
        <v/>
      </c>
      <c r="H119" s="17"/>
      <c r="I119" s="17"/>
      <c r="J119" s="17"/>
    </row>
    <row r="120" customFormat="false" ht="23.85" hidden="false" customHeight="false" outlineLevel="0" collapsed="false">
      <c r="A120" s="7" t="s">
        <v>285</v>
      </c>
      <c r="B120" s="24"/>
      <c r="C120" s="24"/>
      <c r="D120" s="24"/>
      <c r="E120" s="7" t="str">
        <f aca="false">IFERROR(VLOOKUP(D120,'1. Country Master List'!C:B,2,FALSE()),"")</f>
        <v/>
      </c>
      <c r="F120" s="7" t="str">
        <f aca="false">IFERROR(VLOOKUP(D120,'1. Country Master List'!$C$4:$D$53,2,FALSE()),"")</f>
        <v/>
      </c>
      <c r="G120" s="7" t="str">
        <f aca="false">IFERROR(VLOOKUP(D120,'1. Country Master List'!$C$4:$E$53,3,FALSE()),"")</f>
        <v/>
      </c>
      <c r="H120" s="24"/>
      <c r="I120" s="24"/>
      <c r="J120" s="24"/>
    </row>
    <row r="121" customFormat="false" ht="23.85" hidden="false" customHeight="false" outlineLevel="0" collapsed="false">
      <c r="A121" s="4" t="s">
        <v>286</v>
      </c>
      <c r="B121" s="17"/>
      <c r="C121" s="17"/>
      <c r="D121" s="17"/>
      <c r="E121" s="4" t="str">
        <f aca="false">IFERROR(VLOOKUP(D121,'1. Country Master List'!C:B,2,FALSE()),"")</f>
        <v/>
      </c>
      <c r="F121" s="4" t="str">
        <f aca="false">IFERROR(VLOOKUP(D121,'1. Country Master List'!$C$4:$D$53,2,FALSE()),"")</f>
        <v/>
      </c>
      <c r="G121" s="4" t="str">
        <f aca="false">IFERROR(VLOOKUP(D121,'1. Country Master List'!$C$4:$E$53,3,FALSE()),"")</f>
        <v/>
      </c>
      <c r="H121" s="17"/>
      <c r="I121" s="17"/>
      <c r="J121" s="17"/>
    </row>
    <row r="122" customFormat="false" ht="23.85" hidden="false" customHeight="false" outlineLevel="0" collapsed="false">
      <c r="A122" s="7" t="s">
        <v>287</v>
      </c>
      <c r="B122" s="24"/>
      <c r="C122" s="24"/>
      <c r="D122" s="24"/>
      <c r="E122" s="7" t="str">
        <f aca="false">IFERROR(VLOOKUP(D122,'1. Country Master List'!C:B,2,FALSE()),"")</f>
        <v/>
      </c>
      <c r="F122" s="7" t="str">
        <f aca="false">IFERROR(VLOOKUP(D122,'1. Country Master List'!$C$4:$D$53,2,FALSE()),"")</f>
        <v/>
      </c>
      <c r="G122" s="7" t="str">
        <f aca="false">IFERROR(VLOOKUP(D122,'1. Country Master List'!$C$4:$E$53,3,FALSE()),"")</f>
        <v/>
      </c>
      <c r="H122" s="24"/>
      <c r="I122" s="24"/>
      <c r="J122" s="24"/>
    </row>
    <row r="123" customFormat="false" ht="23.85" hidden="false" customHeight="false" outlineLevel="0" collapsed="false">
      <c r="A123" s="4" t="s">
        <v>288</v>
      </c>
      <c r="B123" s="17"/>
      <c r="C123" s="17"/>
      <c r="D123" s="17"/>
      <c r="E123" s="4" t="str">
        <f aca="false">IFERROR(VLOOKUP(D123,'1. Country Master List'!C:B,2,FALSE()),"")</f>
        <v/>
      </c>
      <c r="F123" s="4" t="str">
        <f aca="false">IFERROR(VLOOKUP(D123,'1. Country Master List'!$C$4:$D$53,2,FALSE()),"")</f>
        <v/>
      </c>
      <c r="G123" s="4" t="str">
        <f aca="false">IFERROR(VLOOKUP(D123,'1. Country Master List'!$C$4:$E$53,3,FALSE()),"")</f>
        <v/>
      </c>
      <c r="H123" s="17"/>
      <c r="I123" s="17"/>
      <c r="J123" s="17"/>
    </row>
    <row r="124" customFormat="false" ht="23.85" hidden="false" customHeight="false" outlineLevel="0" collapsed="false">
      <c r="A124" s="7" t="s">
        <v>289</v>
      </c>
      <c r="B124" s="24"/>
      <c r="C124" s="24"/>
      <c r="D124" s="24"/>
      <c r="E124" s="7" t="str">
        <f aca="false">IFERROR(VLOOKUP(D124,'1. Country Master List'!C:B,2,FALSE()),"")</f>
        <v/>
      </c>
      <c r="F124" s="7" t="str">
        <f aca="false">IFERROR(VLOOKUP(D124,'1. Country Master List'!$C$4:$D$53,2,FALSE()),"")</f>
        <v/>
      </c>
      <c r="G124" s="7" t="str">
        <f aca="false">IFERROR(VLOOKUP(D124,'1. Country Master List'!$C$4:$E$53,3,FALSE()),"")</f>
        <v/>
      </c>
      <c r="H124" s="24"/>
      <c r="I124" s="24"/>
      <c r="J124" s="24"/>
    </row>
    <row r="125" customFormat="false" ht="23.85" hidden="false" customHeight="false" outlineLevel="0" collapsed="false">
      <c r="A125" s="4" t="s">
        <v>290</v>
      </c>
      <c r="B125" s="17"/>
      <c r="C125" s="17"/>
      <c r="D125" s="17"/>
      <c r="E125" s="4" t="str">
        <f aca="false">IFERROR(VLOOKUP(D125,'1. Country Master List'!C:B,2,FALSE()),"")</f>
        <v/>
      </c>
      <c r="F125" s="4" t="str">
        <f aca="false">IFERROR(VLOOKUP(D125,'1. Country Master List'!$C$4:$D$53,2,FALSE()),"")</f>
        <v/>
      </c>
      <c r="G125" s="4" t="str">
        <f aca="false">IFERROR(VLOOKUP(D125,'1. Country Master List'!$C$4:$E$53,3,FALSE()),"")</f>
        <v/>
      </c>
      <c r="H125" s="17"/>
      <c r="I125" s="17"/>
      <c r="J125" s="17"/>
    </row>
    <row r="126" customFormat="false" ht="23.85" hidden="false" customHeight="false" outlineLevel="0" collapsed="false">
      <c r="A126" s="7" t="s">
        <v>291</v>
      </c>
      <c r="B126" s="24"/>
      <c r="C126" s="24"/>
      <c r="D126" s="24"/>
      <c r="E126" s="7" t="str">
        <f aca="false">IFERROR(VLOOKUP(D126,'1. Country Master List'!C:B,2,FALSE()),"")</f>
        <v/>
      </c>
      <c r="F126" s="7" t="str">
        <f aca="false">IFERROR(VLOOKUP(D126,'1. Country Master List'!$C$4:$D$53,2,FALSE()),"")</f>
        <v/>
      </c>
      <c r="G126" s="7" t="str">
        <f aca="false">IFERROR(VLOOKUP(D126,'1. Country Master List'!$C$4:$E$53,3,FALSE()),"")</f>
        <v/>
      </c>
      <c r="H126" s="24"/>
      <c r="I126" s="24"/>
      <c r="J126" s="24"/>
    </row>
    <row r="127" customFormat="false" ht="23.85" hidden="false" customHeight="false" outlineLevel="0" collapsed="false">
      <c r="A127" s="4" t="s">
        <v>292</v>
      </c>
      <c r="B127" s="17"/>
      <c r="C127" s="17"/>
      <c r="D127" s="17"/>
      <c r="E127" s="4" t="str">
        <f aca="false">IFERROR(VLOOKUP(D127,'1. Country Master List'!C:B,2,FALSE()),"")</f>
        <v/>
      </c>
      <c r="F127" s="4" t="str">
        <f aca="false">IFERROR(VLOOKUP(D127,'1. Country Master List'!$C$4:$D$53,2,FALSE()),"")</f>
        <v/>
      </c>
      <c r="G127" s="4" t="str">
        <f aca="false">IFERROR(VLOOKUP(D127,'1. Country Master List'!$C$4:$E$53,3,FALSE()),"")</f>
        <v/>
      </c>
      <c r="H127" s="17"/>
      <c r="I127" s="17"/>
      <c r="J127" s="17"/>
    </row>
    <row r="128" customFormat="false" ht="23.85" hidden="false" customHeight="false" outlineLevel="0" collapsed="false">
      <c r="A128" s="7" t="s">
        <v>293</v>
      </c>
      <c r="B128" s="24"/>
      <c r="C128" s="24"/>
      <c r="D128" s="24"/>
      <c r="E128" s="7" t="str">
        <f aca="false">IFERROR(VLOOKUP(D128,'1. Country Master List'!C:B,2,FALSE()),"")</f>
        <v/>
      </c>
      <c r="F128" s="7" t="str">
        <f aca="false">IFERROR(VLOOKUP(D128,'1. Country Master List'!$C$4:$D$53,2,FALSE()),"")</f>
        <v/>
      </c>
      <c r="G128" s="7" t="str">
        <f aca="false">IFERROR(VLOOKUP(D128,'1. Country Master List'!$C$4:$E$53,3,FALSE()),"")</f>
        <v/>
      </c>
      <c r="H128" s="24"/>
      <c r="I128" s="24"/>
      <c r="J128" s="24"/>
    </row>
    <row r="129" customFormat="false" ht="23.85" hidden="false" customHeight="false" outlineLevel="0" collapsed="false">
      <c r="A129" s="4" t="s">
        <v>294</v>
      </c>
      <c r="B129" s="17"/>
      <c r="C129" s="17"/>
      <c r="D129" s="17"/>
      <c r="E129" s="4" t="str">
        <f aca="false">IFERROR(VLOOKUP(D129,'1. Country Master List'!C:B,2,FALSE()),"")</f>
        <v/>
      </c>
      <c r="F129" s="4" t="str">
        <f aca="false">IFERROR(VLOOKUP(D129,'1. Country Master List'!$C$4:$D$53,2,FALSE()),"")</f>
        <v/>
      </c>
      <c r="G129" s="4" t="str">
        <f aca="false">IFERROR(VLOOKUP(D129,'1. Country Master List'!$C$4:$E$53,3,FALSE()),"")</f>
        <v/>
      </c>
      <c r="H129" s="17"/>
      <c r="I129" s="17"/>
      <c r="J129" s="17"/>
    </row>
    <row r="130" customFormat="false" ht="23.85" hidden="false" customHeight="false" outlineLevel="0" collapsed="false">
      <c r="A130" s="7" t="s">
        <v>295</v>
      </c>
      <c r="B130" s="24"/>
      <c r="C130" s="24"/>
      <c r="D130" s="24"/>
      <c r="E130" s="7" t="str">
        <f aca="false">IFERROR(VLOOKUP(D130,'1. Country Master List'!C:B,2,FALSE()),"")</f>
        <v/>
      </c>
      <c r="F130" s="7" t="str">
        <f aca="false">IFERROR(VLOOKUP(D130,'1. Country Master List'!$C$4:$D$53,2,FALSE()),"")</f>
        <v/>
      </c>
      <c r="G130" s="7" t="str">
        <f aca="false">IFERROR(VLOOKUP(D130,'1. Country Master List'!$C$4:$E$53,3,FALSE()),"")</f>
        <v/>
      </c>
      <c r="H130" s="24"/>
      <c r="I130" s="24"/>
      <c r="J130" s="24"/>
    </row>
    <row r="131" customFormat="false" ht="23.85" hidden="false" customHeight="false" outlineLevel="0" collapsed="false">
      <c r="A131" s="4" t="s">
        <v>296</v>
      </c>
      <c r="B131" s="17"/>
      <c r="C131" s="17"/>
      <c r="D131" s="17"/>
      <c r="E131" s="4" t="str">
        <f aca="false">IFERROR(VLOOKUP(D131,'1. Country Master List'!C:B,2,FALSE()),"")</f>
        <v/>
      </c>
      <c r="F131" s="4" t="str">
        <f aca="false">IFERROR(VLOOKUP(D131,'1. Country Master List'!$C$4:$D$53,2,FALSE()),"")</f>
        <v/>
      </c>
      <c r="G131" s="4" t="str">
        <f aca="false">IFERROR(VLOOKUP(D131,'1. Country Master List'!$C$4:$E$53,3,FALSE()),"")</f>
        <v/>
      </c>
      <c r="H131" s="17"/>
      <c r="I131" s="17"/>
      <c r="J131" s="17"/>
    </row>
    <row r="132" customFormat="false" ht="23.85" hidden="false" customHeight="false" outlineLevel="0" collapsed="false">
      <c r="A132" s="7" t="s">
        <v>297</v>
      </c>
      <c r="B132" s="24"/>
      <c r="C132" s="24"/>
      <c r="D132" s="24"/>
      <c r="E132" s="7" t="str">
        <f aca="false">IFERROR(VLOOKUP(D132,'1. Country Master List'!C:B,2,FALSE()),"")</f>
        <v/>
      </c>
      <c r="F132" s="7" t="str">
        <f aca="false">IFERROR(VLOOKUP(D132,'1. Country Master List'!$C$4:$D$53,2,FALSE()),"")</f>
        <v/>
      </c>
      <c r="G132" s="7" t="str">
        <f aca="false">IFERROR(VLOOKUP(D132,'1. Country Master List'!$C$4:$E$53,3,FALSE()),"")</f>
        <v/>
      </c>
      <c r="H132" s="24"/>
      <c r="I132" s="24"/>
      <c r="J132" s="24"/>
    </row>
    <row r="133" customFormat="false" ht="23.85" hidden="false" customHeight="false" outlineLevel="0" collapsed="false">
      <c r="A133" s="4" t="s">
        <v>298</v>
      </c>
      <c r="B133" s="17"/>
      <c r="C133" s="17"/>
      <c r="D133" s="17"/>
      <c r="E133" s="4" t="str">
        <f aca="false">IFERROR(VLOOKUP(D133,'1. Country Master List'!C:B,2,FALSE()),"")</f>
        <v/>
      </c>
      <c r="F133" s="4" t="str">
        <f aca="false">IFERROR(VLOOKUP(D133,'1. Country Master List'!$C$4:$D$53,2,FALSE()),"")</f>
        <v/>
      </c>
      <c r="G133" s="4" t="str">
        <f aca="false">IFERROR(VLOOKUP(D133,'1. Country Master List'!$C$4:$E$53,3,FALSE()),"")</f>
        <v/>
      </c>
      <c r="H133" s="17"/>
      <c r="I133" s="17"/>
      <c r="J133" s="17"/>
    </row>
    <row r="134" customFormat="false" ht="23.85" hidden="false" customHeight="false" outlineLevel="0" collapsed="false">
      <c r="A134" s="7" t="s">
        <v>299</v>
      </c>
      <c r="B134" s="24"/>
      <c r="C134" s="24"/>
      <c r="D134" s="24"/>
      <c r="E134" s="7" t="str">
        <f aca="false">IFERROR(VLOOKUP(D134,'1. Country Master List'!C:B,2,FALSE()),"")</f>
        <v/>
      </c>
      <c r="F134" s="7" t="str">
        <f aca="false">IFERROR(VLOOKUP(D134,'1. Country Master List'!$C$4:$D$53,2,FALSE()),"")</f>
        <v/>
      </c>
      <c r="G134" s="7" t="str">
        <f aca="false">IFERROR(VLOOKUP(D134,'1. Country Master List'!$C$4:$E$53,3,FALSE()),"")</f>
        <v/>
      </c>
      <c r="H134" s="24"/>
      <c r="I134" s="24"/>
      <c r="J134" s="24"/>
    </row>
    <row r="135" customFormat="false" ht="23.85" hidden="false" customHeight="false" outlineLevel="0" collapsed="false">
      <c r="A135" s="4" t="s">
        <v>300</v>
      </c>
      <c r="B135" s="17"/>
      <c r="C135" s="17"/>
      <c r="D135" s="17"/>
      <c r="E135" s="4" t="str">
        <f aca="false">IFERROR(VLOOKUP(D135,'1. Country Master List'!C:B,2,FALSE()),"")</f>
        <v/>
      </c>
      <c r="F135" s="4" t="str">
        <f aca="false">IFERROR(VLOOKUP(D135,'1. Country Master List'!$C$4:$D$53,2,FALSE()),"")</f>
        <v/>
      </c>
      <c r="G135" s="4" t="str">
        <f aca="false">IFERROR(VLOOKUP(D135,'1. Country Master List'!$C$4:$E$53,3,FALSE()),"")</f>
        <v/>
      </c>
      <c r="H135" s="17"/>
      <c r="I135" s="17"/>
      <c r="J135" s="17"/>
    </row>
    <row r="136" customFormat="false" ht="23.85" hidden="false" customHeight="false" outlineLevel="0" collapsed="false">
      <c r="A136" s="7" t="s">
        <v>301</v>
      </c>
      <c r="B136" s="24"/>
      <c r="C136" s="24"/>
      <c r="D136" s="24"/>
      <c r="E136" s="7" t="str">
        <f aca="false">IFERROR(VLOOKUP(D136,'1. Country Master List'!C:B,2,FALSE()),"")</f>
        <v/>
      </c>
      <c r="F136" s="7" t="str">
        <f aca="false">IFERROR(VLOOKUP(D136,'1. Country Master List'!$C$4:$D$53,2,FALSE()),"")</f>
        <v/>
      </c>
      <c r="G136" s="7" t="str">
        <f aca="false">IFERROR(VLOOKUP(D136,'1. Country Master List'!$C$4:$E$53,3,FALSE()),"")</f>
        <v/>
      </c>
      <c r="H136" s="24"/>
      <c r="I136" s="24"/>
      <c r="J136" s="24"/>
    </row>
    <row r="137" customFormat="false" ht="23.85" hidden="false" customHeight="false" outlineLevel="0" collapsed="false">
      <c r="A137" s="4" t="s">
        <v>302</v>
      </c>
      <c r="B137" s="17"/>
      <c r="C137" s="17"/>
      <c r="D137" s="17"/>
      <c r="E137" s="4" t="str">
        <f aca="false">IFERROR(VLOOKUP(D137,'1. Country Master List'!C:B,2,FALSE()),"")</f>
        <v/>
      </c>
      <c r="F137" s="4" t="str">
        <f aca="false">IFERROR(VLOOKUP(D137,'1. Country Master List'!$C$4:$D$53,2,FALSE()),"")</f>
        <v/>
      </c>
      <c r="G137" s="4" t="str">
        <f aca="false">IFERROR(VLOOKUP(D137,'1. Country Master List'!$C$4:$E$53,3,FALSE()),"")</f>
        <v/>
      </c>
      <c r="H137" s="17"/>
      <c r="I137" s="17"/>
      <c r="J137" s="17"/>
    </row>
    <row r="138" customFormat="false" ht="23.85" hidden="false" customHeight="false" outlineLevel="0" collapsed="false">
      <c r="A138" s="7" t="s">
        <v>303</v>
      </c>
      <c r="B138" s="24"/>
      <c r="C138" s="24"/>
      <c r="D138" s="24"/>
      <c r="E138" s="7" t="str">
        <f aca="false">IFERROR(VLOOKUP(D138,'1. Country Master List'!C:B,2,FALSE()),"")</f>
        <v/>
      </c>
      <c r="F138" s="7" t="str">
        <f aca="false">IFERROR(VLOOKUP(D138,'1. Country Master List'!$C$4:$D$53,2,FALSE()),"")</f>
        <v/>
      </c>
      <c r="G138" s="7" t="str">
        <f aca="false">IFERROR(VLOOKUP(D138,'1. Country Master List'!$C$4:$E$53,3,FALSE()),"")</f>
        <v/>
      </c>
      <c r="H138" s="24"/>
      <c r="I138" s="24"/>
      <c r="J138" s="24"/>
    </row>
    <row r="139" customFormat="false" ht="23.85" hidden="false" customHeight="false" outlineLevel="0" collapsed="false">
      <c r="A139" s="4" t="s">
        <v>304</v>
      </c>
      <c r="B139" s="17"/>
      <c r="C139" s="17"/>
      <c r="D139" s="17"/>
      <c r="E139" s="4" t="str">
        <f aca="false">IFERROR(VLOOKUP(D139,'1. Country Master List'!C:B,2,FALSE()),"")</f>
        <v/>
      </c>
      <c r="F139" s="4" t="str">
        <f aca="false">IFERROR(VLOOKUP(D139,'1. Country Master List'!$C$4:$D$53,2,FALSE()),"")</f>
        <v/>
      </c>
      <c r="G139" s="4" t="str">
        <f aca="false">IFERROR(VLOOKUP(D139,'1. Country Master List'!$C$4:$E$53,3,FALSE()),"")</f>
        <v/>
      </c>
      <c r="H139" s="17"/>
      <c r="I139" s="17"/>
      <c r="J139" s="17"/>
    </row>
    <row r="140" customFormat="false" ht="23.85" hidden="false" customHeight="false" outlineLevel="0" collapsed="false">
      <c r="A140" s="7" t="s">
        <v>305</v>
      </c>
      <c r="B140" s="24"/>
      <c r="C140" s="24"/>
      <c r="D140" s="24"/>
      <c r="E140" s="7" t="str">
        <f aca="false">IFERROR(VLOOKUP(D140,'1. Country Master List'!C:B,2,FALSE()),"")</f>
        <v/>
      </c>
      <c r="F140" s="7" t="str">
        <f aca="false">IFERROR(VLOOKUP(D140,'1. Country Master List'!$C$4:$D$53,2,FALSE()),"")</f>
        <v/>
      </c>
      <c r="G140" s="7" t="str">
        <f aca="false">IFERROR(VLOOKUP(D140,'1. Country Master List'!$C$4:$E$53,3,FALSE()),"")</f>
        <v/>
      </c>
      <c r="H140" s="24"/>
      <c r="I140" s="24"/>
      <c r="J140" s="24"/>
    </row>
    <row r="141" customFormat="false" ht="23.85" hidden="false" customHeight="false" outlineLevel="0" collapsed="false">
      <c r="A141" s="4" t="s">
        <v>306</v>
      </c>
      <c r="B141" s="17"/>
      <c r="C141" s="17"/>
      <c r="D141" s="17"/>
      <c r="E141" s="4" t="str">
        <f aca="false">IFERROR(VLOOKUP(D141,'1. Country Master List'!C:B,2,FALSE()),"")</f>
        <v/>
      </c>
      <c r="F141" s="4" t="str">
        <f aca="false">IFERROR(VLOOKUP(D141,'1. Country Master List'!$C$4:$D$53,2,FALSE()),"")</f>
        <v/>
      </c>
      <c r="G141" s="4" t="str">
        <f aca="false">IFERROR(VLOOKUP(D141,'1. Country Master List'!$C$4:$E$53,3,FALSE()),"")</f>
        <v/>
      </c>
      <c r="H141" s="17"/>
      <c r="I141" s="17"/>
      <c r="J141" s="17"/>
    </row>
    <row r="142" customFormat="false" ht="23.85" hidden="false" customHeight="false" outlineLevel="0" collapsed="false">
      <c r="A142" s="7" t="s">
        <v>307</v>
      </c>
      <c r="B142" s="24"/>
      <c r="C142" s="24"/>
      <c r="D142" s="24"/>
      <c r="E142" s="7" t="str">
        <f aca="false">IFERROR(VLOOKUP(D142,'1. Country Master List'!C:B,2,FALSE()),"")</f>
        <v/>
      </c>
      <c r="F142" s="7" t="str">
        <f aca="false">IFERROR(VLOOKUP(D142,'1. Country Master List'!$C$4:$D$53,2,FALSE()),"")</f>
        <v/>
      </c>
      <c r="G142" s="7" t="str">
        <f aca="false">IFERROR(VLOOKUP(D142,'1. Country Master List'!$C$4:$E$53,3,FALSE()),"")</f>
        <v/>
      </c>
      <c r="H142" s="24"/>
      <c r="I142" s="24"/>
      <c r="J142" s="24"/>
    </row>
    <row r="143" customFormat="false" ht="23.85" hidden="false" customHeight="false" outlineLevel="0" collapsed="false">
      <c r="A143" s="4" t="s">
        <v>308</v>
      </c>
      <c r="B143" s="17"/>
      <c r="C143" s="17"/>
      <c r="D143" s="17"/>
      <c r="E143" s="4" t="str">
        <f aca="false">IFERROR(VLOOKUP(D143,'1. Country Master List'!C:B,2,FALSE()),"")</f>
        <v/>
      </c>
      <c r="F143" s="4" t="str">
        <f aca="false">IFERROR(VLOOKUP(D143,'1. Country Master List'!$C$4:$D$53,2,FALSE()),"")</f>
        <v/>
      </c>
      <c r="G143" s="4" t="str">
        <f aca="false">IFERROR(VLOOKUP(D143,'1. Country Master List'!$C$4:$E$53,3,FALSE()),"")</f>
        <v/>
      </c>
      <c r="H143" s="17"/>
      <c r="I143" s="17"/>
      <c r="J143" s="17"/>
    </row>
    <row r="144" customFormat="false" ht="23.85" hidden="false" customHeight="false" outlineLevel="0" collapsed="false">
      <c r="A144" s="7" t="s">
        <v>309</v>
      </c>
      <c r="B144" s="24"/>
      <c r="C144" s="24"/>
      <c r="D144" s="24"/>
      <c r="E144" s="7" t="str">
        <f aca="false">IFERROR(VLOOKUP(D144,'1. Country Master List'!C:B,2,FALSE()),"")</f>
        <v/>
      </c>
      <c r="F144" s="7" t="str">
        <f aca="false">IFERROR(VLOOKUP(D144,'1. Country Master List'!$C$4:$D$53,2,FALSE()),"")</f>
        <v/>
      </c>
      <c r="G144" s="7" t="str">
        <f aca="false">IFERROR(VLOOKUP(D144,'1. Country Master List'!$C$4:$E$53,3,FALSE()),"")</f>
        <v/>
      </c>
      <c r="H144" s="24"/>
      <c r="I144" s="24"/>
      <c r="J144" s="24"/>
    </row>
    <row r="145" customFormat="false" ht="23.85" hidden="false" customHeight="false" outlineLevel="0" collapsed="false">
      <c r="A145" s="4" t="s">
        <v>310</v>
      </c>
      <c r="B145" s="17"/>
      <c r="C145" s="17"/>
      <c r="D145" s="17"/>
      <c r="E145" s="4" t="str">
        <f aca="false">IFERROR(VLOOKUP(D145,'1. Country Master List'!C:B,2,FALSE()),"")</f>
        <v/>
      </c>
      <c r="F145" s="4" t="str">
        <f aca="false">IFERROR(VLOOKUP(D145,'1. Country Master List'!$C$4:$D$53,2,FALSE()),"")</f>
        <v/>
      </c>
      <c r="G145" s="4" t="str">
        <f aca="false">IFERROR(VLOOKUP(D145,'1. Country Master List'!$C$4:$E$53,3,FALSE()),"")</f>
        <v/>
      </c>
      <c r="H145" s="17"/>
      <c r="I145" s="17"/>
      <c r="J145" s="17"/>
    </row>
    <row r="146" customFormat="false" ht="23.85" hidden="false" customHeight="false" outlineLevel="0" collapsed="false">
      <c r="A146" s="7" t="s">
        <v>311</v>
      </c>
      <c r="B146" s="24"/>
      <c r="C146" s="24"/>
      <c r="D146" s="24"/>
      <c r="E146" s="7" t="str">
        <f aca="false">IFERROR(VLOOKUP(D146,'1. Country Master List'!C:B,2,FALSE()),"")</f>
        <v/>
      </c>
      <c r="F146" s="7" t="str">
        <f aca="false">IFERROR(VLOOKUP(D146,'1. Country Master List'!$C$4:$D$53,2,FALSE()),"")</f>
        <v/>
      </c>
      <c r="G146" s="7" t="str">
        <f aca="false">IFERROR(VLOOKUP(D146,'1. Country Master List'!$C$4:$E$53,3,FALSE()),"")</f>
        <v/>
      </c>
      <c r="H146" s="24"/>
      <c r="I146" s="24"/>
      <c r="J146" s="24"/>
    </row>
    <row r="147" customFormat="false" ht="23.85" hidden="false" customHeight="false" outlineLevel="0" collapsed="false">
      <c r="A147" s="4" t="s">
        <v>312</v>
      </c>
      <c r="B147" s="17"/>
      <c r="C147" s="17"/>
      <c r="D147" s="17"/>
      <c r="E147" s="4" t="str">
        <f aca="false">IFERROR(VLOOKUP(D147,'1. Country Master List'!C:B,2,FALSE()),"")</f>
        <v/>
      </c>
      <c r="F147" s="4" t="str">
        <f aca="false">IFERROR(VLOOKUP(D147,'1. Country Master List'!$C$4:$D$53,2,FALSE()),"")</f>
        <v/>
      </c>
      <c r="G147" s="4" t="str">
        <f aca="false">IFERROR(VLOOKUP(D147,'1. Country Master List'!$C$4:$E$53,3,FALSE()),"")</f>
        <v/>
      </c>
      <c r="H147" s="17"/>
      <c r="I147" s="17"/>
      <c r="J147" s="17"/>
    </row>
    <row r="148" customFormat="false" ht="23.85" hidden="false" customHeight="false" outlineLevel="0" collapsed="false">
      <c r="A148" s="7" t="s">
        <v>313</v>
      </c>
      <c r="B148" s="24"/>
      <c r="C148" s="24"/>
      <c r="D148" s="24"/>
      <c r="E148" s="7" t="str">
        <f aca="false">IFERROR(VLOOKUP(D148,'1. Country Master List'!C:B,2,FALSE()),"")</f>
        <v/>
      </c>
      <c r="F148" s="7" t="str">
        <f aca="false">IFERROR(VLOOKUP(D148,'1. Country Master List'!$C$4:$D$53,2,FALSE()),"")</f>
        <v/>
      </c>
      <c r="G148" s="7" t="str">
        <f aca="false">IFERROR(VLOOKUP(D148,'1. Country Master List'!$C$4:$E$53,3,FALSE()),"")</f>
        <v/>
      </c>
      <c r="H148" s="24"/>
      <c r="I148" s="24"/>
      <c r="J148" s="24"/>
    </row>
    <row r="149" customFormat="false" ht="23.85" hidden="false" customHeight="false" outlineLevel="0" collapsed="false">
      <c r="A149" s="4" t="s">
        <v>314</v>
      </c>
      <c r="B149" s="17"/>
      <c r="C149" s="17"/>
      <c r="D149" s="17"/>
      <c r="E149" s="4" t="str">
        <f aca="false">IFERROR(VLOOKUP(D149,'1. Country Master List'!C:B,2,FALSE()),"")</f>
        <v/>
      </c>
      <c r="F149" s="4" t="str">
        <f aca="false">IFERROR(VLOOKUP(D149,'1. Country Master List'!$C$4:$D$53,2,FALSE()),"")</f>
        <v/>
      </c>
      <c r="G149" s="4" t="str">
        <f aca="false">IFERROR(VLOOKUP(D149,'1. Country Master List'!$C$4:$E$53,3,FALSE()),"")</f>
        <v/>
      </c>
      <c r="H149" s="17"/>
      <c r="I149" s="17"/>
      <c r="J149" s="17"/>
    </row>
    <row r="150" customFormat="false" ht="23.85" hidden="false" customHeight="false" outlineLevel="0" collapsed="false">
      <c r="A150" s="7" t="s">
        <v>315</v>
      </c>
      <c r="B150" s="24"/>
      <c r="C150" s="24"/>
      <c r="D150" s="24"/>
      <c r="E150" s="7" t="str">
        <f aca="false">IFERROR(VLOOKUP(D150,'1. Country Master List'!C:B,2,FALSE()),"")</f>
        <v/>
      </c>
      <c r="F150" s="7" t="str">
        <f aca="false">IFERROR(VLOOKUP(D150,'1. Country Master List'!$C$4:$D$53,2,FALSE()),"")</f>
        <v/>
      </c>
      <c r="G150" s="7" t="str">
        <f aca="false">IFERROR(VLOOKUP(D150,'1. Country Master List'!$C$4:$E$53,3,FALSE()),"")</f>
        <v/>
      </c>
      <c r="H150" s="24"/>
      <c r="I150" s="24"/>
      <c r="J150" s="24"/>
    </row>
    <row r="151" customFormat="false" ht="23.85" hidden="false" customHeight="false" outlineLevel="0" collapsed="false">
      <c r="A151" s="4" t="s">
        <v>316</v>
      </c>
      <c r="B151" s="17"/>
      <c r="C151" s="17"/>
      <c r="D151" s="17"/>
      <c r="E151" s="4" t="str">
        <f aca="false">IFERROR(VLOOKUP(D151,'1. Country Master List'!C:B,2,FALSE()),"")</f>
        <v/>
      </c>
      <c r="F151" s="4" t="str">
        <f aca="false">IFERROR(VLOOKUP(D151,'1. Country Master List'!$C$4:$D$53,2,FALSE()),"")</f>
        <v/>
      </c>
      <c r="G151" s="4" t="str">
        <f aca="false">IFERROR(VLOOKUP(D151,'1. Country Master List'!$C$4:$E$53,3,FALSE()),"")</f>
        <v/>
      </c>
      <c r="H151" s="17"/>
      <c r="I151" s="17"/>
      <c r="J151" s="17"/>
    </row>
    <row r="152" customFormat="false" ht="23.85" hidden="false" customHeight="false" outlineLevel="0" collapsed="false">
      <c r="A152" s="7" t="s">
        <v>317</v>
      </c>
      <c r="B152" s="24"/>
      <c r="C152" s="24"/>
      <c r="D152" s="24"/>
      <c r="E152" s="7" t="str">
        <f aca="false">IFERROR(VLOOKUP(D152,'1. Country Master List'!C:B,2,FALSE()),"")</f>
        <v/>
      </c>
      <c r="F152" s="7" t="str">
        <f aca="false">IFERROR(VLOOKUP(D152,'1. Country Master List'!$C$4:$D$53,2,FALSE()),"")</f>
        <v/>
      </c>
      <c r="G152" s="7" t="str">
        <f aca="false">IFERROR(VLOOKUP(D152,'1. Country Master List'!$C$4:$E$53,3,FALSE()),"")</f>
        <v/>
      </c>
      <c r="H152" s="24"/>
      <c r="I152" s="24"/>
      <c r="J152" s="24"/>
    </row>
    <row r="153" customFormat="false" ht="23.85" hidden="false" customHeight="false" outlineLevel="0" collapsed="false">
      <c r="A153" s="4" t="s">
        <v>318</v>
      </c>
      <c r="B153" s="17"/>
      <c r="C153" s="17"/>
      <c r="D153" s="17"/>
      <c r="E153" s="4" t="str">
        <f aca="false">IFERROR(VLOOKUP(D153,'1. Country Master List'!C:B,2,FALSE()),"")</f>
        <v/>
      </c>
      <c r="F153" s="4" t="str">
        <f aca="false">IFERROR(VLOOKUP(D153,'1. Country Master List'!$C$4:$D$53,2,FALSE()),"")</f>
        <v/>
      </c>
      <c r="G153" s="4" t="str">
        <f aca="false">IFERROR(VLOOKUP(D153,'1. Country Master List'!$C$4:$E$53,3,FALSE()),"")</f>
        <v/>
      </c>
      <c r="H153" s="17"/>
      <c r="I153" s="17"/>
      <c r="J153" s="17"/>
    </row>
    <row r="154" customFormat="false" ht="23.85" hidden="false" customHeight="false" outlineLevel="0" collapsed="false">
      <c r="A154" s="7" t="s">
        <v>319</v>
      </c>
      <c r="B154" s="24"/>
      <c r="C154" s="24"/>
      <c r="D154" s="24"/>
      <c r="E154" s="7" t="str">
        <f aca="false">IFERROR(VLOOKUP(D154,'1. Country Master List'!C:B,2,FALSE()),"")</f>
        <v/>
      </c>
      <c r="F154" s="7" t="str">
        <f aca="false">IFERROR(VLOOKUP(D154,'1. Country Master List'!$C$4:$D$53,2,FALSE()),"")</f>
        <v/>
      </c>
      <c r="G154" s="7" t="str">
        <f aca="false">IFERROR(VLOOKUP(D154,'1. Country Master List'!$C$4:$E$53,3,FALSE()),"")</f>
        <v/>
      </c>
      <c r="H154" s="24"/>
      <c r="I154" s="24"/>
      <c r="J154" s="24"/>
    </row>
    <row r="155" customFormat="false" ht="23.85" hidden="false" customHeight="false" outlineLevel="0" collapsed="false">
      <c r="A155" s="4" t="s">
        <v>320</v>
      </c>
      <c r="B155" s="17"/>
      <c r="C155" s="17"/>
      <c r="D155" s="17"/>
      <c r="E155" s="4" t="str">
        <f aca="false">IFERROR(VLOOKUP(D155,'1. Country Master List'!C:B,2,FALSE()),"")</f>
        <v/>
      </c>
      <c r="F155" s="4" t="str">
        <f aca="false">IFERROR(VLOOKUP(D155,'1. Country Master List'!$C$4:$D$53,2,FALSE()),"")</f>
        <v/>
      </c>
      <c r="G155" s="4" t="str">
        <f aca="false">IFERROR(VLOOKUP(D155,'1. Country Master List'!$C$4:$E$53,3,FALSE()),"")</f>
        <v/>
      </c>
      <c r="H155" s="17"/>
      <c r="I155" s="17"/>
      <c r="J155" s="17"/>
    </row>
    <row r="156" customFormat="false" ht="23.85" hidden="false" customHeight="false" outlineLevel="0" collapsed="false">
      <c r="A156" s="7" t="s">
        <v>321</v>
      </c>
      <c r="B156" s="24"/>
      <c r="C156" s="24"/>
      <c r="D156" s="24"/>
      <c r="E156" s="7" t="str">
        <f aca="false">IFERROR(VLOOKUP(D156,'1. Country Master List'!C:B,2,FALSE()),"")</f>
        <v/>
      </c>
      <c r="F156" s="7" t="str">
        <f aca="false">IFERROR(VLOOKUP(D156,'1. Country Master List'!$C$4:$D$53,2,FALSE()),"")</f>
        <v/>
      </c>
      <c r="G156" s="7" t="str">
        <f aca="false">IFERROR(VLOOKUP(D156,'1. Country Master List'!$C$4:$E$53,3,FALSE()),"")</f>
        <v/>
      </c>
      <c r="H156" s="24"/>
      <c r="I156" s="24"/>
      <c r="J156" s="24"/>
    </row>
    <row r="157" customFormat="false" ht="23.85" hidden="false" customHeight="false" outlineLevel="0" collapsed="false">
      <c r="A157" s="4" t="s">
        <v>322</v>
      </c>
      <c r="B157" s="17"/>
      <c r="C157" s="17"/>
      <c r="D157" s="17"/>
      <c r="E157" s="4" t="str">
        <f aca="false">IFERROR(VLOOKUP(D157,'1. Country Master List'!C:B,2,FALSE()),"")</f>
        <v/>
      </c>
      <c r="F157" s="4" t="str">
        <f aca="false">IFERROR(VLOOKUP(D157,'1. Country Master List'!$C$4:$D$53,2,FALSE()),"")</f>
        <v/>
      </c>
      <c r="G157" s="4" t="str">
        <f aca="false">IFERROR(VLOOKUP(D157,'1. Country Master List'!$C$4:$E$53,3,FALSE()),"")</f>
        <v/>
      </c>
      <c r="H157" s="17"/>
      <c r="I157" s="17"/>
      <c r="J157" s="17"/>
    </row>
    <row r="158" customFormat="false" ht="23.85" hidden="false" customHeight="false" outlineLevel="0" collapsed="false">
      <c r="A158" s="7" t="s">
        <v>323</v>
      </c>
      <c r="B158" s="24"/>
      <c r="C158" s="24"/>
      <c r="D158" s="24"/>
      <c r="E158" s="7" t="str">
        <f aca="false">IFERROR(VLOOKUP(D158,'1. Country Master List'!C:B,2,FALSE()),"")</f>
        <v/>
      </c>
      <c r="F158" s="7" t="str">
        <f aca="false">IFERROR(VLOOKUP(D158,'1. Country Master List'!$C$4:$D$53,2,FALSE()),"")</f>
        <v/>
      </c>
      <c r="G158" s="7" t="str">
        <f aca="false">IFERROR(VLOOKUP(D158,'1. Country Master List'!$C$4:$E$53,3,FALSE()),"")</f>
        <v/>
      </c>
      <c r="H158" s="24"/>
      <c r="I158" s="24"/>
      <c r="J158" s="24"/>
    </row>
    <row r="159" customFormat="false" ht="23.85" hidden="false" customHeight="false" outlineLevel="0" collapsed="false">
      <c r="A159" s="4" t="s">
        <v>324</v>
      </c>
      <c r="B159" s="17"/>
      <c r="C159" s="17"/>
      <c r="D159" s="17"/>
      <c r="E159" s="4" t="str">
        <f aca="false">IFERROR(VLOOKUP(D159,'1. Country Master List'!C:B,2,FALSE()),"")</f>
        <v/>
      </c>
      <c r="F159" s="4" t="str">
        <f aca="false">IFERROR(VLOOKUP(D159,'1. Country Master List'!$C$4:$D$53,2,FALSE()),"")</f>
        <v/>
      </c>
      <c r="G159" s="4" t="str">
        <f aca="false">IFERROR(VLOOKUP(D159,'1. Country Master List'!$C$4:$E$53,3,FALSE()),"")</f>
        <v/>
      </c>
      <c r="H159" s="17"/>
      <c r="I159" s="17"/>
      <c r="J159" s="17"/>
    </row>
    <row r="160" customFormat="false" ht="23.85" hidden="false" customHeight="false" outlineLevel="0" collapsed="false">
      <c r="A160" s="7" t="s">
        <v>325</v>
      </c>
      <c r="B160" s="24"/>
      <c r="C160" s="24"/>
      <c r="D160" s="24"/>
      <c r="E160" s="7" t="str">
        <f aca="false">IFERROR(VLOOKUP(D160,'1. Country Master List'!C:B,2,FALSE()),"")</f>
        <v/>
      </c>
      <c r="F160" s="7" t="str">
        <f aca="false">IFERROR(VLOOKUP(D160,'1. Country Master List'!$C$4:$D$53,2,FALSE()),"")</f>
        <v/>
      </c>
      <c r="G160" s="7" t="str">
        <f aca="false">IFERROR(VLOOKUP(D160,'1. Country Master List'!$C$4:$E$53,3,FALSE()),"")</f>
        <v/>
      </c>
      <c r="H160" s="24"/>
      <c r="I160" s="24"/>
      <c r="J160" s="24"/>
    </row>
    <row r="161" customFormat="false" ht="23.85" hidden="false" customHeight="false" outlineLevel="0" collapsed="false">
      <c r="A161" s="4" t="s">
        <v>326</v>
      </c>
      <c r="B161" s="17"/>
      <c r="C161" s="17"/>
      <c r="D161" s="17"/>
      <c r="E161" s="4" t="str">
        <f aca="false">IFERROR(VLOOKUP(D161,'1. Country Master List'!C:B,2,FALSE()),"")</f>
        <v/>
      </c>
      <c r="F161" s="4" t="str">
        <f aca="false">IFERROR(VLOOKUP(D161,'1. Country Master List'!$C$4:$D$53,2,FALSE()),"")</f>
        <v/>
      </c>
      <c r="G161" s="4" t="str">
        <f aca="false">IFERROR(VLOOKUP(D161,'1. Country Master List'!$C$4:$E$53,3,FALSE()),"")</f>
        <v/>
      </c>
      <c r="H161" s="17"/>
      <c r="I161" s="17"/>
      <c r="J161" s="17"/>
    </row>
    <row r="162" customFormat="false" ht="23.85" hidden="false" customHeight="false" outlineLevel="0" collapsed="false">
      <c r="A162" s="7" t="s">
        <v>327</v>
      </c>
      <c r="B162" s="24"/>
      <c r="C162" s="24"/>
      <c r="D162" s="24"/>
      <c r="E162" s="7" t="str">
        <f aca="false">IFERROR(VLOOKUP(D162,'1. Country Master List'!C:B,2,FALSE()),"")</f>
        <v/>
      </c>
      <c r="F162" s="7" t="str">
        <f aca="false">IFERROR(VLOOKUP(D162,'1. Country Master List'!$C$4:$D$53,2,FALSE()),"")</f>
        <v/>
      </c>
      <c r="G162" s="7" t="str">
        <f aca="false">IFERROR(VLOOKUP(D162,'1. Country Master List'!$C$4:$E$53,3,FALSE()),"")</f>
        <v/>
      </c>
      <c r="H162" s="24"/>
      <c r="I162" s="24"/>
      <c r="J162" s="24"/>
    </row>
    <row r="163" customFormat="false" ht="23.85" hidden="false" customHeight="false" outlineLevel="0" collapsed="false">
      <c r="A163" s="4" t="s">
        <v>328</v>
      </c>
      <c r="B163" s="17"/>
      <c r="C163" s="17"/>
      <c r="D163" s="17"/>
      <c r="E163" s="4" t="str">
        <f aca="false">IFERROR(VLOOKUP(D163,'1. Country Master List'!C:B,2,FALSE()),"")</f>
        <v/>
      </c>
      <c r="F163" s="4" t="str">
        <f aca="false">IFERROR(VLOOKUP(D163,'1. Country Master List'!$C$4:$D$53,2,FALSE()),"")</f>
        <v/>
      </c>
      <c r="G163" s="4" t="str">
        <f aca="false">IFERROR(VLOOKUP(D163,'1. Country Master List'!$C$4:$E$53,3,FALSE()),"")</f>
        <v/>
      </c>
      <c r="H163" s="17"/>
      <c r="I163" s="17"/>
      <c r="J163" s="17"/>
    </row>
    <row r="164" customFormat="false" ht="23.85" hidden="false" customHeight="false" outlineLevel="0" collapsed="false">
      <c r="A164" s="7" t="s">
        <v>329</v>
      </c>
      <c r="B164" s="24"/>
      <c r="C164" s="24"/>
      <c r="D164" s="24"/>
      <c r="E164" s="7" t="str">
        <f aca="false">IFERROR(VLOOKUP(D164,'1. Country Master List'!C:B,2,FALSE()),"")</f>
        <v/>
      </c>
      <c r="F164" s="7" t="str">
        <f aca="false">IFERROR(VLOOKUP(D164,'1. Country Master List'!$C$4:$D$53,2,FALSE()),"")</f>
        <v/>
      </c>
      <c r="G164" s="7" t="str">
        <f aca="false">IFERROR(VLOOKUP(D164,'1. Country Master List'!$C$4:$E$53,3,FALSE()),"")</f>
        <v/>
      </c>
      <c r="H164" s="24"/>
      <c r="I164" s="24"/>
      <c r="J164" s="24"/>
    </row>
    <row r="165" customFormat="false" ht="23.85" hidden="false" customHeight="false" outlineLevel="0" collapsed="false">
      <c r="A165" s="4" t="s">
        <v>330</v>
      </c>
      <c r="B165" s="17"/>
      <c r="C165" s="17"/>
      <c r="D165" s="17"/>
      <c r="E165" s="4" t="str">
        <f aca="false">IFERROR(VLOOKUP(D165,'1. Country Master List'!C:B,2,FALSE()),"")</f>
        <v/>
      </c>
      <c r="F165" s="4" t="str">
        <f aca="false">IFERROR(VLOOKUP(D165,'1. Country Master List'!$C$4:$D$53,2,FALSE()),"")</f>
        <v/>
      </c>
      <c r="G165" s="4" t="str">
        <f aca="false">IFERROR(VLOOKUP(D165,'1. Country Master List'!$C$4:$E$53,3,FALSE()),"")</f>
        <v/>
      </c>
      <c r="H165" s="17"/>
      <c r="I165" s="17"/>
      <c r="J165" s="17"/>
    </row>
    <row r="166" customFormat="false" ht="23.85" hidden="false" customHeight="false" outlineLevel="0" collapsed="false">
      <c r="A166" s="7" t="s">
        <v>331</v>
      </c>
      <c r="B166" s="24"/>
      <c r="C166" s="24"/>
      <c r="D166" s="24"/>
      <c r="E166" s="7" t="str">
        <f aca="false">IFERROR(VLOOKUP(D166,'1. Country Master List'!C:B,2,FALSE()),"")</f>
        <v/>
      </c>
      <c r="F166" s="7" t="str">
        <f aca="false">IFERROR(VLOOKUP(D166,'1. Country Master List'!$C$4:$D$53,2,FALSE()),"")</f>
        <v/>
      </c>
      <c r="G166" s="7" t="str">
        <f aca="false">IFERROR(VLOOKUP(D166,'1. Country Master List'!$C$4:$E$53,3,FALSE()),"")</f>
        <v/>
      </c>
      <c r="H166" s="24"/>
      <c r="I166" s="24"/>
      <c r="J166" s="24"/>
    </row>
    <row r="167" customFormat="false" ht="23.85" hidden="false" customHeight="false" outlineLevel="0" collapsed="false">
      <c r="A167" s="4" t="s">
        <v>332</v>
      </c>
      <c r="B167" s="17"/>
      <c r="C167" s="17"/>
      <c r="D167" s="17"/>
      <c r="E167" s="4" t="str">
        <f aca="false">IFERROR(VLOOKUP(D167,'1. Country Master List'!C:B,2,FALSE()),"")</f>
        <v/>
      </c>
      <c r="F167" s="4" t="str">
        <f aca="false">IFERROR(VLOOKUP(D167,'1. Country Master List'!$C$4:$D$53,2,FALSE()),"")</f>
        <v/>
      </c>
      <c r="G167" s="4" t="str">
        <f aca="false">IFERROR(VLOOKUP(D167,'1. Country Master List'!$C$4:$E$53,3,FALSE()),"")</f>
        <v/>
      </c>
      <c r="H167" s="17"/>
      <c r="I167" s="17"/>
      <c r="J167" s="17"/>
    </row>
    <row r="168" customFormat="false" ht="23.85" hidden="false" customHeight="false" outlineLevel="0" collapsed="false">
      <c r="A168" s="7" t="s">
        <v>333</v>
      </c>
      <c r="B168" s="24"/>
      <c r="C168" s="24"/>
      <c r="D168" s="24"/>
      <c r="E168" s="7" t="str">
        <f aca="false">IFERROR(VLOOKUP(D168,'1. Country Master List'!C:B,2,FALSE()),"")</f>
        <v/>
      </c>
      <c r="F168" s="7" t="str">
        <f aca="false">IFERROR(VLOOKUP(D168,'1. Country Master List'!$C$4:$D$53,2,FALSE()),"")</f>
        <v/>
      </c>
      <c r="G168" s="7" t="str">
        <f aca="false">IFERROR(VLOOKUP(D168,'1. Country Master List'!$C$4:$E$53,3,FALSE()),"")</f>
        <v/>
      </c>
      <c r="H168" s="24"/>
      <c r="I168" s="24"/>
      <c r="J168" s="24"/>
    </row>
    <row r="169" customFormat="false" ht="23.85" hidden="false" customHeight="false" outlineLevel="0" collapsed="false">
      <c r="A169" s="4" t="s">
        <v>334</v>
      </c>
      <c r="B169" s="17"/>
      <c r="C169" s="17"/>
      <c r="D169" s="17"/>
      <c r="E169" s="4" t="str">
        <f aca="false">IFERROR(VLOOKUP(D169,'1. Country Master List'!C:B,2,FALSE()),"")</f>
        <v/>
      </c>
      <c r="F169" s="4" t="str">
        <f aca="false">IFERROR(VLOOKUP(D169,'1. Country Master List'!$C$4:$D$53,2,FALSE()),"")</f>
        <v/>
      </c>
      <c r="G169" s="4" t="str">
        <f aca="false">IFERROR(VLOOKUP(D169,'1. Country Master List'!$C$4:$E$53,3,FALSE()),"")</f>
        <v/>
      </c>
      <c r="H169" s="17"/>
      <c r="I169" s="17"/>
      <c r="J169" s="17"/>
    </row>
    <row r="170" customFormat="false" ht="23.85" hidden="false" customHeight="false" outlineLevel="0" collapsed="false">
      <c r="A170" s="7" t="s">
        <v>335</v>
      </c>
      <c r="B170" s="24"/>
      <c r="C170" s="24"/>
      <c r="D170" s="24"/>
      <c r="E170" s="7" t="str">
        <f aca="false">IFERROR(VLOOKUP(D170,'1. Country Master List'!C:B,2,FALSE()),"")</f>
        <v/>
      </c>
      <c r="F170" s="7" t="str">
        <f aca="false">IFERROR(VLOOKUP(D170,'1. Country Master List'!$C$4:$D$53,2,FALSE()),"")</f>
        <v/>
      </c>
      <c r="G170" s="7" t="str">
        <f aca="false">IFERROR(VLOOKUP(D170,'1. Country Master List'!$C$4:$E$53,3,FALSE()),"")</f>
        <v/>
      </c>
      <c r="H170" s="24"/>
      <c r="I170" s="24"/>
      <c r="J170" s="24"/>
    </row>
    <row r="171" customFormat="false" ht="23.85" hidden="false" customHeight="false" outlineLevel="0" collapsed="false">
      <c r="A171" s="4" t="s">
        <v>336</v>
      </c>
      <c r="B171" s="17"/>
      <c r="C171" s="17"/>
      <c r="D171" s="17"/>
      <c r="E171" s="4" t="str">
        <f aca="false">IFERROR(VLOOKUP(D171,'1. Country Master List'!C:B,2,FALSE()),"")</f>
        <v/>
      </c>
      <c r="F171" s="4" t="str">
        <f aca="false">IFERROR(VLOOKUP(D171,'1. Country Master List'!$C$4:$D$53,2,FALSE()),"")</f>
        <v/>
      </c>
      <c r="G171" s="4" t="str">
        <f aca="false">IFERROR(VLOOKUP(D171,'1. Country Master List'!$C$4:$E$53,3,FALSE()),"")</f>
        <v/>
      </c>
      <c r="H171" s="17"/>
      <c r="I171" s="17"/>
      <c r="J171" s="17"/>
    </row>
    <row r="172" customFormat="false" ht="23.85" hidden="false" customHeight="false" outlineLevel="0" collapsed="false">
      <c r="A172" s="7" t="s">
        <v>337</v>
      </c>
      <c r="B172" s="24"/>
      <c r="C172" s="24"/>
      <c r="D172" s="24"/>
      <c r="E172" s="7" t="str">
        <f aca="false">IFERROR(VLOOKUP(D172,'1. Country Master List'!C:B,2,FALSE()),"")</f>
        <v/>
      </c>
      <c r="F172" s="7" t="str">
        <f aca="false">IFERROR(VLOOKUP(D172,'1. Country Master List'!$C$4:$D$53,2,FALSE()),"")</f>
        <v/>
      </c>
      <c r="G172" s="7" t="str">
        <f aca="false">IFERROR(VLOOKUP(D172,'1. Country Master List'!$C$4:$E$53,3,FALSE()),"")</f>
        <v/>
      </c>
      <c r="H172" s="24"/>
      <c r="I172" s="24"/>
      <c r="J172" s="24"/>
    </row>
    <row r="173" customFormat="false" ht="23.85" hidden="false" customHeight="false" outlineLevel="0" collapsed="false">
      <c r="A173" s="4" t="s">
        <v>338</v>
      </c>
      <c r="B173" s="17"/>
      <c r="C173" s="17"/>
      <c r="D173" s="17"/>
      <c r="E173" s="4" t="str">
        <f aca="false">IFERROR(VLOOKUP(D173,'1. Country Master List'!C:B,2,FALSE()),"")</f>
        <v/>
      </c>
      <c r="F173" s="4" t="str">
        <f aca="false">IFERROR(VLOOKUP(D173,'1. Country Master List'!$C$4:$D$53,2,FALSE()),"")</f>
        <v/>
      </c>
      <c r="G173" s="4" t="str">
        <f aca="false">IFERROR(VLOOKUP(D173,'1. Country Master List'!$C$4:$E$53,3,FALSE()),"")</f>
        <v/>
      </c>
      <c r="H173" s="17"/>
      <c r="I173" s="17"/>
      <c r="J173" s="17"/>
    </row>
    <row r="174" customFormat="false" ht="23.85" hidden="false" customHeight="false" outlineLevel="0" collapsed="false">
      <c r="A174" s="7" t="s">
        <v>339</v>
      </c>
      <c r="B174" s="24"/>
      <c r="C174" s="24"/>
      <c r="D174" s="24"/>
      <c r="E174" s="7" t="str">
        <f aca="false">IFERROR(VLOOKUP(D174,'1. Country Master List'!C:B,2,FALSE()),"")</f>
        <v/>
      </c>
      <c r="F174" s="7" t="str">
        <f aca="false">IFERROR(VLOOKUP(D174,'1. Country Master List'!$C$4:$D$53,2,FALSE()),"")</f>
        <v/>
      </c>
      <c r="G174" s="7" t="str">
        <f aca="false">IFERROR(VLOOKUP(D174,'1. Country Master List'!$C$4:$E$53,3,FALSE()),"")</f>
        <v/>
      </c>
      <c r="H174" s="24"/>
      <c r="I174" s="24"/>
      <c r="J174" s="24"/>
    </row>
    <row r="175" customFormat="false" ht="23.85" hidden="false" customHeight="false" outlineLevel="0" collapsed="false">
      <c r="A175" s="4" t="s">
        <v>340</v>
      </c>
      <c r="B175" s="17"/>
      <c r="C175" s="17"/>
      <c r="D175" s="17"/>
      <c r="E175" s="4" t="str">
        <f aca="false">IFERROR(VLOOKUP(D175,'1. Country Master List'!C:B,2,FALSE()),"")</f>
        <v/>
      </c>
      <c r="F175" s="4" t="str">
        <f aca="false">IFERROR(VLOOKUP(D175,'1. Country Master List'!$C$4:$D$53,2,FALSE()),"")</f>
        <v/>
      </c>
      <c r="G175" s="4" t="str">
        <f aca="false">IFERROR(VLOOKUP(D175,'1. Country Master List'!$C$4:$E$53,3,FALSE()),"")</f>
        <v/>
      </c>
      <c r="H175" s="17"/>
      <c r="I175" s="17"/>
      <c r="J175" s="17"/>
    </row>
    <row r="176" customFormat="false" ht="23.85" hidden="false" customHeight="false" outlineLevel="0" collapsed="false">
      <c r="A176" s="7" t="s">
        <v>341</v>
      </c>
      <c r="B176" s="24"/>
      <c r="C176" s="24"/>
      <c r="D176" s="24"/>
      <c r="E176" s="7" t="str">
        <f aca="false">IFERROR(VLOOKUP(D176,'1. Country Master List'!C:B,2,FALSE()),"")</f>
        <v/>
      </c>
      <c r="F176" s="7" t="str">
        <f aca="false">IFERROR(VLOOKUP(D176,'1. Country Master List'!$C$4:$D$53,2,FALSE()),"")</f>
        <v/>
      </c>
      <c r="G176" s="7" t="str">
        <f aca="false">IFERROR(VLOOKUP(D176,'1. Country Master List'!$C$4:$E$53,3,FALSE()),"")</f>
        <v/>
      </c>
      <c r="H176" s="24"/>
      <c r="I176" s="24"/>
      <c r="J176" s="24"/>
    </row>
    <row r="177" customFormat="false" ht="23.85" hidden="false" customHeight="false" outlineLevel="0" collapsed="false">
      <c r="A177" s="4" t="s">
        <v>342</v>
      </c>
      <c r="B177" s="17"/>
      <c r="C177" s="17"/>
      <c r="D177" s="17"/>
      <c r="E177" s="4" t="str">
        <f aca="false">IFERROR(VLOOKUP(D177,'1. Country Master List'!C:B,2,FALSE()),"")</f>
        <v/>
      </c>
      <c r="F177" s="4" t="str">
        <f aca="false">IFERROR(VLOOKUP(D177,'1. Country Master List'!$C$4:$D$53,2,FALSE()),"")</f>
        <v/>
      </c>
      <c r="G177" s="4" t="str">
        <f aca="false">IFERROR(VLOOKUP(D177,'1. Country Master List'!$C$4:$E$53,3,FALSE()),"")</f>
        <v/>
      </c>
      <c r="H177" s="17"/>
      <c r="I177" s="17"/>
      <c r="J177" s="17"/>
    </row>
    <row r="178" customFormat="false" ht="23.85" hidden="false" customHeight="false" outlineLevel="0" collapsed="false">
      <c r="A178" s="7" t="s">
        <v>343</v>
      </c>
      <c r="B178" s="24"/>
      <c r="C178" s="24"/>
      <c r="D178" s="24"/>
      <c r="E178" s="7" t="str">
        <f aca="false">IFERROR(VLOOKUP(D178,'1. Country Master List'!C:B,2,FALSE()),"")</f>
        <v/>
      </c>
      <c r="F178" s="7" t="str">
        <f aca="false">IFERROR(VLOOKUP(D178,'1. Country Master List'!$C$4:$D$53,2,FALSE()),"")</f>
        <v/>
      </c>
      <c r="G178" s="7" t="str">
        <f aca="false">IFERROR(VLOOKUP(D178,'1. Country Master List'!$C$4:$E$53,3,FALSE()),"")</f>
        <v/>
      </c>
      <c r="H178" s="24"/>
      <c r="I178" s="24"/>
      <c r="J178" s="24"/>
    </row>
    <row r="179" customFormat="false" ht="23.85" hidden="false" customHeight="false" outlineLevel="0" collapsed="false">
      <c r="A179" s="4" t="s">
        <v>344</v>
      </c>
      <c r="B179" s="17"/>
      <c r="C179" s="17"/>
      <c r="D179" s="17"/>
      <c r="E179" s="4" t="str">
        <f aca="false">IFERROR(VLOOKUP(D179,'1. Country Master List'!C:B,2,FALSE()),"")</f>
        <v/>
      </c>
      <c r="F179" s="4" t="str">
        <f aca="false">IFERROR(VLOOKUP(D179,'1. Country Master List'!$C$4:$D$53,2,FALSE()),"")</f>
        <v/>
      </c>
      <c r="G179" s="4" t="str">
        <f aca="false">IFERROR(VLOOKUP(D179,'1. Country Master List'!$C$4:$E$53,3,FALSE()),"")</f>
        <v/>
      </c>
      <c r="H179" s="17"/>
      <c r="I179" s="17"/>
      <c r="J179" s="17"/>
    </row>
    <row r="180" customFormat="false" ht="23.85" hidden="false" customHeight="false" outlineLevel="0" collapsed="false">
      <c r="A180" s="7" t="s">
        <v>345</v>
      </c>
      <c r="B180" s="24"/>
      <c r="C180" s="24"/>
      <c r="D180" s="24"/>
      <c r="E180" s="7" t="str">
        <f aca="false">IFERROR(VLOOKUP(D180,'1. Country Master List'!C:B,2,FALSE()),"")</f>
        <v/>
      </c>
      <c r="F180" s="7" t="str">
        <f aca="false">IFERROR(VLOOKUP(D180,'1. Country Master List'!$C$4:$D$53,2,FALSE()),"")</f>
        <v/>
      </c>
      <c r="G180" s="7" t="str">
        <f aca="false">IFERROR(VLOOKUP(D180,'1. Country Master List'!$C$4:$E$53,3,FALSE()),"")</f>
        <v/>
      </c>
      <c r="H180" s="24"/>
      <c r="I180" s="24"/>
      <c r="J180" s="24"/>
    </row>
    <row r="181" customFormat="false" ht="23.85" hidden="false" customHeight="false" outlineLevel="0" collapsed="false">
      <c r="A181" s="4" t="s">
        <v>346</v>
      </c>
      <c r="B181" s="17"/>
      <c r="C181" s="17"/>
      <c r="D181" s="17"/>
      <c r="E181" s="4" t="str">
        <f aca="false">IFERROR(VLOOKUP(D181,'1. Country Master List'!C:B,2,FALSE()),"")</f>
        <v/>
      </c>
      <c r="F181" s="4" t="str">
        <f aca="false">IFERROR(VLOOKUP(D181,'1. Country Master List'!$C$4:$D$53,2,FALSE()),"")</f>
        <v/>
      </c>
      <c r="G181" s="4" t="str">
        <f aca="false">IFERROR(VLOOKUP(D181,'1. Country Master List'!$C$4:$E$53,3,FALSE()),"")</f>
        <v/>
      </c>
      <c r="H181" s="17"/>
      <c r="I181" s="17"/>
      <c r="J181" s="17"/>
    </row>
    <row r="182" customFormat="false" ht="23.85" hidden="false" customHeight="false" outlineLevel="0" collapsed="false">
      <c r="A182" s="7" t="s">
        <v>347</v>
      </c>
      <c r="B182" s="24"/>
      <c r="C182" s="24"/>
      <c r="D182" s="24"/>
      <c r="E182" s="7" t="str">
        <f aca="false">IFERROR(VLOOKUP(D182,'1. Country Master List'!C:B,2,FALSE()),"")</f>
        <v/>
      </c>
      <c r="F182" s="7" t="str">
        <f aca="false">IFERROR(VLOOKUP(D182,'1. Country Master List'!$C$4:$D$53,2,FALSE()),"")</f>
        <v/>
      </c>
      <c r="G182" s="7" t="str">
        <f aca="false">IFERROR(VLOOKUP(D182,'1. Country Master List'!$C$4:$E$53,3,FALSE()),"")</f>
        <v/>
      </c>
      <c r="H182" s="24"/>
      <c r="I182" s="24"/>
      <c r="J182" s="24"/>
    </row>
    <row r="183" customFormat="false" ht="23.85" hidden="false" customHeight="false" outlineLevel="0" collapsed="false">
      <c r="A183" s="4" t="s">
        <v>348</v>
      </c>
      <c r="B183" s="17"/>
      <c r="C183" s="17"/>
      <c r="D183" s="17"/>
      <c r="E183" s="4" t="str">
        <f aca="false">IFERROR(VLOOKUP(D183,'1. Country Master List'!C:B,2,FALSE()),"")</f>
        <v/>
      </c>
      <c r="F183" s="4" t="str">
        <f aca="false">IFERROR(VLOOKUP(D183,'1. Country Master List'!$C$4:$D$53,2,FALSE()),"")</f>
        <v/>
      </c>
      <c r="G183" s="4" t="str">
        <f aca="false">IFERROR(VLOOKUP(D183,'1. Country Master List'!$C$4:$E$53,3,FALSE()),"")</f>
        <v/>
      </c>
      <c r="H183" s="17"/>
      <c r="I183" s="17"/>
      <c r="J183" s="17"/>
    </row>
    <row r="184" customFormat="false" ht="23.85" hidden="false" customHeight="false" outlineLevel="0" collapsed="false">
      <c r="A184" s="7" t="s">
        <v>349</v>
      </c>
      <c r="B184" s="24"/>
      <c r="C184" s="24"/>
      <c r="D184" s="24"/>
      <c r="E184" s="7" t="str">
        <f aca="false">IFERROR(VLOOKUP(D184,'1. Country Master List'!C:B,2,FALSE()),"")</f>
        <v/>
      </c>
      <c r="F184" s="7" t="str">
        <f aca="false">IFERROR(VLOOKUP(D184,'1. Country Master List'!$C$4:$D$53,2,FALSE()),"")</f>
        <v/>
      </c>
      <c r="G184" s="7" t="str">
        <f aca="false">IFERROR(VLOOKUP(D184,'1. Country Master List'!$C$4:$E$53,3,FALSE()),"")</f>
        <v/>
      </c>
      <c r="H184" s="24"/>
      <c r="I184" s="24"/>
      <c r="J184" s="24"/>
    </row>
    <row r="185" customFormat="false" ht="23.85" hidden="false" customHeight="false" outlineLevel="0" collapsed="false">
      <c r="A185" s="4" t="s">
        <v>350</v>
      </c>
      <c r="B185" s="17"/>
      <c r="C185" s="17"/>
      <c r="D185" s="17"/>
      <c r="E185" s="4" t="str">
        <f aca="false">IFERROR(VLOOKUP(D185,'1. Country Master List'!C:B,2,FALSE()),"")</f>
        <v/>
      </c>
      <c r="F185" s="4" t="str">
        <f aca="false">IFERROR(VLOOKUP(D185,'1. Country Master List'!$C$4:$D$53,2,FALSE()),"")</f>
        <v/>
      </c>
      <c r="G185" s="4" t="str">
        <f aca="false">IFERROR(VLOOKUP(D185,'1. Country Master List'!$C$4:$E$53,3,FALSE()),"")</f>
        <v/>
      </c>
      <c r="H185" s="17"/>
      <c r="I185" s="17"/>
      <c r="J185" s="17"/>
    </row>
    <row r="186" customFormat="false" ht="23.85" hidden="false" customHeight="false" outlineLevel="0" collapsed="false">
      <c r="A186" s="7" t="s">
        <v>351</v>
      </c>
      <c r="B186" s="24"/>
      <c r="C186" s="24"/>
      <c r="D186" s="24"/>
      <c r="E186" s="7" t="str">
        <f aca="false">IFERROR(VLOOKUP(D186,'1. Country Master List'!C:B,2,FALSE()),"")</f>
        <v/>
      </c>
      <c r="F186" s="7" t="str">
        <f aca="false">IFERROR(VLOOKUP(D186,'1. Country Master List'!$C$4:$D$53,2,FALSE()),"")</f>
        <v/>
      </c>
      <c r="G186" s="7" t="str">
        <f aca="false">IFERROR(VLOOKUP(D186,'1. Country Master List'!$C$4:$E$53,3,FALSE()),"")</f>
        <v/>
      </c>
      <c r="H186" s="24"/>
      <c r="I186" s="24"/>
      <c r="J186" s="24"/>
    </row>
    <row r="187" customFormat="false" ht="23.85" hidden="false" customHeight="false" outlineLevel="0" collapsed="false">
      <c r="A187" s="4" t="s">
        <v>352</v>
      </c>
      <c r="B187" s="17"/>
      <c r="C187" s="17"/>
      <c r="D187" s="17"/>
      <c r="E187" s="4" t="str">
        <f aca="false">IFERROR(VLOOKUP(D187,'1. Country Master List'!C:B,2,FALSE()),"")</f>
        <v/>
      </c>
      <c r="F187" s="4" t="str">
        <f aca="false">IFERROR(VLOOKUP(D187,'1. Country Master List'!$C$4:$D$53,2,FALSE()),"")</f>
        <v/>
      </c>
      <c r="G187" s="4" t="str">
        <f aca="false">IFERROR(VLOOKUP(D187,'1. Country Master List'!$C$4:$E$53,3,FALSE()),"")</f>
        <v/>
      </c>
      <c r="H187" s="17"/>
      <c r="I187" s="17"/>
      <c r="J187" s="17"/>
    </row>
    <row r="188" customFormat="false" ht="23.85" hidden="false" customHeight="false" outlineLevel="0" collapsed="false">
      <c r="A188" s="7" t="s">
        <v>353</v>
      </c>
      <c r="B188" s="24"/>
      <c r="C188" s="24"/>
      <c r="D188" s="24"/>
      <c r="E188" s="7" t="str">
        <f aca="false">IFERROR(VLOOKUP(D188,'1. Country Master List'!C:B,2,FALSE()),"")</f>
        <v/>
      </c>
      <c r="F188" s="7" t="str">
        <f aca="false">IFERROR(VLOOKUP(D188,'1. Country Master List'!$C$4:$D$53,2,FALSE()),"")</f>
        <v/>
      </c>
      <c r="G188" s="7" t="str">
        <f aca="false">IFERROR(VLOOKUP(D188,'1. Country Master List'!$C$4:$E$53,3,FALSE()),"")</f>
        <v/>
      </c>
      <c r="H188" s="24"/>
      <c r="I188" s="24"/>
      <c r="J188" s="24"/>
    </row>
    <row r="189" customFormat="false" ht="23.85" hidden="false" customHeight="false" outlineLevel="0" collapsed="false">
      <c r="A189" s="4" t="s">
        <v>354</v>
      </c>
      <c r="B189" s="17"/>
      <c r="C189" s="17"/>
      <c r="D189" s="17"/>
      <c r="E189" s="4" t="str">
        <f aca="false">IFERROR(VLOOKUP(D189,'1. Country Master List'!C:B,2,FALSE()),"")</f>
        <v/>
      </c>
      <c r="F189" s="4" t="str">
        <f aca="false">IFERROR(VLOOKUP(D189,'1. Country Master List'!$C$4:$D$53,2,FALSE()),"")</f>
        <v/>
      </c>
      <c r="G189" s="4" t="str">
        <f aca="false">IFERROR(VLOOKUP(D189,'1. Country Master List'!$C$4:$E$53,3,FALSE()),"")</f>
        <v/>
      </c>
      <c r="H189" s="17"/>
      <c r="I189" s="17"/>
      <c r="J189" s="17"/>
    </row>
    <row r="190" customFormat="false" ht="23.85" hidden="false" customHeight="false" outlineLevel="0" collapsed="false">
      <c r="A190" s="7" t="s">
        <v>355</v>
      </c>
      <c r="B190" s="24"/>
      <c r="C190" s="24"/>
      <c r="D190" s="24"/>
      <c r="E190" s="7" t="str">
        <f aca="false">IFERROR(VLOOKUP(D190,'1. Country Master List'!C:B,2,FALSE()),"")</f>
        <v/>
      </c>
      <c r="F190" s="7" t="str">
        <f aca="false">IFERROR(VLOOKUP(D190,'1. Country Master List'!$C$4:$D$53,2,FALSE()),"")</f>
        <v/>
      </c>
      <c r="G190" s="7" t="str">
        <f aca="false">IFERROR(VLOOKUP(D190,'1. Country Master List'!$C$4:$E$53,3,FALSE()),"")</f>
        <v/>
      </c>
      <c r="H190" s="24"/>
      <c r="I190" s="24"/>
      <c r="J190" s="24"/>
    </row>
    <row r="191" customFormat="false" ht="23.85" hidden="false" customHeight="false" outlineLevel="0" collapsed="false">
      <c r="A191" s="4" t="s">
        <v>356</v>
      </c>
      <c r="B191" s="17"/>
      <c r="C191" s="17"/>
      <c r="D191" s="17"/>
      <c r="E191" s="4" t="str">
        <f aca="false">IFERROR(VLOOKUP(D191,'1. Country Master List'!C:B,2,FALSE()),"")</f>
        <v/>
      </c>
      <c r="F191" s="4" t="str">
        <f aca="false">IFERROR(VLOOKUP(D191,'1. Country Master List'!$C$4:$D$53,2,FALSE()),"")</f>
        <v/>
      </c>
      <c r="G191" s="4" t="str">
        <f aca="false">IFERROR(VLOOKUP(D191,'1. Country Master List'!$C$4:$E$53,3,FALSE()),"")</f>
        <v/>
      </c>
      <c r="H191" s="17"/>
      <c r="I191" s="17"/>
      <c r="J191" s="17"/>
    </row>
    <row r="192" customFormat="false" ht="23.85" hidden="false" customHeight="false" outlineLevel="0" collapsed="false">
      <c r="A192" s="7" t="s">
        <v>357</v>
      </c>
      <c r="B192" s="24"/>
      <c r="C192" s="24"/>
      <c r="D192" s="24"/>
      <c r="E192" s="7" t="str">
        <f aca="false">IFERROR(VLOOKUP(D192,'1. Country Master List'!C:B,2,FALSE()),"")</f>
        <v/>
      </c>
      <c r="F192" s="7" t="str">
        <f aca="false">IFERROR(VLOOKUP(D192,'1. Country Master List'!$C$4:$D$53,2,FALSE()),"")</f>
        <v/>
      </c>
      <c r="G192" s="7" t="str">
        <f aca="false">IFERROR(VLOOKUP(D192,'1. Country Master List'!$C$4:$E$53,3,FALSE()),"")</f>
        <v/>
      </c>
      <c r="H192" s="24"/>
      <c r="I192" s="24"/>
      <c r="J192" s="24"/>
    </row>
    <row r="193" customFormat="false" ht="23.85" hidden="false" customHeight="false" outlineLevel="0" collapsed="false">
      <c r="A193" s="4" t="s">
        <v>358</v>
      </c>
      <c r="B193" s="17"/>
      <c r="C193" s="17"/>
      <c r="D193" s="17"/>
      <c r="E193" s="4" t="str">
        <f aca="false">IFERROR(VLOOKUP(D193,'1. Country Master List'!C:B,2,FALSE()),"")</f>
        <v/>
      </c>
      <c r="F193" s="4" t="str">
        <f aca="false">IFERROR(VLOOKUP(D193,'1. Country Master List'!$C$4:$D$53,2,FALSE()),"")</f>
        <v/>
      </c>
      <c r="G193" s="4" t="str">
        <f aca="false">IFERROR(VLOOKUP(D193,'1. Country Master List'!$C$4:$E$53,3,FALSE()),"")</f>
        <v/>
      </c>
      <c r="H193" s="17"/>
      <c r="I193" s="17"/>
      <c r="J193" s="17"/>
    </row>
    <row r="194" customFormat="false" ht="23.85" hidden="false" customHeight="false" outlineLevel="0" collapsed="false">
      <c r="A194" s="7" t="s">
        <v>359</v>
      </c>
      <c r="B194" s="24"/>
      <c r="C194" s="24"/>
      <c r="D194" s="24"/>
      <c r="E194" s="7" t="str">
        <f aca="false">IFERROR(VLOOKUP(D194,'1. Country Master List'!C:B,2,FALSE()),"")</f>
        <v/>
      </c>
      <c r="F194" s="7" t="str">
        <f aca="false">IFERROR(VLOOKUP(D194,'1. Country Master List'!$C$4:$D$53,2,FALSE()),"")</f>
        <v/>
      </c>
      <c r="G194" s="7" t="str">
        <f aca="false">IFERROR(VLOOKUP(D194,'1. Country Master List'!$C$4:$E$53,3,FALSE()),"")</f>
        <v/>
      </c>
      <c r="H194" s="24"/>
      <c r="I194" s="24"/>
      <c r="J194" s="24"/>
    </row>
    <row r="195" customFormat="false" ht="23.85" hidden="false" customHeight="false" outlineLevel="0" collapsed="false">
      <c r="A195" s="4" t="s">
        <v>360</v>
      </c>
      <c r="B195" s="17"/>
      <c r="C195" s="17"/>
      <c r="D195" s="17"/>
      <c r="E195" s="4" t="str">
        <f aca="false">IFERROR(VLOOKUP(D195,'1. Country Master List'!C:B,2,FALSE()),"")</f>
        <v/>
      </c>
      <c r="F195" s="4" t="str">
        <f aca="false">IFERROR(VLOOKUP(D195,'1. Country Master List'!$C$4:$D$53,2,FALSE()),"")</f>
        <v/>
      </c>
      <c r="G195" s="4" t="str">
        <f aca="false">IFERROR(VLOOKUP(D195,'1. Country Master List'!$C$4:$E$53,3,FALSE()),"")</f>
        <v/>
      </c>
      <c r="H195" s="17"/>
      <c r="I195" s="17"/>
      <c r="J195" s="17"/>
    </row>
    <row r="196" customFormat="false" ht="23.85" hidden="false" customHeight="false" outlineLevel="0" collapsed="false">
      <c r="A196" s="7" t="s">
        <v>361</v>
      </c>
      <c r="B196" s="24"/>
      <c r="C196" s="24"/>
      <c r="D196" s="24"/>
      <c r="E196" s="7" t="str">
        <f aca="false">IFERROR(VLOOKUP(D196,'1. Country Master List'!C:B,2,FALSE()),"")</f>
        <v/>
      </c>
      <c r="F196" s="7" t="str">
        <f aca="false">IFERROR(VLOOKUP(D196,'1. Country Master List'!$C$4:$D$53,2,FALSE()),"")</f>
        <v/>
      </c>
      <c r="G196" s="7" t="str">
        <f aca="false">IFERROR(VLOOKUP(D196,'1. Country Master List'!$C$4:$E$53,3,FALSE()),"")</f>
        <v/>
      </c>
      <c r="H196" s="24"/>
      <c r="I196" s="24"/>
      <c r="J196" s="24"/>
    </row>
    <row r="197" customFormat="false" ht="23.85" hidden="false" customHeight="false" outlineLevel="0" collapsed="false">
      <c r="A197" s="4" t="s">
        <v>362</v>
      </c>
      <c r="B197" s="17"/>
      <c r="C197" s="17"/>
      <c r="D197" s="17"/>
      <c r="E197" s="4" t="str">
        <f aca="false">IFERROR(VLOOKUP(D197,'1. Country Master List'!C:B,2,FALSE()),"")</f>
        <v/>
      </c>
      <c r="F197" s="4" t="str">
        <f aca="false">IFERROR(VLOOKUP(D197,'1. Country Master List'!$C$4:$D$53,2,FALSE()),"")</f>
        <v/>
      </c>
      <c r="G197" s="4" t="str">
        <f aca="false">IFERROR(VLOOKUP(D197,'1. Country Master List'!$C$4:$E$53,3,FALSE()),"")</f>
        <v/>
      </c>
      <c r="H197" s="17"/>
      <c r="I197" s="17"/>
      <c r="J197" s="17"/>
    </row>
    <row r="198" customFormat="false" ht="23.85" hidden="false" customHeight="false" outlineLevel="0" collapsed="false">
      <c r="A198" s="7" t="s">
        <v>363</v>
      </c>
      <c r="B198" s="24"/>
      <c r="C198" s="24"/>
      <c r="D198" s="24"/>
      <c r="E198" s="7" t="str">
        <f aca="false">IFERROR(VLOOKUP(D198,'1. Country Master List'!C:B,2,FALSE()),"")</f>
        <v/>
      </c>
      <c r="F198" s="7" t="str">
        <f aca="false">IFERROR(VLOOKUP(D198,'1. Country Master List'!$C$4:$D$53,2,FALSE()),"")</f>
        <v/>
      </c>
      <c r="G198" s="7" t="str">
        <f aca="false">IFERROR(VLOOKUP(D198,'1. Country Master List'!$C$4:$E$53,3,FALSE()),"")</f>
        <v/>
      </c>
      <c r="H198" s="24"/>
      <c r="I198" s="24"/>
      <c r="J198" s="24"/>
    </row>
    <row r="199" customFormat="false" ht="23.85" hidden="false" customHeight="false" outlineLevel="0" collapsed="false">
      <c r="A199" s="4" t="s">
        <v>364</v>
      </c>
      <c r="B199" s="17"/>
      <c r="C199" s="17"/>
      <c r="D199" s="17"/>
      <c r="E199" s="4" t="str">
        <f aca="false">IFERROR(VLOOKUP(D199,'1. Country Master List'!C:B,2,FALSE()),"")</f>
        <v/>
      </c>
      <c r="F199" s="4" t="str">
        <f aca="false">IFERROR(VLOOKUP(D199,'1. Country Master List'!$C$4:$D$53,2,FALSE()),"")</f>
        <v/>
      </c>
      <c r="G199" s="4" t="str">
        <f aca="false">IFERROR(VLOOKUP(D199,'1. Country Master List'!$C$4:$E$53,3,FALSE()),"")</f>
        <v/>
      </c>
      <c r="H199" s="17"/>
      <c r="I199" s="17"/>
      <c r="J199" s="17"/>
    </row>
    <row r="200" customFormat="false" ht="23.85" hidden="false" customHeight="false" outlineLevel="0" collapsed="false">
      <c r="A200" s="7" t="s">
        <v>365</v>
      </c>
      <c r="B200" s="24"/>
      <c r="C200" s="24"/>
      <c r="D200" s="24"/>
      <c r="E200" s="7" t="str">
        <f aca="false">IFERROR(VLOOKUP(D200,'1. Country Master List'!C:B,2,FALSE()),"")</f>
        <v/>
      </c>
      <c r="F200" s="7" t="str">
        <f aca="false">IFERROR(VLOOKUP(D200,'1. Country Master List'!$C$4:$D$53,2,FALSE()),"")</f>
        <v/>
      </c>
      <c r="G200" s="7" t="str">
        <f aca="false">IFERROR(VLOOKUP(D200,'1. Country Master List'!$C$4:$E$53,3,FALSE()),"")</f>
        <v/>
      </c>
      <c r="H200" s="24"/>
      <c r="I200" s="24"/>
      <c r="J200" s="24"/>
    </row>
    <row r="201" customFormat="false" ht="23.85" hidden="false" customHeight="false" outlineLevel="0" collapsed="false">
      <c r="A201" s="4" t="s">
        <v>366</v>
      </c>
      <c r="B201" s="17"/>
      <c r="C201" s="17"/>
      <c r="D201" s="17"/>
      <c r="E201" s="4" t="str">
        <f aca="false">IFERROR(VLOOKUP(D201,'1. Country Master List'!C:B,2,FALSE()),"")</f>
        <v/>
      </c>
      <c r="F201" s="4" t="str">
        <f aca="false">IFERROR(VLOOKUP(D201,'1. Country Master List'!$C$4:$D$53,2,FALSE()),"")</f>
        <v/>
      </c>
      <c r="G201" s="4" t="str">
        <f aca="false">IFERROR(VLOOKUP(D201,'1. Country Master List'!$C$4:$E$53,3,FALSE()),"")</f>
        <v/>
      </c>
      <c r="H201" s="17"/>
      <c r="I201" s="17"/>
      <c r="J201" s="17"/>
    </row>
    <row r="202" customFormat="false" ht="23.85" hidden="false" customHeight="false" outlineLevel="0" collapsed="false">
      <c r="A202" s="7" t="s">
        <v>367</v>
      </c>
      <c r="B202" s="24"/>
      <c r="C202" s="24"/>
      <c r="D202" s="24"/>
      <c r="E202" s="7" t="str">
        <f aca="false">IFERROR(VLOOKUP(D202,'1. Country Master List'!C:B,2,FALSE()),"")</f>
        <v/>
      </c>
      <c r="F202" s="7" t="str">
        <f aca="false">IFERROR(VLOOKUP(D202,'1. Country Master List'!$C$4:$D$53,2,FALSE()),"")</f>
        <v/>
      </c>
      <c r="G202" s="7" t="str">
        <f aca="false">IFERROR(VLOOKUP(D202,'1. Country Master List'!$C$4:$E$53,3,FALSE()),"")</f>
        <v/>
      </c>
      <c r="H202" s="24"/>
      <c r="I202" s="24"/>
      <c r="J202" s="24"/>
    </row>
    <row r="203" customFormat="false" ht="23.85" hidden="false" customHeight="false" outlineLevel="0" collapsed="false">
      <c r="A203" s="4" t="s">
        <v>368</v>
      </c>
      <c r="B203" s="17"/>
      <c r="C203" s="17"/>
      <c r="D203" s="17"/>
      <c r="E203" s="4" t="str">
        <f aca="false">IFERROR(VLOOKUP(D203,'1. Country Master List'!C:B,2,FALSE()),"")</f>
        <v/>
      </c>
      <c r="F203" s="4" t="str">
        <f aca="false">IFERROR(VLOOKUP(D203,'1. Country Master List'!$C$4:$D$53,2,FALSE()),"")</f>
        <v/>
      </c>
      <c r="G203" s="4" t="str">
        <f aca="false">IFERROR(VLOOKUP(D203,'1. Country Master List'!$C$4:$E$53,3,FALSE()),"")</f>
        <v/>
      </c>
      <c r="H203" s="17"/>
      <c r="I203" s="17"/>
      <c r="J203" s="17"/>
    </row>
    <row r="204" customFormat="false" ht="23.85" hidden="false" customHeight="false" outlineLevel="0" collapsed="false">
      <c r="A204" s="7" t="s">
        <v>369</v>
      </c>
      <c r="B204" s="24"/>
      <c r="C204" s="24"/>
      <c r="D204" s="24"/>
      <c r="E204" s="7" t="str">
        <f aca="false">IFERROR(VLOOKUP(D204,'1. Country Master List'!C:B,2,FALSE()),"")</f>
        <v/>
      </c>
      <c r="F204" s="7" t="str">
        <f aca="false">IFERROR(VLOOKUP(D204,'1. Country Master List'!$C$4:$D$53,2,FALSE()),"")</f>
        <v/>
      </c>
      <c r="G204" s="7" t="str">
        <f aca="false">IFERROR(VLOOKUP(D204,'1. Country Master List'!$C$4:$E$53,3,FALSE()),"")</f>
        <v/>
      </c>
      <c r="H204" s="24"/>
      <c r="I204" s="24"/>
      <c r="J204" s="24"/>
    </row>
    <row r="205" customFormat="false" ht="23.85" hidden="false" customHeight="false" outlineLevel="0" collapsed="false">
      <c r="A205" s="4" t="s">
        <v>370</v>
      </c>
      <c r="B205" s="17"/>
      <c r="C205" s="17"/>
      <c r="D205" s="17"/>
      <c r="E205" s="4" t="str">
        <f aca="false">IFERROR(VLOOKUP(D205,'1. Country Master List'!C:B,2,FALSE()),"")</f>
        <v/>
      </c>
      <c r="F205" s="4" t="str">
        <f aca="false">IFERROR(VLOOKUP(D205,'1. Country Master List'!$C$4:$D$53,2,FALSE()),"")</f>
        <v/>
      </c>
      <c r="G205" s="4" t="str">
        <f aca="false">IFERROR(VLOOKUP(D205,'1. Country Master List'!$C$4:$E$53,3,FALSE()),"")</f>
        <v/>
      </c>
      <c r="H205" s="17"/>
      <c r="I205" s="17"/>
      <c r="J205" s="17"/>
    </row>
    <row r="206" customFormat="false" ht="23.85" hidden="false" customHeight="false" outlineLevel="0" collapsed="false">
      <c r="A206" s="7" t="s">
        <v>371</v>
      </c>
      <c r="B206" s="24"/>
      <c r="C206" s="24"/>
      <c r="D206" s="24"/>
      <c r="E206" s="7" t="str">
        <f aca="false">IFERROR(VLOOKUP(D206,'1. Country Master List'!C:B,2,FALSE()),"")</f>
        <v/>
      </c>
      <c r="F206" s="7" t="str">
        <f aca="false">IFERROR(VLOOKUP(D206,'1. Country Master List'!$C$4:$D$53,2,FALSE()),"")</f>
        <v/>
      </c>
      <c r="G206" s="7" t="str">
        <f aca="false">IFERROR(VLOOKUP(D206,'1. Country Master List'!$C$4:$E$53,3,FALSE()),"")</f>
        <v/>
      </c>
      <c r="H206" s="24"/>
      <c r="I206" s="24"/>
      <c r="J206" s="24"/>
    </row>
    <row r="207" customFormat="false" ht="23.85" hidden="false" customHeight="false" outlineLevel="0" collapsed="false">
      <c r="A207" s="4" t="s">
        <v>372</v>
      </c>
      <c r="B207" s="17"/>
      <c r="C207" s="17"/>
      <c r="D207" s="17"/>
      <c r="E207" s="4" t="str">
        <f aca="false">IFERROR(VLOOKUP(D207,'1. Country Master List'!C:B,2,FALSE()),"")</f>
        <v/>
      </c>
      <c r="F207" s="4" t="str">
        <f aca="false">IFERROR(VLOOKUP(D207,'1. Country Master List'!$C$4:$D$53,2,FALSE()),"")</f>
        <v/>
      </c>
      <c r="G207" s="4" t="str">
        <f aca="false">IFERROR(VLOOKUP(D207,'1. Country Master List'!$C$4:$E$53,3,FALSE()),"")</f>
        <v/>
      </c>
      <c r="H207" s="17"/>
      <c r="I207" s="17"/>
      <c r="J207" s="17"/>
    </row>
    <row r="208" customFormat="false" ht="23.85" hidden="false" customHeight="false" outlineLevel="0" collapsed="false">
      <c r="A208" s="7" t="s">
        <v>373</v>
      </c>
      <c r="B208" s="24"/>
      <c r="C208" s="24"/>
      <c r="D208" s="24"/>
      <c r="E208" s="7" t="str">
        <f aca="false">IFERROR(VLOOKUP(D208,'1. Country Master List'!C:B,2,FALSE()),"")</f>
        <v/>
      </c>
      <c r="F208" s="7" t="str">
        <f aca="false">IFERROR(VLOOKUP(D208,'1. Country Master List'!$C$4:$D$53,2,FALSE()),"")</f>
        <v/>
      </c>
      <c r="G208" s="7" t="str">
        <f aca="false">IFERROR(VLOOKUP(D208,'1. Country Master List'!$C$4:$E$53,3,FALSE()),"")</f>
        <v/>
      </c>
      <c r="H208" s="24"/>
      <c r="I208" s="24"/>
      <c r="J208" s="24"/>
    </row>
    <row r="209" customFormat="false" ht="23.85" hidden="false" customHeight="false" outlineLevel="0" collapsed="false">
      <c r="A209" s="4" t="s">
        <v>374</v>
      </c>
      <c r="B209" s="17"/>
      <c r="C209" s="17"/>
      <c r="D209" s="17"/>
      <c r="E209" s="4" t="str">
        <f aca="false">IFERROR(VLOOKUP(D209,'1. Country Master List'!C:B,2,FALSE()),"")</f>
        <v/>
      </c>
      <c r="F209" s="4" t="str">
        <f aca="false">IFERROR(VLOOKUP(D209,'1. Country Master List'!$C$4:$D$53,2,FALSE()),"")</f>
        <v/>
      </c>
      <c r="G209" s="4" t="str">
        <f aca="false">IFERROR(VLOOKUP(D209,'1. Country Master List'!$C$4:$E$53,3,FALSE()),"")</f>
        <v/>
      </c>
      <c r="H209" s="17"/>
      <c r="I209" s="17"/>
      <c r="J209" s="17"/>
    </row>
    <row r="210" customFormat="false" ht="23.85" hidden="false" customHeight="false" outlineLevel="0" collapsed="false">
      <c r="A210" s="7" t="s">
        <v>375</v>
      </c>
      <c r="B210" s="24"/>
      <c r="C210" s="24"/>
      <c r="D210" s="24"/>
      <c r="E210" s="7" t="str">
        <f aca="false">IFERROR(VLOOKUP(D210,'1. Country Master List'!C:B,2,FALSE()),"")</f>
        <v/>
      </c>
      <c r="F210" s="7" t="str">
        <f aca="false">IFERROR(VLOOKUP(D210,'1. Country Master List'!$C$4:$D$53,2,FALSE()),"")</f>
        <v/>
      </c>
      <c r="G210" s="7" t="str">
        <f aca="false">IFERROR(VLOOKUP(D210,'1. Country Master List'!$C$4:$E$53,3,FALSE()),"")</f>
        <v/>
      </c>
      <c r="H210" s="24"/>
      <c r="I210" s="24"/>
      <c r="J210" s="24"/>
    </row>
    <row r="211" customFormat="false" ht="23.85" hidden="false" customHeight="false" outlineLevel="0" collapsed="false">
      <c r="A211" s="4" t="s">
        <v>376</v>
      </c>
      <c r="B211" s="17"/>
      <c r="C211" s="17"/>
      <c r="D211" s="17"/>
      <c r="E211" s="4" t="str">
        <f aca="false">IFERROR(VLOOKUP(D211,'1. Country Master List'!C:B,2,FALSE()),"")</f>
        <v/>
      </c>
      <c r="F211" s="4" t="str">
        <f aca="false">IFERROR(VLOOKUP(D211,'1. Country Master List'!$C$4:$D$53,2,FALSE()),"")</f>
        <v/>
      </c>
      <c r="G211" s="4" t="str">
        <f aca="false">IFERROR(VLOOKUP(D211,'1. Country Master List'!$C$4:$E$53,3,FALSE()),"")</f>
        <v/>
      </c>
      <c r="H211" s="17"/>
      <c r="I211" s="17"/>
      <c r="J211" s="17"/>
    </row>
    <row r="212" customFormat="false" ht="23.85" hidden="false" customHeight="false" outlineLevel="0" collapsed="false">
      <c r="A212" s="7" t="s">
        <v>377</v>
      </c>
      <c r="B212" s="24"/>
      <c r="C212" s="24"/>
      <c r="D212" s="24"/>
      <c r="E212" s="7" t="str">
        <f aca="false">IFERROR(VLOOKUP(D212,'1. Country Master List'!C:B,2,FALSE()),"")</f>
        <v/>
      </c>
      <c r="F212" s="7" t="str">
        <f aca="false">IFERROR(VLOOKUP(D212,'1. Country Master List'!$C$4:$D$53,2,FALSE()),"")</f>
        <v/>
      </c>
      <c r="G212" s="7" t="str">
        <f aca="false">IFERROR(VLOOKUP(D212,'1. Country Master List'!$C$4:$E$53,3,FALSE()),"")</f>
        <v/>
      </c>
      <c r="H212" s="24"/>
      <c r="I212" s="24"/>
      <c r="J212" s="24"/>
    </row>
    <row r="213" customFormat="false" ht="23.85" hidden="false" customHeight="false" outlineLevel="0" collapsed="false">
      <c r="A213" s="4" t="s">
        <v>378</v>
      </c>
      <c r="B213" s="17"/>
      <c r="C213" s="17"/>
      <c r="D213" s="17"/>
      <c r="E213" s="4" t="str">
        <f aca="false">IFERROR(VLOOKUP(D213,'1. Country Master List'!C:B,2,FALSE()),"")</f>
        <v/>
      </c>
      <c r="F213" s="4" t="str">
        <f aca="false">IFERROR(VLOOKUP(D213,'1. Country Master List'!$C$4:$D$53,2,FALSE()),"")</f>
        <v/>
      </c>
      <c r="G213" s="4" t="str">
        <f aca="false">IFERROR(VLOOKUP(D213,'1. Country Master List'!$C$4:$E$53,3,FALSE()),"")</f>
        <v/>
      </c>
      <c r="H213" s="17"/>
      <c r="I213" s="17"/>
      <c r="J213" s="17"/>
    </row>
    <row r="214" customFormat="false" ht="23.85" hidden="false" customHeight="false" outlineLevel="0" collapsed="false">
      <c r="A214" s="7" t="s">
        <v>379</v>
      </c>
      <c r="B214" s="24"/>
      <c r="C214" s="24"/>
      <c r="D214" s="24"/>
      <c r="E214" s="7" t="str">
        <f aca="false">IFERROR(VLOOKUP(D214,'1. Country Master List'!C:B,2,FALSE()),"")</f>
        <v/>
      </c>
      <c r="F214" s="7" t="str">
        <f aca="false">IFERROR(VLOOKUP(D214,'1. Country Master List'!$C$4:$D$53,2,FALSE()),"")</f>
        <v/>
      </c>
      <c r="G214" s="7" t="str">
        <f aca="false">IFERROR(VLOOKUP(D214,'1. Country Master List'!$C$4:$E$53,3,FALSE()),"")</f>
        <v/>
      </c>
      <c r="H214" s="24"/>
      <c r="I214" s="24"/>
      <c r="J214" s="24"/>
    </row>
    <row r="215" customFormat="false" ht="23.85" hidden="false" customHeight="false" outlineLevel="0" collapsed="false">
      <c r="A215" s="4" t="s">
        <v>380</v>
      </c>
      <c r="B215" s="17"/>
      <c r="C215" s="17"/>
      <c r="D215" s="17"/>
      <c r="E215" s="4" t="str">
        <f aca="false">IFERROR(VLOOKUP(D215,'1. Country Master List'!C:B,2,FALSE()),"")</f>
        <v/>
      </c>
      <c r="F215" s="4" t="str">
        <f aca="false">IFERROR(VLOOKUP(D215,'1. Country Master List'!$C$4:$D$53,2,FALSE()),"")</f>
        <v/>
      </c>
      <c r="G215" s="4" t="str">
        <f aca="false">IFERROR(VLOOKUP(D215,'1. Country Master List'!$C$4:$E$53,3,FALSE()),"")</f>
        <v/>
      </c>
      <c r="H215" s="17"/>
      <c r="I215" s="17"/>
      <c r="J215" s="17"/>
    </row>
    <row r="216" customFormat="false" ht="23.85" hidden="false" customHeight="false" outlineLevel="0" collapsed="false">
      <c r="A216" s="7" t="s">
        <v>381</v>
      </c>
      <c r="B216" s="24"/>
      <c r="C216" s="24"/>
      <c r="D216" s="24"/>
      <c r="E216" s="7" t="str">
        <f aca="false">IFERROR(VLOOKUP(D216,'1. Country Master List'!C:B,2,FALSE()),"")</f>
        <v/>
      </c>
      <c r="F216" s="7" t="str">
        <f aca="false">IFERROR(VLOOKUP(D216,'1. Country Master List'!$C$4:$D$53,2,FALSE()),"")</f>
        <v/>
      </c>
      <c r="G216" s="7" t="str">
        <f aca="false">IFERROR(VLOOKUP(D216,'1. Country Master List'!$C$4:$E$53,3,FALSE()),"")</f>
        <v/>
      </c>
      <c r="H216" s="24"/>
      <c r="I216" s="24"/>
      <c r="J216" s="24"/>
    </row>
    <row r="217" customFormat="false" ht="23.85" hidden="false" customHeight="false" outlineLevel="0" collapsed="false">
      <c r="A217" s="4" t="s">
        <v>382</v>
      </c>
      <c r="B217" s="17"/>
      <c r="C217" s="17"/>
      <c r="D217" s="17"/>
      <c r="E217" s="4" t="str">
        <f aca="false">IFERROR(VLOOKUP(D217,'1. Country Master List'!C:B,2,FALSE()),"")</f>
        <v/>
      </c>
      <c r="F217" s="4" t="str">
        <f aca="false">IFERROR(VLOOKUP(D217,'1. Country Master List'!$C$4:$D$53,2,FALSE()),"")</f>
        <v/>
      </c>
      <c r="G217" s="4" t="str">
        <f aca="false">IFERROR(VLOOKUP(D217,'1. Country Master List'!$C$4:$E$53,3,FALSE()),"")</f>
        <v/>
      </c>
      <c r="H217" s="17"/>
      <c r="I217" s="17"/>
      <c r="J217" s="17"/>
    </row>
    <row r="218" customFormat="false" ht="23.85" hidden="false" customHeight="false" outlineLevel="0" collapsed="false">
      <c r="A218" s="7" t="s">
        <v>383</v>
      </c>
      <c r="B218" s="24"/>
      <c r="C218" s="24"/>
      <c r="D218" s="24"/>
      <c r="E218" s="7" t="str">
        <f aca="false">IFERROR(VLOOKUP(D218,'1. Country Master List'!C:B,2,FALSE()),"")</f>
        <v/>
      </c>
      <c r="F218" s="7" t="str">
        <f aca="false">IFERROR(VLOOKUP(D218,'1. Country Master List'!$C$4:$D$53,2,FALSE()),"")</f>
        <v/>
      </c>
      <c r="G218" s="7" t="str">
        <f aca="false">IFERROR(VLOOKUP(D218,'1. Country Master List'!$C$4:$E$53,3,FALSE()),"")</f>
        <v/>
      </c>
      <c r="H218" s="24"/>
      <c r="I218" s="24"/>
      <c r="J218" s="24"/>
    </row>
    <row r="219" customFormat="false" ht="23.85" hidden="false" customHeight="false" outlineLevel="0" collapsed="false">
      <c r="A219" s="4" t="s">
        <v>384</v>
      </c>
      <c r="B219" s="17"/>
      <c r="C219" s="17"/>
      <c r="D219" s="17"/>
      <c r="E219" s="4" t="str">
        <f aca="false">IFERROR(VLOOKUP(D219,'1. Country Master List'!C:B,2,FALSE()),"")</f>
        <v/>
      </c>
      <c r="F219" s="4" t="str">
        <f aca="false">IFERROR(VLOOKUP(D219,'1. Country Master List'!$C$4:$D$53,2,FALSE()),"")</f>
        <v/>
      </c>
      <c r="G219" s="4" t="str">
        <f aca="false">IFERROR(VLOOKUP(D219,'1. Country Master List'!$C$4:$E$53,3,FALSE()),"")</f>
        <v/>
      </c>
      <c r="H219" s="17"/>
      <c r="I219" s="17"/>
      <c r="J219" s="17"/>
    </row>
    <row r="220" customFormat="false" ht="23.85" hidden="false" customHeight="false" outlineLevel="0" collapsed="false">
      <c r="A220" s="7" t="s">
        <v>385</v>
      </c>
      <c r="B220" s="24"/>
      <c r="C220" s="24"/>
      <c r="D220" s="24"/>
      <c r="E220" s="7" t="str">
        <f aca="false">IFERROR(VLOOKUP(D220,'1. Country Master List'!C:B,2,FALSE()),"")</f>
        <v/>
      </c>
      <c r="F220" s="7" t="str">
        <f aca="false">IFERROR(VLOOKUP(D220,'1. Country Master List'!$C$4:$D$53,2,FALSE()),"")</f>
        <v/>
      </c>
      <c r="G220" s="7" t="str">
        <f aca="false">IFERROR(VLOOKUP(D220,'1. Country Master List'!$C$4:$E$53,3,FALSE()),"")</f>
        <v/>
      </c>
      <c r="H220" s="24"/>
      <c r="I220" s="24"/>
      <c r="J220" s="24"/>
    </row>
    <row r="221" customFormat="false" ht="23.85" hidden="false" customHeight="false" outlineLevel="0" collapsed="false">
      <c r="A221" s="4" t="s">
        <v>386</v>
      </c>
      <c r="B221" s="17"/>
      <c r="C221" s="17"/>
      <c r="D221" s="17"/>
      <c r="E221" s="4" t="str">
        <f aca="false">IFERROR(VLOOKUP(D221,'1. Country Master List'!C:B,2,FALSE()),"")</f>
        <v/>
      </c>
      <c r="F221" s="4" t="str">
        <f aca="false">IFERROR(VLOOKUP(D221,'1. Country Master List'!$C$4:$D$53,2,FALSE()),"")</f>
        <v/>
      </c>
      <c r="G221" s="4" t="str">
        <f aca="false">IFERROR(VLOOKUP(D221,'1. Country Master List'!$C$4:$E$53,3,FALSE()),"")</f>
        <v/>
      </c>
      <c r="H221" s="17"/>
      <c r="I221" s="17"/>
      <c r="J221" s="17"/>
    </row>
    <row r="222" customFormat="false" ht="23.85" hidden="false" customHeight="false" outlineLevel="0" collapsed="false">
      <c r="A222" s="7" t="s">
        <v>387</v>
      </c>
      <c r="B222" s="24"/>
      <c r="C222" s="24"/>
      <c r="D222" s="24"/>
      <c r="E222" s="7" t="str">
        <f aca="false">IFERROR(VLOOKUP(D222,'1. Country Master List'!C:B,2,FALSE()),"")</f>
        <v/>
      </c>
      <c r="F222" s="7" t="str">
        <f aca="false">IFERROR(VLOOKUP(D222,'1. Country Master List'!$C$4:$D$53,2,FALSE()),"")</f>
        <v/>
      </c>
      <c r="G222" s="7" t="str">
        <f aca="false">IFERROR(VLOOKUP(D222,'1. Country Master List'!$C$4:$E$53,3,FALSE()),"")</f>
        <v/>
      </c>
      <c r="H222" s="24"/>
      <c r="I222" s="24"/>
      <c r="J222" s="24"/>
    </row>
    <row r="223" customFormat="false" ht="23.85" hidden="false" customHeight="false" outlineLevel="0" collapsed="false">
      <c r="A223" s="4" t="s">
        <v>388</v>
      </c>
      <c r="B223" s="17"/>
      <c r="C223" s="17"/>
      <c r="D223" s="17"/>
      <c r="E223" s="4" t="str">
        <f aca="false">IFERROR(VLOOKUP(D223,'1. Country Master List'!C:B,2,FALSE()),"")</f>
        <v/>
      </c>
      <c r="F223" s="4" t="str">
        <f aca="false">IFERROR(VLOOKUP(D223,'1. Country Master List'!$C$4:$D$53,2,FALSE()),"")</f>
        <v/>
      </c>
      <c r="G223" s="4" t="str">
        <f aca="false">IFERROR(VLOOKUP(D223,'1. Country Master List'!$C$4:$E$53,3,FALSE()),"")</f>
        <v/>
      </c>
      <c r="H223" s="17"/>
      <c r="I223" s="17"/>
      <c r="J223" s="17"/>
    </row>
    <row r="224" customFormat="false" ht="23.85" hidden="false" customHeight="false" outlineLevel="0" collapsed="false">
      <c r="A224" s="7" t="s">
        <v>389</v>
      </c>
      <c r="B224" s="24"/>
      <c r="C224" s="24"/>
      <c r="D224" s="24"/>
      <c r="E224" s="7" t="str">
        <f aca="false">IFERROR(VLOOKUP(D224,'1. Country Master List'!C:B,2,FALSE()),"")</f>
        <v/>
      </c>
      <c r="F224" s="7" t="str">
        <f aca="false">IFERROR(VLOOKUP(D224,'1. Country Master List'!$C$4:$D$53,2,FALSE()),"")</f>
        <v/>
      </c>
      <c r="G224" s="7" t="str">
        <f aca="false">IFERROR(VLOOKUP(D224,'1. Country Master List'!$C$4:$E$53,3,FALSE()),"")</f>
        <v/>
      </c>
      <c r="H224" s="24"/>
      <c r="I224" s="24"/>
      <c r="J224" s="24"/>
    </row>
    <row r="225" customFormat="false" ht="23.85" hidden="false" customHeight="false" outlineLevel="0" collapsed="false">
      <c r="A225" s="4" t="s">
        <v>390</v>
      </c>
      <c r="B225" s="17"/>
      <c r="C225" s="17"/>
      <c r="D225" s="17"/>
      <c r="E225" s="4" t="str">
        <f aca="false">IFERROR(VLOOKUP(D225,'1. Country Master List'!C:B,2,FALSE()),"")</f>
        <v/>
      </c>
      <c r="F225" s="4" t="str">
        <f aca="false">IFERROR(VLOOKUP(D225,'1. Country Master List'!$C$4:$D$53,2,FALSE()),"")</f>
        <v/>
      </c>
      <c r="G225" s="4" t="str">
        <f aca="false">IFERROR(VLOOKUP(D225,'1. Country Master List'!$C$4:$E$53,3,FALSE()),"")</f>
        <v/>
      </c>
      <c r="H225" s="17"/>
      <c r="I225" s="17"/>
      <c r="J225" s="17"/>
    </row>
    <row r="226" customFormat="false" ht="23.85" hidden="false" customHeight="false" outlineLevel="0" collapsed="false">
      <c r="A226" s="7" t="s">
        <v>391</v>
      </c>
      <c r="B226" s="24"/>
      <c r="C226" s="24"/>
      <c r="D226" s="24"/>
      <c r="E226" s="7" t="str">
        <f aca="false">IFERROR(VLOOKUP(D226,'1. Country Master List'!C:B,2,FALSE()),"")</f>
        <v/>
      </c>
      <c r="F226" s="7" t="str">
        <f aca="false">IFERROR(VLOOKUP(D226,'1. Country Master List'!$C$4:$D$53,2,FALSE()),"")</f>
        <v/>
      </c>
      <c r="G226" s="7" t="str">
        <f aca="false">IFERROR(VLOOKUP(D226,'1. Country Master List'!$C$4:$E$53,3,FALSE()),"")</f>
        <v/>
      </c>
      <c r="H226" s="24"/>
      <c r="I226" s="24"/>
      <c r="J226" s="24"/>
    </row>
    <row r="227" customFormat="false" ht="23.85" hidden="false" customHeight="false" outlineLevel="0" collapsed="false">
      <c r="A227" s="4" t="s">
        <v>392</v>
      </c>
      <c r="B227" s="17"/>
      <c r="C227" s="17"/>
      <c r="D227" s="17"/>
      <c r="E227" s="4" t="str">
        <f aca="false">IFERROR(VLOOKUP(D227,'1. Country Master List'!C:B,2,FALSE()),"")</f>
        <v/>
      </c>
      <c r="F227" s="4" t="str">
        <f aca="false">IFERROR(VLOOKUP(D227,'1. Country Master List'!$C$4:$D$53,2,FALSE()),"")</f>
        <v/>
      </c>
      <c r="G227" s="4" t="str">
        <f aca="false">IFERROR(VLOOKUP(D227,'1. Country Master List'!$C$4:$E$53,3,FALSE()),"")</f>
        <v/>
      </c>
      <c r="H227" s="17"/>
      <c r="I227" s="17"/>
      <c r="J227" s="17"/>
    </row>
    <row r="228" customFormat="false" ht="23.85" hidden="false" customHeight="false" outlineLevel="0" collapsed="false">
      <c r="A228" s="7" t="s">
        <v>393</v>
      </c>
      <c r="B228" s="24"/>
      <c r="C228" s="24"/>
      <c r="D228" s="24"/>
      <c r="E228" s="7" t="str">
        <f aca="false">IFERROR(VLOOKUP(D228,'1. Country Master List'!C:B,2,FALSE()),"")</f>
        <v/>
      </c>
      <c r="F228" s="7" t="str">
        <f aca="false">IFERROR(VLOOKUP(D228,'1. Country Master List'!$C$4:$D$53,2,FALSE()),"")</f>
        <v/>
      </c>
      <c r="G228" s="7" t="str">
        <f aca="false">IFERROR(VLOOKUP(D228,'1. Country Master List'!$C$4:$E$53,3,FALSE()),"")</f>
        <v/>
      </c>
      <c r="H228" s="24"/>
      <c r="I228" s="24"/>
      <c r="J228" s="24"/>
    </row>
    <row r="229" customFormat="false" ht="23.85" hidden="false" customHeight="false" outlineLevel="0" collapsed="false">
      <c r="A229" s="4" t="s">
        <v>394</v>
      </c>
      <c r="B229" s="17"/>
      <c r="C229" s="17"/>
      <c r="D229" s="17"/>
      <c r="E229" s="4" t="str">
        <f aca="false">IFERROR(VLOOKUP(D229,'1. Country Master List'!C:B,2,FALSE()),"")</f>
        <v/>
      </c>
      <c r="F229" s="4" t="str">
        <f aca="false">IFERROR(VLOOKUP(D229,'1. Country Master List'!$C$4:$D$53,2,FALSE()),"")</f>
        <v/>
      </c>
      <c r="G229" s="4" t="str">
        <f aca="false">IFERROR(VLOOKUP(D229,'1. Country Master List'!$C$4:$E$53,3,FALSE()),"")</f>
        <v/>
      </c>
      <c r="H229" s="17"/>
      <c r="I229" s="17"/>
      <c r="J229" s="17"/>
    </row>
    <row r="230" customFormat="false" ht="23.85" hidden="false" customHeight="false" outlineLevel="0" collapsed="false">
      <c r="A230" s="7" t="s">
        <v>395</v>
      </c>
      <c r="B230" s="24"/>
      <c r="C230" s="24"/>
      <c r="D230" s="24"/>
      <c r="E230" s="7" t="str">
        <f aca="false">IFERROR(VLOOKUP(D230,'1. Country Master List'!C:B,2,FALSE()),"")</f>
        <v/>
      </c>
      <c r="F230" s="7" t="str">
        <f aca="false">IFERROR(VLOOKUP(D230,'1. Country Master List'!$C$4:$D$53,2,FALSE()),"")</f>
        <v/>
      </c>
      <c r="G230" s="7" t="str">
        <f aca="false">IFERROR(VLOOKUP(D230,'1. Country Master List'!$C$4:$E$53,3,FALSE()),"")</f>
        <v/>
      </c>
      <c r="H230" s="24"/>
      <c r="I230" s="24"/>
      <c r="J230" s="24"/>
    </row>
    <row r="231" customFormat="false" ht="23.85" hidden="false" customHeight="false" outlineLevel="0" collapsed="false">
      <c r="A231" s="4" t="s">
        <v>396</v>
      </c>
      <c r="B231" s="17"/>
      <c r="C231" s="17"/>
      <c r="D231" s="17"/>
      <c r="E231" s="4" t="str">
        <f aca="false">IFERROR(VLOOKUP(D231,'1. Country Master List'!C:B,2,FALSE()),"")</f>
        <v/>
      </c>
      <c r="F231" s="4" t="str">
        <f aca="false">IFERROR(VLOOKUP(D231,'1. Country Master List'!$C$4:$D$53,2,FALSE()),"")</f>
        <v/>
      </c>
      <c r="G231" s="4" t="str">
        <f aca="false">IFERROR(VLOOKUP(D231,'1. Country Master List'!$C$4:$E$53,3,FALSE()),"")</f>
        <v/>
      </c>
      <c r="H231" s="17"/>
      <c r="I231" s="17"/>
      <c r="J231" s="17"/>
    </row>
    <row r="232" customFormat="false" ht="23.85" hidden="false" customHeight="false" outlineLevel="0" collapsed="false">
      <c r="A232" s="7" t="s">
        <v>397</v>
      </c>
      <c r="B232" s="24"/>
      <c r="C232" s="24"/>
      <c r="D232" s="24"/>
      <c r="E232" s="7" t="str">
        <f aca="false">IFERROR(VLOOKUP(D232,'1. Country Master List'!C:B,2,FALSE()),"")</f>
        <v/>
      </c>
      <c r="F232" s="7" t="str">
        <f aca="false">IFERROR(VLOOKUP(D232,'1. Country Master List'!$C$4:$D$53,2,FALSE()),"")</f>
        <v/>
      </c>
      <c r="G232" s="7" t="str">
        <f aca="false">IFERROR(VLOOKUP(D232,'1. Country Master List'!$C$4:$E$53,3,FALSE()),"")</f>
        <v/>
      </c>
      <c r="H232" s="24"/>
      <c r="I232" s="24"/>
      <c r="J232" s="24"/>
    </row>
    <row r="233" customFormat="false" ht="23.85" hidden="false" customHeight="false" outlineLevel="0" collapsed="false">
      <c r="A233" s="4" t="s">
        <v>398</v>
      </c>
      <c r="B233" s="17"/>
      <c r="C233" s="17"/>
      <c r="D233" s="17"/>
      <c r="E233" s="4" t="str">
        <f aca="false">IFERROR(VLOOKUP(D233,'1. Country Master List'!C:B,2,FALSE()),"")</f>
        <v/>
      </c>
      <c r="F233" s="4" t="str">
        <f aca="false">IFERROR(VLOOKUP(D233,'1. Country Master List'!$C$4:$D$53,2,FALSE()),"")</f>
        <v/>
      </c>
      <c r="G233" s="4" t="str">
        <f aca="false">IFERROR(VLOOKUP(D233,'1. Country Master List'!$C$4:$E$53,3,FALSE()),"")</f>
        <v/>
      </c>
      <c r="H233" s="17"/>
      <c r="I233" s="17"/>
      <c r="J233" s="17"/>
    </row>
    <row r="234" customFormat="false" ht="23.85" hidden="false" customHeight="false" outlineLevel="0" collapsed="false">
      <c r="A234" s="7" t="s">
        <v>399</v>
      </c>
      <c r="B234" s="24"/>
      <c r="C234" s="24"/>
      <c r="D234" s="24"/>
      <c r="E234" s="7" t="str">
        <f aca="false">IFERROR(VLOOKUP(D234,'1. Country Master List'!C:B,2,FALSE()),"")</f>
        <v/>
      </c>
      <c r="F234" s="7" t="str">
        <f aca="false">IFERROR(VLOOKUP(D234,'1. Country Master List'!$C$4:$D$53,2,FALSE()),"")</f>
        <v/>
      </c>
      <c r="G234" s="7" t="str">
        <f aca="false">IFERROR(VLOOKUP(D234,'1. Country Master List'!$C$4:$E$53,3,FALSE()),"")</f>
        <v/>
      </c>
      <c r="H234" s="24"/>
      <c r="I234" s="24"/>
      <c r="J234" s="24"/>
    </row>
    <row r="235" customFormat="false" ht="23.85" hidden="false" customHeight="false" outlineLevel="0" collapsed="false">
      <c r="A235" s="4" t="s">
        <v>400</v>
      </c>
      <c r="B235" s="17"/>
      <c r="C235" s="17"/>
      <c r="D235" s="17"/>
      <c r="E235" s="4" t="str">
        <f aca="false">IFERROR(VLOOKUP(D235,'1. Country Master List'!C:B,2,FALSE()),"")</f>
        <v/>
      </c>
      <c r="F235" s="4" t="str">
        <f aca="false">IFERROR(VLOOKUP(D235,'1. Country Master List'!$C$4:$D$53,2,FALSE()),"")</f>
        <v/>
      </c>
      <c r="G235" s="4" t="str">
        <f aca="false">IFERROR(VLOOKUP(D235,'1. Country Master List'!$C$4:$E$53,3,FALSE()),"")</f>
        <v/>
      </c>
      <c r="H235" s="17"/>
      <c r="I235" s="17"/>
      <c r="J235" s="17"/>
    </row>
    <row r="236" customFormat="false" ht="23.85" hidden="false" customHeight="false" outlineLevel="0" collapsed="false">
      <c r="A236" s="7" t="s">
        <v>401</v>
      </c>
      <c r="B236" s="24"/>
      <c r="C236" s="24"/>
      <c r="D236" s="24"/>
      <c r="E236" s="7" t="str">
        <f aca="false">IFERROR(VLOOKUP(D236,'1. Country Master List'!C:B,2,FALSE()),"")</f>
        <v/>
      </c>
      <c r="F236" s="7" t="str">
        <f aca="false">IFERROR(VLOOKUP(D236,'1. Country Master List'!$C$4:$D$53,2,FALSE()),"")</f>
        <v/>
      </c>
      <c r="G236" s="7" t="str">
        <f aca="false">IFERROR(VLOOKUP(D236,'1. Country Master List'!$C$4:$E$53,3,FALSE()),"")</f>
        <v/>
      </c>
      <c r="H236" s="24"/>
      <c r="I236" s="24"/>
      <c r="J236" s="24"/>
    </row>
    <row r="237" customFormat="false" ht="23.85" hidden="false" customHeight="false" outlineLevel="0" collapsed="false">
      <c r="A237" s="4" t="s">
        <v>402</v>
      </c>
      <c r="B237" s="17"/>
      <c r="C237" s="17"/>
      <c r="D237" s="17"/>
      <c r="E237" s="4" t="str">
        <f aca="false">IFERROR(VLOOKUP(D237,'1. Country Master List'!C:B,2,FALSE()),"")</f>
        <v/>
      </c>
      <c r="F237" s="4" t="str">
        <f aca="false">IFERROR(VLOOKUP(D237,'1. Country Master List'!$C$4:$D$53,2,FALSE()),"")</f>
        <v/>
      </c>
      <c r="G237" s="4" t="str">
        <f aca="false">IFERROR(VLOOKUP(D237,'1. Country Master List'!$C$4:$E$53,3,FALSE()),"")</f>
        <v/>
      </c>
      <c r="H237" s="17"/>
      <c r="I237" s="17"/>
      <c r="J237" s="17"/>
    </row>
    <row r="238" customFormat="false" ht="23.85" hidden="false" customHeight="false" outlineLevel="0" collapsed="false">
      <c r="A238" s="7" t="s">
        <v>403</v>
      </c>
      <c r="B238" s="24"/>
      <c r="C238" s="24"/>
      <c r="D238" s="24"/>
      <c r="E238" s="7" t="str">
        <f aca="false">IFERROR(VLOOKUP(D238,'1. Country Master List'!C:B,2,FALSE()),"")</f>
        <v/>
      </c>
      <c r="F238" s="7" t="str">
        <f aca="false">IFERROR(VLOOKUP(D238,'1. Country Master List'!$C$4:$D$53,2,FALSE()),"")</f>
        <v/>
      </c>
      <c r="G238" s="7" t="str">
        <f aca="false">IFERROR(VLOOKUP(D238,'1. Country Master List'!$C$4:$E$53,3,FALSE()),"")</f>
        <v/>
      </c>
      <c r="H238" s="24"/>
      <c r="I238" s="24"/>
      <c r="J238" s="24"/>
    </row>
    <row r="239" customFormat="false" ht="23.85" hidden="false" customHeight="false" outlineLevel="0" collapsed="false">
      <c r="A239" s="4" t="s">
        <v>404</v>
      </c>
      <c r="B239" s="17"/>
      <c r="C239" s="17"/>
      <c r="D239" s="17"/>
      <c r="E239" s="4" t="str">
        <f aca="false">IFERROR(VLOOKUP(D239,'1. Country Master List'!C:B,2,FALSE()),"")</f>
        <v/>
      </c>
      <c r="F239" s="4" t="str">
        <f aca="false">IFERROR(VLOOKUP(D239,'1. Country Master List'!$C$4:$D$53,2,FALSE()),"")</f>
        <v/>
      </c>
      <c r="G239" s="4" t="str">
        <f aca="false">IFERROR(VLOOKUP(D239,'1. Country Master List'!$C$4:$E$53,3,FALSE()),"")</f>
        <v/>
      </c>
      <c r="H239" s="17"/>
      <c r="I239" s="17"/>
      <c r="J239" s="17"/>
    </row>
    <row r="240" customFormat="false" ht="23.85" hidden="false" customHeight="false" outlineLevel="0" collapsed="false">
      <c r="A240" s="7" t="s">
        <v>405</v>
      </c>
      <c r="B240" s="24"/>
      <c r="C240" s="24"/>
      <c r="D240" s="24"/>
      <c r="E240" s="7" t="str">
        <f aca="false">IFERROR(VLOOKUP(D240,'1. Country Master List'!C:B,2,FALSE()),"")</f>
        <v/>
      </c>
      <c r="F240" s="7" t="str">
        <f aca="false">IFERROR(VLOOKUP(D240,'1. Country Master List'!$C$4:$D$53,2,FALSE()),"")</f>
        <v/>
      </c>
      <c r="G240" s="7" t="str">
        <f aca="false">IFERROR(VLOOKUP(D240,'1. Country Master List'!$C$4:$E$53,3,FALSE()),"")</f>
        <v/>
      </c>
      <c r="H240" s="24"/>
      <c r="I240" s="24"/>
      <c r="J240" s="24"/>
    </row>
    <row r="241" customFormat="false" ht="23.85" hidden="false" customHeight="false" outlineLevel="0" collapsed="false">
      <c r="A241" s="4" t="s">
        <v>406</v>
      </c>
      <c r="B241" s="17"/>
      <c r="C241" s="17"/>
      <c r="D241" s="17"/>
      <c r="E241" s="4" t="str">
        <f aca="false">IFERROR(VLOOKUP(D241,'1. Country Master List'!C:B,2,FALSE()),"")</f>
        <v/>
      </c>
      <c r="F241" s="4" t="str">
        <f aca="false">IFERROR(VLOOKUP(D241,'1. Country Master List'!$C$4:$D$53,2,FALSE()),"")</f>
        <v/>
      </c>
      <c r="G241" s="4" t="str">
        <f aca="false">IFERROR(VLOOKUP(D241,'1. Country Master List'!$C$4:$E$53,3,FALSE()),"")</f>
        <v/>
      </c>
      <c r="H241" s="17"/>
      <c r="I241" s="17"/>
      <c r="J241" s="17"/>
    </row>
    <row r="242" customFormat="false" ht="23.85" hidden="false" customHeight="false" outlineLevel="0" collapsed="false">
      <c r="A242" s="7" t="s">
        <v>407</v>
      </c>
      <c r="B242" s="24"/>
      <c r="C242" s="24"/>
      <c r="D242" s="24"/>
      <c r="E242" s="7" t="str">
        <f aca="false">IFERROR(VLOOKUP(D242,'1. Country Master List'!C:B,2,FALSE()),"")</f>
        <v/>
      </c>
      <c r="F242" s="7" t="str">
        <f aca="false">IFERROR(VLOOKUP(D242,'1. Country Master List'!$C$4:$D$53,2,FALSE()),"")</f>
        <v/>
      </c>
      <c r="G242" s="7" t="str">
        <f aca="false">IFERROR(VLOOKUP(D242,'1. Country Master List'!$C$4:$E$53,3,FALSE()),"")</f>
        <v/>
      </c>
      <c r="H242" s="24"/>
      <c r="I242" s="24"/>
      <c r="J242" s="24"/>
    </row>
    <row r="243" customFormat="false" ht="23.85" hidden="false" customHeight="false" outlineLevel="0" collapsed="false">
      <c r="A243" s="4" t="s">
        <v>408</v>
      </c>
      <c r="B243" s="17"/>
      <c r="C243" s="17"/>
      <c r="D243" s="17"/>
      <c r="E243" s="4" t="str">
        <f aca="false">IFERROR(VLOOKUP(D243,'1. Country Master List'!C:B,2,FALSE()),"")</f>
        <v/>
      </c>
      <c r="F243" s="4" t="str">
        <f aca="false">IFERROR(VLOOKUP(D243,'1. Country Master List'!$C$4:$D$53,2,FALSE()),"")</f>
        <v/>
      </c>
      <c r="G243" s="4" t="str">
        <f aca="false">IFERROR(VLOOKUP(D243,'1. Country Master List'!$C$4:$E$53,3,FALSE()),"")</f>
        <v/>
      </c>
      <c r="H243" s="17"/>
      <c r="I243" s="17"/>
      <c r="J243" s="17"/>
    </row>
    <row r="244" customFormat="false" ht="23.85" hidden="false" customHeight="false" outlineLevel="0" collapsed="false">
      <c r="A244" s="7" t="s">
        <v>409</v>
      </c>
      <c r="B244" s="24"/>
      <c r="C244" s="24"/>
      <c r="D244" s="24"/>
      <c r="E244" s="7" t="str">
        <f aca="false">IFERROR(VLOOKUP(D244,'1. Country Master List'!C:B,2,FALSE()),"")</f>
        <v/>
      </c>
      <c r="F244" s="7" t="str">
        <f aca="false">IFERROR(VLOOKUP(D244,'1. Country Master List'!$C$4:$D$53,2,FALSE()),"")</f>
        <v/>
      </c>
      <c r="G244" s="7" t="str">
        <f aca="false">IFERROR(VLOOKUP(D244,'1. Country Master List'!$C$4:$E$53,3,FALSE()),"")</f>
        <v/>
      </c>
      <c r="H244" s="24"/>
      <c r="I244" s="24"/>
      <c r="J244" s="24"/>
    </row>
    <row r="245" customFormat="false" ht="23.85" hidden="false" customHeight="false" outlineLevel="0" collapsed="false">
      <c r="A245" s="4" t="s">
        <v>410</v>
      </c>
      <c r="B245" s="17"/>
      <c r="C245" s="17"/>
      <c r="D245" s="17"/>
      <c r="E245" s="4" t="str">
        <f aca="false">IFERROR(VLOOKUP(D245,'1. Country Master List'!C:B,2,FALSE()),"")</f>
        <v/>
      </c>
      <c r="F245" s="4" t="str">
        <f aca="false">IFERROR(VLOOKUP(D245,'1. Country Master List'!$C$4:$D$53,2,FALSE()),"")</f>
        <v/>
      </c>
      <c r="G245" s="4" t="str">
        <f aca="false">IFERROR(VLOOKUP(D245,'1. Country Master List'!$C$4:$E$53,3,FALSE()),"")</f>
        <v/>
      </c>
      <c r="H245" s="17"/>
      <c r="I245" s="17"/>
      <c r="J245" s="17"/>
    </row>
    <row r="246" customFormat="false" ht="23.85" hidden="false" customHeight="false" outlineLevel="0" collapsed="false">
      <c r="A246" s="7" t="s">
        <v>411</v>
      </c>
      <c r="B246" s="24"/>
      <c r="C246" s="24"/>
      <c r="D246" s="24"/>
      <c r="E246" s="7" t="str">
        <f aca="false">IFERROR(VLOOKUP(D246,'1. Country Master List'!C:B,2,FALSE()),"")</f>
        <v/>
      </c>
      <c r="F246" s="7" t="str">
        <f aca="false">IFERROR(VLOOKUP(D246,'1. Country Master List'!$C$4:$D$53,2,FALSE()),"")</f>
        <v/>
      </c>
      <c r="G246" s="7" t="str">
        <f aca="false">IFERROR(VLOOKUP(D246,'1. Country Master List'!$C$4:$E$53,3,FALSE()),"")</f>
        <v/>
      </c>
      <c r="H246" s="24"/>
      <c r="I246" s="24"/>
      <c r="J246" s="24"/>
    </row>
    <row r="247" customFormat="false" ht="23.85" hidden="false" customHeight="false" outlineLevel="0" collapsed="false">
      <c r="A247" s="4" t="s">
        <v>412</v>
      </c>
      <c r="B247" s="17"/>
      <c r="C247" s="17"/>
      <c r="D247" s="17"/>
      <c r="E247" s="4" t="str">
        <f aca="false">IFERROR(VLOOKUP(D247,'1. Country Master List'!C:B,2,FALSE()),"")</f>
        <v/>
      </c>
      <c r="F247" s="4" t="str">
        <f aca="false">IFERROR(VLOOKUP(D247,'1. Country Master List'!$C$4:$D$53,2,FALSE()),"")</f>
        <v/>
      </c>
      <c r="G247" s="4" t="str">
        <f aca="false">IFERROR(VLOOKUP(D247,'1. Country Master List'!$C$4:$E$53,3,FALSE()),"")</f>
        <v/>
      </c>
      <c r="H247" s="17"/>
      <c r="I247" s="17"/>
      <c r="J247" s="17"/>
    </row>
    <row r="248" customFormat="false" ht="23.85" hidden="false" customHeight="false" outlineLevel="0" collapsed="false">
      <c r="A248" s="7" t="s">
        <v>413</v>
      </c>
      <c r="B248" s="24"/>
      <c r="C248" s="24"/>
      <c r="D248" s="24"/>
      <c r="E248" s="7" t="str">
        <f aca="false">IFERROR(VLOOKUP(D248,'1. Country Master List'!C:B,2,FALSE()),"")</f>
        <v/>
      </c>
      <c r="F248" s="7" t="str">
        <f aca="false">IFERROR(VLOOKUP(D248,'1. Country Master List'!$C$4:$D$53,2,FALSE()),"")</f>
        <v/>
      </c>
      <c r="G248" s="7" t="str">
        <f aca="false">IFERROR(VLOOKUP(D248,'1. Country Master List'!$C$4:$E$53,3,FALSE()),"")</f>
        <v/>
      </c>
      <c r="H248" s="24"/>
      <c r="I248" s="24"/>
      <c r="J248" s="24"/>
    </row>
    <row r="249" customFormat="false" ht="23.85" hidden="false" customHeight="false" outlineLevel="0" collapsed="false">
      <c r="A249" s="4" t="s">
        <v>414</v>
      </c>
      <c r="B249" s="17"/>
      <c r="C249" s="17"/>
      <c r="D249" s="17"/>
      <c r="E249" s="4" t="str">
        <f aca="false">IFERROR(VLOOKUP(D249,'1. Country Master List'!C:B,2,FALSE()),"")</f>
        <v/>
      </c>
      <c r="F249" s="4" t="str">
        <f aca="false">IFERROR(VLOOKUP(D249,'1. Country Master List'!$C$4:$D$53,2,FALSE()),"")</f>
        <v/>
      </c>
      <c r="G249" s="4" t="str">
        <f aca="false">IFERROR(VLOOKUP(D249,'1. Country Master List'!$C$4:$E$53,3,FALSE()),"")</f>
        <v/>
      </c>
      <c r="H249" s="17"/>
      <c r="I249" s="17"/>
      <c r="J249" s="17"/>
    </row>
    <row r="250" customFormat="false" ht="23.85" hidden="false" customHeight="false" outlineLevel="0" collapsed="false">
      <c r="A250" s="7" t="s">
        <v>415</v>
      </c>
      <c r="B250" s="24"/>
      <c r="C250" s="24"/>
      <c r="D250" s="24"/>
      <c r="E250" s="7" t="str">
        <f aca="false">IFERROR(VLOOKUP(D250,'1. Country Master List'!C:B,2,FALSE()),"")</f>
        <v/>
      </c>
      <c r="F250" s="7" t="str">
        <f aca="false">IFERROR(VLOOKUP(D250,'1. Country Master List'!$C$4:$D$53,2,FALSE()),"")</f>
        <v/>
      </c>
      <c r="G250" s="7" t="str">
        <f aca="false">IFERROR(VLOOKUP(D250,'1. Country Master List'!$C$4:$E$53,3,FALSE()),"")</f>
        <v/>
      </c>
      <c r="H250" s="24"/>
      <c r="I250" s="24"/>
      <c r="J250" s="24"/>
    </row>
    <row r="251" customFormat="false" ht="23.85" hidden="false" customHeight="false" outlineLevel="0" collapsed="false">
      <c r="A251" s="4" t="s">
        <v>416</v>
      </c>
      <c r="B251" s="17"/>
      <c r="C251" s="17"/>
      <c r="D251" s="17"/>
      <c r="E251" s="4" t="str">
        <f aca="false">IFERROR(VLOOKUP(D251,'1. Country Master List'!C:B,2,FALSE()),"")</f>
        <v/>
      </c>
      <c r="F251" s="4" t="str">
        <f aca="false">IFERROR(VLOOKUP(D251,'1. Country Master List'!$C$4:$D$53,2,FALSE()),"")</f>
        <v/>
      </c>
      <c r="G251" s="4" t="str">
        <f aca="false">IFERROR(VLOOKUP(D251,'1. Country Master List'!$C$4:$E$53,3,FALSE()),"")</f>
        <v/>
      </c>
      <c r="H251" s="17"/>
      <c r="I251" s="17"/>
      <c r="J251" s="17"/>
    </row>
    <row r="252" customFormat="false" ht="23.85" hidden="false" customHeight="false" outlineLevel="0" collapsed="false">
      <c r="A252" s="7" t="s">
        <v>417</v>
      </c>
      <c r="B252" s="24"/>
      <c r="C252" s="24"/>
      <c r="D252" s="24"/>
      <c r="E252" s="7" t="str">
        <f aca="false">IFERROR(VLOOKUP(D252,'1. Country Master List'!C:B,2,FALSE()),"")</f>
        <v/>
      </c>
      <c r="F252" s="7" t="str">
        <f aca="false">IFERROR(VLOOKUP(D252,'1. Country Master List'!$C$4:$D$53,2,FALSE()),"")</f>
        <v/>
      </c>
      <c r="G252" s="7" t="str">
        <f aca="false">IFERROR(VLOOKUP(D252,'1. Country Master List'!$C$4:$E$53,3,FALSE()),"")</f>
        <v/>
      </c>
      <c r="H252" s="24"/>
      <c r="I252" s="24"/>
      <c r="J252" s="24"/>
    </row>
    <row r="253" customFormat="false" ht="23.85" hidden="false" customHeight="false" outlineLevel="0" collapsed="false">
      <c r="A253" s="4" t="s">
        <v>418</v>
      </c>
      <c r="B253" s="17"/>
      <c r="C253" s="17"/>
      <c r="D253" s="17"/>
      <c r="E253" s="4" t="str">
        <f aca="false">IFERROR(VLOOKUP(D253,'1. Country Master List'!C:B,2,FALSE()),"")</f>
        <v/>
      </c>
      <c r="F253" s="4" t="str">
        <f aca="false">IFERROR(VLOOKUP(D253,'1. Country Master List'!$C$4:$D$53,2,FALSE()),"")</f>
        <v/>
      </c>
      <c r="G253" s="4" t="str">
        <f aca="false">IFERROR(VLOOKUP(D253,'1. Country Master List'!$C$4:$E$53,3,FALSE()),"")</f>
        <v/>
      </c>
      <c r="H253" s="17"/>
      <c r="I253" s="17"/>
      <c r="J253" s="17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false"/>
  </sheetPr>
  <dimension ref="A1:X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1" min="2" style="0" width="10"/>
    <col collapsed="false" customWidth="true" hidden="false" outlineLevel="0" max="23" min="22" style="0" width="14"/>
    <col collapsed="false" customWidth="true" hidden="false" outlineLevel="0" max="24" min="24" style="0" width="16"/>
  </cols>
  <sheetData>
    <row r="1" customFormat="false" ht="33.75" hidden="false" customHeight="true" outlineLevel="0" collapsed="false">
      <c r="A1" s="25" t="s">
        <v>419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customFormat="false" ht="25.5" hidden="false" customHeight="true" outlineLevel="0" collapsed="false">
      <c r="A2" s="26" t="s">
        <v>420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4" customFormat="false" ht="35.05" hidden="false" customHeight="false" outlineLevel="0" collapsed="false">
      <c r="A4" s="27" t="s">
        <v>421</v>
      </c>
      <c r="B4" s="27" t="s">
        <v>42</v>
      </c>
      <c r="C4" s="27" t="s">
        <v>46</v>
      </c>
      <c r="D4" s="27" t="s">
        <v>50</v>
      </c>
      <c r="E4" s="27" t="s">
        <v>54</v>
      </c>
      <c r="F4" s="27" t="s">
        <v>56</v>
      </c>
      <c r="G4" s="27" t="s">
        <v>58</v>
      </c>
      <c r="H4" s="27" t="s">
        <v>61</v>
      </c>
      <c r="I4" s="27" t="s">
        <v>63</v>
      </c>
      <c r="J4" s="27" t="s">
        <v>65</v>
      </c>
      <c r="K4" s="27" t="s">
        <v>67</v>
      </c>
      <c r="L4" s="27" t="s">
        <v>69</v>
      </c>
      <c r="M4" s="27" t="s">
        <v>71</v>
      </c>
      <c r="N4" s="27" t="s">
        <v>73</v>
      </c>
      <c r="O4" s="27" t="s">
        <v>75</v>
      </c>
      <c r="P4" s="27" t="s">
        <v>99</v>
      </c>
      <c r="Q4" s="27" t="s">
        <v>96</v>
      </c>
      <c r="R4" s="27" t="s">
        <v>79</v>
      </c>
      <c r="S4" s="27" t="s">
        <v>81</v>
      </c>
      <c r="T4" s="27" t="s">
        <v>107</v>
      </c>
      <c r="U4" s="27" t="s">
        <v>102</v>
      </c>
      <c r="V4" s="3" t="s">
        <v>422</v>
      </c>
      <c r="W4" s="3" t="s">
        <v>423</v>
      </c>
      <c r="X4" s="3" t="s">
        <v>424</v>
      </c>
    </row>
    <row r="5" customFormat="false" ht="15" hidden="false" customHeight="false" outlineLevel="0" collapsed="false">
      <c r="A5" s="17"/>
      <c r="B5" s="4" t="n">
        <f aca="false">IFERROR(COUNTIFS('2. Raw Votes by Country'!B:B,$A5,'2. Raw Votes by Country'!D:D,"USA"),0)</f>
        <v>0</v>
      </c>
      <c r="C5" s="4" t="n">
        <f aca="false">IFERROR(COUNTIFS('2. Raw Votes by Country'!B:B,$A5,'2. Raw Votes by Country'!D:D,"GBR"),0)</f>
        <v>0</v>
      </c>
      <c r="D5" s="4" t="n">
        <f aca="false">IFERROR(COUNTIFS('2. Raw Votes by Country'!B:B,$A5,'2. Raw Votes by Country'!D:D,"CHN"),0)</f>
        <v>0</v>
      </c>
      <c r="E5" s="4" t="n">
        <f aca="false">IFERROR(COUNTIFS('2. Raw Votes by Country'!B:B,$A5,'2. Raw Votes by Country'!D:D,"DEU"),0)</f>
        <v>0</v>
      </c>
      <c r="F5" s="4" t="n">
        <f aca="false">IFERROR(COUNTIFS('2. Raw Votes by Country'!B:B,$A5,'2. Raw Votes by Country'!D:D,"JPN"),0)</f>
        <v>0</v>
      </c>
      <c r="G5" s="4" t="n">
        <f aca="false">IFERROR(COUNTIFS('2. Raw Votes by Country'!B:B,$A5,'2. Raw Votes by Country'!D:D,"AUS"),0)</f>
        <v>0</v>
      </c>
      <c r="H5" s="4" t="n">
        <f aca="false">IFERROR(COUNTIFS('2. Raw Votes by Country'!B:B,$A5,'2. Raw Votes by Country'!D:D,"FRA"),0)</f>
        <v>0</v>
      </c>
      <c r="I5" s="4" t="n">
        <f aca="false">IFERROR(COUNTIFS('2. Raw Votes by Country'!B:B,$A5,'2. Raw Votes by Country'!D:D,"NLD"),0)</f>
        <v>0</v>
      </c>
      <c r="J5" s="4" t="n">
        <f aca="false">IFERROR(COUNTIFS('2. Raw Votes by Country'!B:B,$A5,'2. Raw Votes by Country'!D:D,"CAN"),0)</f>
        <v>0</v>
      </c>
      <c r="K5" s="4" t="n">
        <f aca="false">IFERROR(COUNTIFS('2. Raw Votes by Country'!B:B,$A5,'2. Raw Votes by Country'!D:D,"KOR"),0)</f>
        <v>0</v>
      </c>
      <c r="L5" s="4" t="n">
        <f aca="false">IFERROR(COUNTIFS('2. Raw Votes by Country'!B:B,$A5,'2. Raw Votes by Country'!D:D,"CHE"),0)</f>
        <v>0</v>
      </c>
      <c r="M5" s="4" t="n">
        <f aca="false">IFERROR(COUNTIFS('2. Raw Votes by Country'!B:B,$A5,'2. Raw Votes by Country'!D:D,"SWE"),0)</f>
        <v>0</v>
      </c>
      <c r="N5" s="4" t="n">
        <f aca="false">IFERROR(COUNTIFS('2. Raw Votes by Country'!B:B,$A5,'2. Raw Votes by Country'!D:D,"ITA"),0)</f>
        <v>0</v>
      </c>
      <c r="O5" s="4" t="n">
        <f aca="false">IFERROR(COUNTIFS('2. Raw Votes by Country'!B:B,$A5,'2. Raw Votes by Country'!D:D,"ESP"),0)</f>
        <v>0</v>
      </c>
      <c r="P5" s="4" t="n">
        <f aca="false">IFERROR(COUNTIFS('2. Raw Votes by Country'!B:B,$A5,'2. Raw Votes by Country'!D:D,"IND"),0)</f>
        <v>0</v>
      </c>
      <c r="Q5" s="4" t="n">
        <f aca="false">IFERROR(COUNTIFS('2. Raw Votes by Country'!B:B,$A5,'2. Raw Votes by Country'!D:D,"BRA"),0)</f>
        <v>0</v>
      </c>
      <c r="R5" s="4" t="n">
        <f aca="false">IFERROR(COUNTIFS('2. Raw Votes by Country'!B:B,$A5,'2. Raw Votes by Country'!D:D,"SGP"),0)</f>
        <v>0</v>
      </c>
      <c r="S5" s="4" t="n">
        <f aca="false">IFERROR(COUNTIFS('2. Raw Votes by Country'!B:B,$A5,'2. Raw Votes by Country'!D:D,"HKG"),0)</f>
        <v>0</v>
      </c>
      <c r="T5" s="4" t="n">
        <f aca="false">IFERROR(COUNTIFS('2. Raw Votes by Country'!B:B,$A5,'2. Raw Votes by Country'!D:D,"ZAF"),0)</f>
        <v>0</v>
      </c>
      <c r="U5" s="4" t="n">
        <f aca="false">IFERROR(COUNTIFS('2. Raw Votes by Country'!B:B,$A5,'2. Raw Votes by Country'!D:D,"RUS"),0)</f>
        <v>0</v>
      </c>
      <c r="V5" s="28" t="n">
        <f aca="false">SUM(B5:U5)</f>
        <v>0</v>
      </c>
      <c r="W5" s="28" t="n">
        <f aca="false">COUNTIF(B5:U5,"&gt;0")</f>
        <v>0</v>
      </c>
      <c r="X5" s="29" t="n">
        <f aca="false">IFERROR(MAX(B5:U5)/V5*100,0)</f>
        <v>0</v>
      </c>
    </row>
    <row r="6" customFormat="false" ht="15" hidden="false" customHeight="false" outlineLevel="0" collapsed="false">
      <c r="A6" s="24"/>
      <c r="B6" s="7" t="n">
        <f aca="false">IFERROR(COUNTIFS('2. Raw Votes by Country'!B:B,$A6,'2. Raw Votes by Country'!D:D,"USA"),0)</f>
        <v>0</v>
      </c>
      <c r="C6" s="7" t="n">
        <f aca="false">IFERROR(COUNTIFS('2. Raw Votes by Country'!B:B,$A6,'2. Raw Votes by Country'!D:D,"GBR"),0)</f>
        <v>0</v>
      </c>
      <c r="D6" s="7" t="n">
        <f aca="false">IFERROR(COUNTIFS('2. Raw Votes by Country'!B:B,$A6,'2. Raw Votes by Country'!D:D,"CHN"),0)</f>
        <v>0</v>
      </c>
      <c r="E6" s="7" t="n">
        <f aca="false">IFERROR(COUNTIFS('2. Raw Votes by Country'!B:B,$A6,'2. Raw Votes by Country'!D:D,"DEU"),0)</f>
        <v>0</v>
      </c>
      <c r="F6" s="7" t="n">
        <f aca="false">IFERROR(COUNTIFS('2. Raw Votes by Country'!B:B,$A6,'2. Raw Votes by Country'!D:D,"JPN"),0)</f>
        <v>0</v>
      </c>
      <c r="G6" s="7" t="n">
        <f aca="false">IFERROR(COUNTIFS('2. Raw Votes by Country'!B:B,$A6,'2. Raw Votes by Country'!D:D,"AUS"),0)</f>
        <v>0</v>
      </c>
      <c r="H6" s="7" t="n">
        <f aca="false">IFERROR(COUNTIFS('2. Raw Votes by Country'!B:B,$A6,'2. Raw Votes by Country'!D:D,"FRA"),0)</f>
        <v>0</v>
      </c>
      <c r="I6" s="7" t="n">
        <f aca="false">IFERROR(COUNTIFS('2. Raw Votes by Country'!B:B,$A6,'2. Raw Votes by Country'!D:D,"NLD"),0)</f>
        <v>0</v>
      </c>
      <c r="J6" s="7" t="n">
        <f aca="false">IFERROR(COUNTIFS('2. Raw Votes by Country'!B:B,$A6,'2. Raw Votes by Country'!D:D,"CAN"),0)</f>
        <v>0</v>
      </c>
      <c r="K6" s="7" t="n">
        <f aca="false">IFERROR(COUNTIFS('2. Raw Votes by Country'!B:B,$A6,'2. Raw Votes by Country'!D:D,"KOR"),0)</f>
        <v>0</v>
      </c>
      <c r="L6" s="7" t="n">
        <f aca="false">IFERROR(COUNTIFS('2. Raw Votes by Country'!B:B,$A6,'2. Raw Votes by Country'!D:D,"CHE"),0)</f>
        <v>0</v>
      </c>
      <c r="M6" s="7" t="n">
        <f aca="false">IFERROR(COUNTIFS('2. Raw Votes by Country'!B:B,$A6,'2. Raw Votes by Country'!D:D,"SWE"),0)</f>
        <v>0</v>
      </c>
      <c r="N6" s="7" t="n">
        <f aca="false">IFERROR(COUNTIFS('2. Raw Votes by Country'!B:B,$A6,'2. Raw Votes by Country'!D:D,"ITA"),0)</f>
        <v>0</v>
      </c>
      <c r="O6" s="7" t="n">
        <f aca="false">IFERROR(COUNTIFS('2. Raw Votes by Country'!B:B,$A6,'2. Raw Votes by Country'!D:D,"ESP"),0)</f>
        <v>0</v>
      </c>
      <c r="P6" s="7" t="n">
        <f aca="false">IFERROR(COUNTIFS('2. Raw Votes by Country'!B:B,$A6,'2. Raw Votes by Country'!D:D,"IND"),0)</f>
        <v>0</v>
      </c>
      <c r="Q6" s="7" t="n">
        <f aca="false">IFERROR(COUNTIFS('2. Raw Votes by Country'!B:B,$A6,'2. Raw Votes by Country'!D:D,"BRA"),0)</f>
        <v>0</v>
      </c>
      <c r="R6" s="7" t="n">
        <f aca="false">IFERROR(COUNTIFS('2. Raw Votes by Country'!B:B,$A6,'2. Raw Votes by Country'!D:D,"SGP"),0)</f>
        <v>0</v>
      </c>
      <c r="S6" s="7" t="n">
        <f aca="false">IFERROR(COUNTIFS('2. Raw Votes by Country'!B:B,$A6,'2. Raw Votes by Country'!D:D,"HKG"),0)</f>
        <v>0</v>
      </c>
      <c r="T6" s="7" t="n">
        <f aca="false">IFERROR(COUNTIFS('2. Raw Votes by Country'!B:B,$A6,'2. Raw Votes by Country'!D:D,"ZAF"),0)</f>
        <v>0</v>
      </c>
      <c r="U6" s="7" t="n">
        <f aca="false">IFERROR(COUNTIFS('2. Raw Votes by Country'!B:B,$A6,'2. Raw Votes by Country'!D:D,"RUS"),0)</f>
        <v>0</v>
      </c>
      <c r="V6" s="30" t="n">
        <f aca="false">SUM(B6:U6)</f>
        <v>0</v>
      </c>
      <c r="W6" s="30" t="n">
        <f aca="false">COUNTIF(B6:U6,"&gt;0")</f>
        <v>0</v>
      </c>
      <c r="X6" s="31" t="n">
        <f aca="false">IFERROR(MAX(B6:U6)/V6*100,0)</f>
        <v>0</v>
      </c>
    </row>
    <row r="7" customFormat="false" ht="15" hidden="false" customHeight="false" outlineLevel="0" collapsed="false">
      <c r="A7" s="17"/>
      <c r="B7" s="4" t="n">
        <f aca="false">IFERROR(COUNTIFS('2. Raw Votes by Country'!B:B,$A7,'2. Raw Votes by Country'!D:D,"USA"),0)</f>
        <v>0</v>
      </c>
      <c r="C7" s="4" t="n">
        <f aca="false">IFERROR(COUNTIFS('2. Raw Votes by Country'!B:B,$A7,'2. Raw Votes by Country'!D:D,"GBR"),0)</f>
        <v>0</v>
      </c>
      <c r="D7" s="4" t="n">
        <f aca="false">IFERROR(COUNTIFS('2. Raw Votes by Country'!B:B,$A7,'2. Raw Votes by Country'!D:D,"CHN"),0)</f>
        <v>0</v>
      </c>
      <c r="E7" s="4" t="n">
        <f aca="false">IFERROR(COUNTIFS('2. Raw Votes by Country'!B:B,$A7,'2. Raw Votes by Country'!D:D,"DEU"),0)</f>
        <v>0</v>
      </c>
      <c r="F7" s="4" t="n">
        <f aca="false">IFERROR(COUNTIFS('2. Raw Votes by Country'!B:B,$A7,'2. Raw Votes by Country'!D:D,"JPN"),0)</f>
        <v>0</v>
      </c>
      <c r="G7" s="4" t="n">
        <f aca="false">IFERROR(COUNTIFS('2. Raw Votes by Country'!B:B,$A7,'2. Raw Votes by Country'!D:D,"AUS"),0)</f>
        <v>0</v>
      </c>
      <c r="H7" s="4" t="n">
        <f aca="false">IFERROR(COUNTIFS('2. Raw Votes by Country'!B:B,$A7,'2. Raw Votes by Country'!D:D,"FRA"),0)</f>
        <v>0</v>
      </c>
      <c r="I7" s="4" t="n">
        <f aca="false">IFERROR(COUNTIFS('2. Raw Votes by Country'!B:B,$A7,'2. Raw Votes by Country'!D:D,"NLD"),0)</f>
        <v>0</v>
      </c>
      <c r="J7" s="4" t="n">
        <f aca="false">IFERROR(COUNTIFS('2. Raw Votes by Country'!B:B,$A7,'2. Raw Votes by Country'!D:D,"CAN"),0)</f>
        <v>0</v>
      </c>
      <c r="K7" s="4" t="n">
        <f aca="false">IFERROR(COUNTIFS('2. Raw Votes by Country'!B:B,$A7,'2. Raw Votes by Country'!D:D,"KOR"),0)</f>
        <v>0</v>
      </c>
      <c r="L7" s="4" t="n">
        <f aca="false">IFERROR(COUNTIFS('2. Raw Votes by Country'!B:B,$A7,'2. Raw Votes by Country'!D:D,"CHE"),0)</f>
        <v>0</v>
      </c>
      <c r="M7" s="4" t="n">
        <f aca="false">IFERROR(COUNTIFS('2. Raw Votes by Country'!B:B,$A7,'2. Raw Votes by Country'!D:D,"SWE"),0)</f>
        <v>0</v>
      </c>
      <c r="N7" s="4" t="n">
        <f aca="false">IFERROR(COUNTIFS('2. Raw Votes by Country'!B:B,$A7,'2. Raw Votes by Country'!D:D,"ITA"),0)</f>
        <v>0</v>
      </c>
      <c r="O7" s="4" t="n">
        <f aca="false">IFERROR(COUNTIFS('2. Raw Votes by Country'!B:B,$A7,'2. Raw Votes by Country'!D:D,"ESP"),0)</f>
        <v>0</v>
      </c>
      <c r="P7" s="4" t="n">
        <f aca="false">IFERROR(COUNTIFS('2. Raw Votes by Country'!B:B,$A7,'2. Raw Votes by Country'!D:D,"IND"),0)</f>
        <v>0</v>
      </c>
      <c r="Q7" s="4" t="n">
        <f aca="false">IFERROR(COUNTIFS('2. Raw Votes by Country'!B:B,$A7,'2. Raw Votes by Country'!D:D,"BRA"),0)</f>
        <v>0</v>
      </c>
      <c r="R7" s="4" t="n">
        <f aca="false">IFERROR(COUNTIFS('2. Raw Votes by Country'!B:B,$A7,'2. Raw Votes by Country'!D:D,"SGP"),0)</f>
        <v>0</v>
      </c>
      <c r="S7" s="4" t="n">
        <f aca="false">IFERROR(COUNTIFS('2. Raw Votes by Country'!B:B,$A7,'2. Raw Votes by Country'!D:D,"HKG"),0)</f>
        <v>0</v>
      </c>
      <c r="T7" s="4" t="n">
        <f aca="false">IFERROR(COUNTIFS('2. Raw Votes by Country'!B:B,$A7,'2. Raw Votes by Country'!D:D,"ZAF"),0)</f>
        <v>0</v>
      </c>
      <c r="U7" s="4" t="n">
        <f aca="false">IFERROR(COUNTIFS('2. Raw Votes by Country'!B:B,$A7,'2. Raw Votes by Country'!D:D,"RUS"),0)</f>
        <v>0</v>
      </c>
      <c r="V7" s="28" t="n">
        <f aca="false">SUM(B7:U7)</f>
        <v>0</v>
      </c>
      <c r="W7" s="28" t="n">
        <f aca="false">COUNTIF(B7:U7,"&gt;0")</f>
        <v>0</v>
      </c>
      <c r="X7" s="29" t="n">
        <f aca="false">IFERROR(MAX(B7:U7)/V7*100,0)</f>
        <v>0</v>
      </c>
    </row>
    <row r="8" customFormat="false" ht="15" hidden="false" customHeight="false" outlineLevel="0" collapsed="false">
      <c r="A8" s="24"/>
      <c r="B8" s="7" t="n">
        <f aca="false">IFERROR(COUNTIFS('2. Raw Votes by Country'!B:B,$A8,'2. Raw Votes by Country'!D:D,"USA"),0)</f>
        <v>0</v>
      </c>
      <c r="C8" s="7" t="n">
        <f aca="false">IFERROR(COUNTIFS('2. Raw Votes by Country'!B:B,$A8,'2. Raw Votes by Country'!D:D,"GBR"),0)</f>
        <v>0</v>
      </c>
      <c r="D8" s="7" t="n">
        <f aca="false">IFERROR(COUNTIFS('2. Raw Votes by Country'!B:B,$A8,'2. Raw Votes by Country'!D:D,"CHN"),0)</f>
        <v>0</v>
      </c>
      <c r="E8" s="7" t="n">
        <f aca="false">IFERROR(COUNTIFS('2. Raw Votes by Country'!B:B,$A8,'2. Raw Votes by Country'!D:D,"DEU"),0)</f>
        <v>0</v>
      </c>
      <c r="F8" s="7" t="n">
        <f aca="false">IFERROR(COUNTIFS('2. Raw Votes by Country'!B:B,$A8,'2. Raw Votes by Country'!D:D,"JPN"),0)</f>
        <v>0</v>
      </c>
      <c r="G8" s="7" t="n">
        <f aca="false">IFERROR(COUNTIFS('2. Raw Votes by Country'!B:B,$A8,'2. Raw Votes by Country'!D:D,"AUS"),0)</f>
        <v>0</v>
      </c>
      <c r="H8" s="7" t="n">
        <f aca="false">IFERROR(COUNTIFS('2. Raw Votes by Country'!B:B,$A8,'2. Raw Votes by Country'!D:D,"FRA"),0)</f>
        <v>0</v>
      </c>
      <c r="I8" s="7" t="n">
        <f aca="false">IFERROR(COUNTIFS('2. Raw Votes by Country'!B:B,$A8,'2. Raw Votes by Country'!D:D,"NLD"),0)</f>
        <v>0</v>
      </c>
      <c r="J8" s="7" t="n">
        <f aca="false">IFERROR(COUNTIFS('2. Raw Votes by Country'!B:B,$A8,'2. Raw Votes by Country'!D:D,"CAN"),0)</f>
        <v>0</v>
      </c>
      <c r="K8" s="7" t="n">
        <f aca="false">IFERROR(COUNTIFS('2. Raw Votes by Country'!B:B,$A8,'2. Raw Votes by Country'!D:D,"KOR"),0)</f>
        <v>0</v>
      </c>
      <c r="L8" s="7" t="n">
        <f aca="false">IFERROR(COUNTIFS('2. Raw Votes by Country'!B:B,$A8,'2. Raw Votes by Country'!D:D,"CHE"),0)</f>
        <v>0</v>
      </c>
      <c r="M8" s="7" t="n">
        <f aca="false">IFERROR(COUNTIFS('2. Raw Votes by Country'!B:B,$A8,'2. Raw Votes by Country'!D:D,"SWE"),0)</f>
        <v>0</v>
      </c>
      <c r="N8" s="7" t="n">
        <f aca="false">IFERROR(COUNTIFS('2. Raw Votes by Country'!B:B,$A8,'2. Raw Votes by Country'!D:D,"ITA"),0)</f>
        <v>0</v>
      </c>
      <c r="O8" s="7" t="n">
        <f aca="false">IFERROR(COUNTIFS('2. Raw Votes by Country'!B:B,$A8,'2. Raw Votes by Country'!D:D,"ESP"),0)</f>
        <v>0</v>
      </c>
      <c r="P8" s="7" t="n">
        <f aca="false">IFERROR(COUNTIFS('2. Raw Votes by Country'!B:B,$A8,'2. Raw Votes by Country'!D:D,"IND"),0)</f>
        <v>0</v>
      </c>
      <c r="Q8" s="7" t="n">
        <f aca="false">IFERROR(COUNTIFS('2. Raw Votes by Country'!B:B,$A8,'2. Raw Votes by Country'!D:D,"BRA"),0)</f>
        <v>0</v>
      </c>
      <c r="R8" s="7" t="n">
        <f aca="false">IFERROR(COUNTIFS('2. Raw Votes by Country'!B:B,$A8,'2. Raw Votes by Country'!D:D,"SGP"),0)</f>
        <v>0</v>
      </c>
      <c r="S8" s="7" t="n">
        <f aca="false">IFERROR(COUNTIFS('2. Raw Votes by Country'!B:B,$A8,'2. Raw Votes by Country'!D:D,"HKG"),0)</f>
        <v>0</v>
      </c>
      <c r="T8" s="7" t="n">
        <f aca="false">IFERROR(COUNTIFS('2. Raw Votes by Country'!B:B,$A8,'2. Raw Votes by Country'!D:D,"ZAF"),0)</f>
        <v>0</v>
      </c>
      <c r="U8" s="7" t="n">
        <f aca="false">IFERROR(COUNTIFS('2. Raw Votes by Country'!B:B,$A8,'2. Raw Votes by Country'!D:D,"RUS"),0)</f>
        <v>0</v>
      </c>
      <c r="V8" s="30" t="n">
        <f aca="false">SUM(B8:U8)</f>
        <v>0</v>
      </c>
      <c r="W8" s="30" t="n">
        <f aca="false">COUNTIF(B8:U8,"&gt;0")</f>
        <v>0</v>
      </c>
      <c r="X8" s="31" t="n">
        <f aca="false">IFERROR(MAX(B8:U8)/V8*100,0)</f>
        <v>0</v>
      </c>
    </row>
    <row r="9" customFormat="false" ht="15" hidden="false" customHeight="false" outlineLevel="0" collapsed="false">
      <c r="A9" s="17"/>
      <c r="B9" s="4" t="n">
        <f aca="false">IFERROR(COUNTIFS('2. Raw Votes by Country'!B:B,$A9,'2. Raw Votes by Country'!D:D,"USA"),0)</f>
        <v>0</v>
      </c>
      <c r="C9" s="4" t="n">
        <f aca="false">IFERROR(COUNTIFS('2. Raw Votes by Country'!B:B,$A9,'2. Raw Votes by Country'!D:D,"GBR"),0)</f>
        <v>0</v>
      </c>
      <c r="D9" s="4" t="n">
        <f aca="false">IFERROR(COUNTIFS('2. Raw Votes by Country'!B:B,$A9,'2. Raw Votes by Country'!D:D,"CHN"),0)</f>
        <v>0</v>
      </c>
      <c r="E9" s="4" t="n">
        <f aca="false">IFERROR(COUNTIFS('2. Raw Votes by Country'!B:B,$A9,'2. Raw Votes by Country'!D:D,"DEU"),0)</f>
        <v>0</v>
      </c>
      <c r="F9" s="4" t="n">
        <f aca="false">IFERROR(COUNTIFS('2. Raw Votes by Country'!B:B,$A9,'2. Raw Votes by Country'!D:D,"JPN"),0)</f>
        <v>0</v>
      </c>
      <c r="G9" s="4" t="n">
        <f aca="false">IFERROR(COUNTIFS('2. Raw Votes by Country'!B:B,$A9,'2. Raw Votes by Country'!D:D,"AUS"),0)</f>
        <v>0</v>
      </c>
      <c r="H9" s="4" t="n">
        <f aca="false">IFERROR(COUNTIFS('2. Raw Votes by Country'!B:B,$A9,'2. Raw Votes by Country'!D:D,"FRA"),0)</f>
        <v>0</v>
      </c>
      <c r="I9" s="4" t="n">
        <f aca="false">IFERROR(COUNTIFS('2. Raw Votes by Country'!B:B,$A9,'2. Raw Votes by Country'!D:D,"NLD"),0)</f>
        <v>0</v>
      </c>
      <c r="J9" s="4" t="n">
        <f aca="false">IFERROR(COUNTIFS('2. Raw Votes by Country'!B:B,$A9,'2. Raw Votes by Country'!D:D,"CAN"),0)</f>
        <v>0</v>
      </c>
      <c r="K9" s="4" t="n">
        <f aca="false">IFERROR(COUNTIFS('2. Raw Votes by Country'!B:B,$A9,'2. Raw Votes by Country'!D:D,"KOR"),0)</f>
        <v>0</v>
      </c>
      <c r="L9" s="4" t="n">
        <f aca="false">IFERROR(COUNTIFS('2. Raw Votes by Country'!B:B,$A9,'2. Raw Votes by Country'!D:D,"CHE"),0)</f>
        <v>0</v>
      </c>
      <c r="M9" s="4" t="n">
        <f aca="false">IFERROR(COUNTIFS('2. Raw Votes by Country'!B:B,$A9,'2. Raw Votes by Country'!D:D,"SWE"),0)</f>
        <v>0</v>
      </c>
      <c r="N9" s="4" t="n">
        <f aca="false">IFERROR(COUNTIFS('2. Raw Votes by Country'!B:B,$A9,'2. Raw Votes by Country'!D:D,"ITA"),0)</f>
        <v>0</v>
      </c>
      <c r="O9" s="4" t="n">
        <f aca="false">IFERROR(COUNTIFS('2. Raw Votes by Country'!B:B,$A9,'2. Raw Votes by Country'!D:D,"ESP"),0)</f>
        <v>0</v>
      </c>
      <c r="P9" s="4" t="n">
        <f aca="false">IFERROR(COUNTIFS('2. Raw Votes by Country'!B:B,$A9,'2. Raw Votes by Country'!D:D,"IND"),0)</f>
        <v>0</v>
      </c>
      <c r="Q9" s="4" t="n">
        <f aca="false">IFERROR(COUNTIFS('2. Raw Votes by Country'!B:B,$A9,'2. Raw Votes by Country'!D:D,"BRA"),0)</f>
        <v>0</v>
      </c>
      <c r="R9" s="4" t="n">
        <f aca="false">IFERROR(COUNTIFS('2. Raw Votes by Country'!B:B,$A9,'2. Raw Votes by Country'!D:D,"SGP"),0)</f>
        <v>0</v>
      </c>
      <c r="S9" s="4" t="n">
        <f aca="false">IFERROR(COUNTIFS('2. Raw Votes by Country'!B:B,$A9,'2. Raw Votes by Country'!D:D,"HKG"),0)</f>
        <v>0</v>
      </c>
      <c r="T9" s="4" t="n">
        <f aca="false">IFERROR(COUNTIFS('2. Raw Votes by Country'!B:B,$A9,'2. Raw Votes by Country'!D:D,"ZAF"),0)</f>
        <v>0</v>
      </c>
      <c r="U9" s="4" t="n">
        <f aca="false">IFERROR(COUNTIFS('2. Raw Votes by Country'!B:B,$A9,'2. Raw Votes by Country'!D:D,"RUS"),0)</f>
        <v>0</v>
      </c>
      <c r="V9" s="28" t="n">
        <f aca="false">SUM(B9:U9)</f>
        <v>0</v>
      </c>
      <c r="W9" s="28" t="n">
        <f aca="false">COUNTIF(B9:U9,"&gt;0")</f>
        <v>0</v>
      </c>
      <c r="X9" s="29" t="n">
        <f aca="false">IFERROR(MAX(B9:U9)/V9*100,0)</f>
        <v>0</v>
      </c>
    </row>
    <row r="10" customFormat="false" ht="15" hidden="false" customHeight="false" outlineLevel="0" collapsed="false">
      <c r="A10" s="24"/>
      <c r="B10" s="7" t="n">
        <f aca="false">IFERROR(COUNTIFS('2. Raw Votes by Country'!B:B,$A10,'2. Raw Votes by Country'!D:D,"USA"),0)</f>
        <v>0</v>
      </c>
      <c r="C10" s="7" t="n">
        <f aca="false">IFERROR(COUNTIFS('2. Raw Votes by Country'!B:B,$A10,'2. Raw Votes by Country'!D:D,"GBR"),0)</f>
        <v>0</v>
      </c>
      <c r="D10" s="7" t="n">
        <f aca="false">IFERROR(COUNTIFS('2. Raw Votes by Country'!B:B,$A10,'2. Raw Votes by Country'!D:D,"CHN"),0)</f>
        <v>0</v>
      </c>
      <c r="E10" s="7" t="n">
        <f aca="false">IFERROR(COUNTIFS('2. Raw Votes by Country'!B:B,$A10,'2. Raw Votes by Country'!D:D,"DEU"),0)</f>
        <v>0</v>
      </c>
      <c r="F10" s="7" t="n">
        <f aca="false">IFERROR(COUNTIFS('2. Raw Votes by Country'!B:B,$A10,'2. Raw Votes by Country'!D:D,"JPN"),0)</f>
        <v>0</v>
      </c>
      <c r="G10" s="7" t="n">
        <f aca="false">IFERROR(COUNTIFS('2. Raw Votes by Country'!B:B,$A10,'2. Raw Votes by Country'!D:D,"AUS"),0)</f>
        <v>0</v>
      </c>
      <c r="H10" s="7" t="n">
        <f aca="false">IFERROR(COUNTIFS('2. Raw Votes by Country'!B:B,$A10,'2. Raw Votes by Country'!D:D,"FRA"),0)</f>
        <v>0</v>
      </c>
      <c r="I10" s="7" t="n">
        <f aca="false">IFERROR(COUNTIFS('2. Raw Votes by Country'!B:B,$A10,'2. Raw Votes by Country'!D:D,"NLD"),0)</f>
        <v>0</v>
      </c>
      <c r="J10" s="7" t="n">
        <f aca="false">IFERROR(COUNTIFS('2. Raw Votes by Country'!B:B,$A10,'2. Raw Votes by Country'!D:D,"CAN"),0)</f>
        <v>0</v>
      </c>
      <c r="K10" s="7" t="n">
        <f aca="false">IFERROR(COUNTIFS('2. Raw Votes by Country'!B:B,$A10,'2. Raw Votes by Country'!D:D,"KOR"),0)</f>
        <v>0</v>
      </c>
      <c r="L10" s="7" t="n">
        <f aca="false">IFERROR(COUNTIFS('2. Raw Votes by Country'!B:B,$A10,'2. Raw Votes by Country'!D:D,"CHE"),0)</f>
        <v>0</v>
      </c>
      <c r="M10" s="7" t="n">
        <f aca="false">IFERROR(COUNTIFS('2. Raw Votes by Country'!B:B,$A10,'2. Raw Votes by Country'!D:D,"SWE"),0)</f>
        <v>0</v>
      </c>
      <c r="N10" s="7" t="n">
        <f aca="false">IFERROR(COUNTIFS('2. Raw Votes by Country'!B:B,$A10,'2. Raw Votes by Country'!D:D,"ITA"),0)</f>
        <v>0</v>
      </c>
      <c r="O10" s="7" t="n">
        <f aca="false">IFERROR(COUNTIFS('2. Raw Votes by Country'!B:B,$A10,'2. Raw Votes by Country'!D:D,"ESP"),0)</f>
        <v>0</v>
      </c>
      <c r="P10" s="7" t="n">
        <f aca="false">IFERROR(COUNTIFS('2. Raw Votes by Country'!B:B,$A10,'2. Raw Votes by Country'!D:D,"IND"),0)</f>
        <v>0</v>
      </c>
      <c r="Q10" s="7" t="n">
        <f aca="false">IFERROR(COUNTIFS('2. Raw Votes by Country'!B:B,$A10,'2. Raw Votes by Country'!D:D,"BRA"),0)</f>
        <v>0</v>
      </c>
      <c r="R10" s="7" t="n">
        <f aca="false">IFERROR(COUNTIFS('2. Raw Votes by Country'!B:B,$A10,'2. Raw Votes by Country'!D:D,"SGP"),0)</f>
        <v>0</v>
      </c>
      <c r="S10" s="7" t="n">
        <f aca="false">IFERROR(COUNTIFS('2. Raw Votes by Country'!B:B,$A10,'2. Raw Votes by Country'!D:D,"HKG"),0)</f>
        <v>0</v>
      </c>
      <c r="T10" s="7" t="n">
        <f aca="false">IFERROR(COUNTIFS('2. Raw Votes by Country'!B:B,$A10,'2. Raw Votes by Country'!D:D,"ZAF"),0)</f>
        <v>0</v>
      </c>
      <c r="U10" s="7" t="n">
        <f aca="false">IFERROR(COUNTIFS('2. Raw Votes by Country'!B:B,$A10,'2. Raw Votes by Country'!D:D,"RUS"),0)</f>
        <v>0</v>
      </c>
      <c r="V10" s="30" t="n">
        <f aca="false">SUM(B10:U10)</f>
        <v>0</v>
      </c>
      <c r="W10" s="30" t="n">
        <f aca="false">COUNTIF(B10:U10,"&gt;0")</f>
        <v>0</v>
      </c>
      <c r="X10" s="31" t="n">
        <f aca="false">IFERROR(MAX(B10:U10)/V10*100,0)</f>
        <v>0</v>
      </c>
    </row>
    <row r="11" customFormat="false" ht="15" hidden="false" customHeight="false" outlineLevel="0" collapsed="false">
      <c r="A11" s="17"/>
      <c r="B11" s="4" t="n">
        <f aca="false">IFERROR(COUNTIFS('2. Raw Votes by Country'!B:B,$A11,'2. Raw Votes by Country'!D:D,"USA"),0)</f>
        <v>0</v>
      </c>
      <c r="C11" s="4" t="n">
        <f aca="false">IFERROR(COUNTIFS('2. Raw Votes by Country'!B:B,$A11,'2. Raw Votes by Country'!D:D,"GBR"),0)</f>
        <v>0</v>
      </c>
      <c r="D11" s="4" t="n">
        <f aca="false">IFERROR(COUNTIFS('2. Raw Votes by Country'!B:B,$A11,'2. Raw Votes by Country'!D:D,"CHN"),0)</f>
        <v>0</v>
      </c>
      <c r="E11" s="4" t="n">
        <f aca="false">IFERROR(COUNTIFS('2. Raw Votes by Country'!B:B,$A11,'2. Raw Votes by Country'!D:D,"DEU"),0)</f>
        <v>0</v>
      </c>
      <c r="F11" s="4" t="n">
        <f aca="false">IFERROR(COUNTIFS('2. Raw Votes by Country'!B:B,$A11,'2. Raw Votes by Country'!D:D,"JPN"),0)</f>
        <v>0</v>
      </c>
      <c r="G11" s="4" t="n">
        <f aca="false">IFERROR(COUNTIFS('2. Raw Votes by Country'!B:B,$A11,'2. Raw Votes by Country'!D:D,"AUS"),0)</f>
        <v>0</v>
      </c>
      <c r="H11" s="4" t="n">
        <f aca="false">IFERROR(COUNTIFS('2. Raw Votes by Country'!B:B,$A11,'2. Raw Votes by Country'!D:D,"FRA"),0)</f>
        <v>0</v>
      </c>
      <c r="I11" s="4" t="n">
        <f aca="false">IFERROR(COUNTIFS('2. Raw Votes by Country'!B:B,$A11,'2. Raw Votes by Country'!D:D,"NLD"),0)</f>
        <v>0</v>
      </c>
      <c r="J11" s="4" t="n">
        <f aca="false">IFERROR(COUNTIFS('2. Raw Votes by Country'!B:B,$A11,'2. Raw Votes by Country'!D:D,"CAN"),0)</f>
        <v>0</v>
      </c>
      <c r="K11" s="4" t="n">
        <f aca="false">IFERROR(COUNTIFS('2. Raw Votes by Country'!B:B,$A11,'2. Raw Votes by Country'!D:D,"KOR"),0)</f>
        <v>0</v>
      </c>
      <c r="L11" s="4" t="n">
        <f aca="false">IFERROR(COUNTIFS('2. Raw Votes by Country'!B:B,$A11,'2. Raw Votes by Country'!D:D,"CHE"),0)</f>
        <v>0</v>
      </c>
      <c r="M11" s="4" t="n">
        <f aca="false">IFERROR(COUNTIFS('2. Raw Votes by Country'!B:B,$A11,'2. Raw Votes by Country'!D:D,"SWE"),0)</f>
        <v>0</v>
      </c>
      <c r="N11" s="4" t="n">
        <f aca="false">IFERROR(COUNTIFS('2. Raw Votes by Country'!B:B,$A11,'2. Raw Votes by Country'!D:D,"ITA"),0)</f>
        <v>0</v>
      </c>
      <c r="O11" s="4" t="n">
        <f aca="false">IFERROR(COUNTIFS('2. Raw Votes by Country'!B:B,$A11,'2. Raw Votes by Country'!D:D,"ESP"),0)</f>
        <v>0</v>
      </c>
      <c r="P11" s="4" t="n">
        <f aca="false">IFERROR(COUNTIFS('2. Raw Votes by Country'!B:B,$A11,'2. Raw Votes by Country'!D:D,"IND"),0)</f>
        <v>0</v>
      </c>
      <c r="Q11" s="4" t="n">
        <f aca="false">IFERROR(COUNTIFS('2. Raw Votes by Country'!B:B,$A11,'2. Raw Votes by Country'!D:D,"BRA"),0)</f>
        <v>0</v>
      </c>
      <c r="R11" s="4" t="n">
        <f aca="false">IFERROR(COUNTIFS('2. Raw Votes by Country'!B:B,$A11,'2. Raw Votes by Country'!D:D,"SGP"),0)</f>
        <v>0</v>
      </c>
      <c r="S11" s="4" t="n">
        <f aca="false">IFERROR(COUNTIFS('2. Raw Votes by Country'!B:B,$A11,'2. Raw Votes by Country'!D:D,"HKG"),0)</f>
        <v>0</v>
      </c>
      <c r="T11" s="4" t="n">
        <f aca="false">IFERROR(COUNTIFS('2. Raw Votes by Country'!B:B,$A11,'2. Raw Votes by Country'!D:D,"ZAF"),0)</f>
        <v>0</v>
      </c>
      <c r="U11" s="4" t="n">
        <f aca="false">IFERROR(COUNTIFS('2. Raw Votes by Country'!B:B,$A11,'2. Raw Votes by Country'!D:D,"RUS"),0)</f>
        <v>0</v>
      </c>
      <c r="V11" s="28" t="n">
        <f aca="false">SUM(B11:U11)</f>
        <v>0</v>
      </c>
      <c r="W11" s="28" t="n">
        <f aca="false">COUNTIF(B11:U11,"&gt;0")</f>
        <v>0</v>
      </c>
      <c r="X11" s="29" t="n">
        <f aca="false">IFERROR(MAX(B11:U11)/V11*100,0)</f>
        <v>0</v>
      </c>
    </row>
    <row r="12" customFormat="false" ht="15" hidden="false" customHeight="false" outlineLevel="0" collapsed="false">
      <c r="A12" s="24"/>
      <c r="B12" s="7" t="n">
        <f aca="false">IFERROR(COUNTIFS('2. Raw Votes by Country'!B:B,$A12,'2. Raw Votes by Country'!D:D,"USA"),0)</f>
        <v>0</v>
      </c>
      <c r="C12" s="7" t="n">
        <f aca="false">IFERROR(COUNTIFS('2. Raw Votes by Country'!B:B,$A12,'2. Raw Votes by Country'!D:D,"GBR"),0)</f>
        <v>0</v>
      </c>
      <c r="D12" s="7" t="n">
        <f aca="false">IFERROR(COUNTIFS('2. Raw Votes by Country'!B:B,$A12,'2. Raw Votes by Country'!D:D,"CHN"),0)</f>
        <v>0</v>
      </c>
      <c r="E12" s="7" t="n">
        <f aca="false">IFERROR(COUNTIFS('2. Raw Votes by Country'!B:B,$A12,'2. Raw Votes by Country'!D:D,"DEU"),0)</f>
        <v>0</v>
      </c>
      <c r="F12" s="7" t="n">
        <f aca="false">IFERROR(COUNTIFS('2. Raw Votes by Country'!B:B,$A12,'2. Raw Votes by Country'!D:D,"JPN"),0)</f>
        <v>0</v>
      </c>
      <c r="G12" s="7" t="n">
        <f aca="false">IFERROR(COUNTIFS('2. Raw Votes by Country'!B:B,$A12,'2. Raw Votes by Country'!D:D,"AUS"),0)</f>
        <v>0</v>
      </c>
      <c r="H12" s="7" t="n">
        <f aca="false">IFERROR(COUNTIFS('2. Raw Votes by Country'!B:B,$A12,'2. Raw Votes by Country'!D:D,"FRA"),0)</f>
        <v>0</v>
      </c>
      <c r="I12" s="7" t="n">
        <f aca="false">IFERROR(COUNTIFS('2. Raw Votes by Country'!B:B,$A12,'2. Raw Votes by Country'!D:D,"NLD"),0)</f>
        <v>0</v>
      </c>
      <c r="J12" s="7" t="n">
        <f aca="false">IFERROR(COUNTIFS('2. Raw Votes by Country'!B:B,$A12,'2. Raw Votes by Country'!D:D,"CAN"),0)</f>
        <v>0</v>
      </c>
      <c r="K12" s="7" t="n">
        <f aca="false">IFERROR(COUNTIFS('2. Raw Votes by Country'!B:B,$A12,'2. Raw Votes by Country'!D:D,"KOR"),0)</f>
        <v>0</v>
      </c>
      <c r="L12" s="7" t="n">
        <f aca="false">IFERROR(COUNTIFS('2. Raw Votes by Country'!B:B,$A12,'2. Raw Votes by Country'!D:D,"CHE"),0)</f>
        <v>0</v>
      </c>
      <c r="M12" s="7" t="n">
        <f aca="false">IFERROR(COUNTIFS('2. Raw Votes by Country'!B:B,$A12,'2. Raw Votes by Country'!D:D,"SWE"),0)</f>
        <v>0</v>
      </c>
      <c r="N12" s="7" t="n">
        <f aca="false">IFERROR(COUNTIFS('2. Raw Votes by Country'!B:B,$A12,'2. Raw Votes by Country'!D:D,"ITA"),0)</f>
        <v>0</v>
      </c>
      <c r="O12" s="7" t="n">
        <f aca="false">IFERROR(COUNTIFS('2. Raw Votes by Country'!B:B,$A12,'2. Raw Votes by Country'!D:D,"ESP"),0)</f>
        <v>0</v>
      </c>
      <c r="P12" s="7" t="n">
        <f aca="false">IFERROR(COUNTIFS('2. Raw Votes by Country'!B:B,$A12,'2. Raw Votes by Country'!D:D,"IND"),0)</f>
        <v>0</v>
      </c>
      <c r="Q12" s="7" t="n">
        <f aca="false">IFERROR(COUNTIFS('2. Raw Votes by Country'!B:B,$A12,'2. Raw Votes by Country'!D:D,"BRA"),0)</f>
        <v>0</v>
      </c>
      <c r="R12" s="7" t="n">
        <f aca="false">IFERROR(COUNTIFS('2. Raw Votes by Country'!B:B,$A12,'2. Raw Votes by Country'!D:D,"SGP"),0)</f>
        <v>0</v>
      </c>
      <c r="S12" s="7" t="n">
        <f aca="false">IFERROR(COUNTIFS('2. Raw Votes by Country'!B:B,$A12,'2. Raw Votes by Country'!D:D,"HKG"),0)</f>
        <v>0</v>
      </c>
      <c r="T12" s="7" t="n">
        <f aca="false">IFERROR(COUNTIFS('2. Raw Votes by Country'!B:B,$A12,'2. Raw Votes by Country'!D:D,"ZAF"),0)</f>
        <v>0</v>
      </c>
      <c r="U12" s="7" t="n">
        <f aca="false">IFERROR(COUNTIFS('2. Raw Votes by Country'!B:B,$A12,'2. Raw Votes by Country'!D:D,"RUS"),0)</f>
        <v>0</v>
      </c>
      <c r="V12" s="30" t="n">
        <f aca="false">SUM(B12:U12)</f>
        <v>0</v>
      </c>
      <c r="W12" s="30" t="n">
        <f aca="false">COUNTIF(B12:U12,"&gt;0")</f>
        <v>0</v>
      </c>
      <c r="X12" s="31" t="n">
        <f aca="false">IFERROR(MAX(B12:U12)/V12*100,0)</f>
        <v>0</v>
      </c>
    </row>
    <row r="13" customFormat="false" ht="15" hidden="false" customHeight="false" outlineLevel="0" collapsed="false">
      <c r="A13" s="17"/>
      <c r="B13" s="4" t="n">
        <f aca="false">IFERROR(COUNTIFS('2. Raw Votes by Country'!B:B,$A13,'2. Raw Votes by Country'!D:D,"USA"),0)</f>
        <v>0</v>
      </c>
      <c r="C13" s="4" t="n">
        <f aca="false">IFERROR(COUNTIFS('2. Raw Votes by Country'!B:B,$A13,'2. Raw Votes by Country'!D:D,"GBR"),0)</f>
        <v>0</v>
      </c>
      <c r="D13" s="4" t="n">
        <f aca="false">IFERROR(COUNTIFS('2. Raw Votes by Country'!B:B,$A13,'2. Raw Votes by Country'!D:D,"CHN"),0)</f>
        <v>0</v>
      </c>
      <c r="E13" s="4" t="n">
        <f aca="false">IFERROR(COUNTIFS('2. Raw Votes by Country'!B:B,$A13,'2. Raw Votes by Country'!D:D,"DEU"),0)</f>
        <v>0</v>
      </c>
      <c r="F13" s="4" t="n">
        <f aca="false">IFERROR(COUNTIFS('2. Raw Votes by Country'!B:B,$A13,'2. Raw Votes by Country'!D:D,"JPN"),0)</f>
        <v>0</v>
      </c>
      <c r="G13" s="4" t="n">
        <f aca="false">IFERROR(COUNTIFS('2. Raw Votes by Country'!B:B,$A13,'2. Raw Votes by Country'!D:D,"AUS"),0)</f>
        <v>0</v>
      </c>
      <c r="H13" s="4" t="n">
        <f aca="false">IFERROR(COUNTIFS('2. Raw Votes by Country'!B:B,$A13,'2. Raw Votes by Country'!D:D,"FRA"),0)</f>
        <v>0</v>
      </c>
      <c r="I13" s="4" t="n">
        <f aca="false">IFERROR(COUNTIFS('2. Raw Votes by Country'!B:B,$A13,'2. Raw Votes by Country'!D:D,"NLD"),0)</f>
        <v>0</v>
      </c>
      <c r="J13" s="4" t="n">
        <f aca="false">IFERROR(COUNTIFS('2. Raw Votes by Country'!B:B,$A13,'2. Raw Votes by Country'!D:D,"CAN"),0)</f>
        <v>0</v>
      </c>
      <c r="K13" s="4" t="n">
        <f aca="false">IFERROR(COUNTIFS('2. Raw Votes by Country'!B:B,$A13,'2. Raw Votes by Country'!D:D,"KOR"),0)</f>
        <v>0</v>
      </c>
      <c r="L13" s="4" t="n">
        <f aca="false">IFERROR(COUNTIFS('2. Raw Votes by Country'!B:B,$A13,'2. Raw Votes by Country'!D:D,"CHE"),0)</f>
        <v>0</v>
      </c>
      <c r="M13" s="4" t="n">
        <f aca="false">IFERROR(COUNTIFS('2. Raw Votes by Country'!B:B,$A13,'2. Raw Votes by Country'!D:D,"SWE"),0)</f>
        <v>0</v>
      </c>
      <c r="N13" s="4" t="n">
        <f aca="false">IFERROR(COUNTIFS('2. Raw Votes by Country'!B:B,$A13,'2. Raw Votes by Country'!D:D,"ITA"),0)</f>
        <v>0</v>
      </c>
      <c r="O13" s="4" t="n">
        <f aca="false">IFERROR(COUNTIFS('2. Raw Votes by Country'!B:B,$A13,'2. Raw Votes by Country'!D:D,"ESP"),0)</f>
        <v>0</v>
      </c>
      <c r="P13" s="4" t="n">
        <f aca="false">IFERROR(COUNTIFS('2. Raw Votes by Country'!B:B,$A13,'2. Raw Votes by Country'!D:D,"IND"),0)</f>
        <v>0</v>
      </c>
      <c r="Q13" s="4" t="n">
        <f aca="false">IFERROR(COUNTIFS('2. Raw Votes by Country'!B:B,$A13,'2. Raw Votes by Country'!D:D,"BRA"),0)</f>
        <v>0</v>
      </c>
      <c r="R13" s="4" t="n">
        <f aca="false">IFERROR(COUNTIFS('2. Raw Votes by Country'!B:B,$A13,'2. Raw Votes by Country'!D:D,"SGP"),0)</f>
        <v>0</v>
      </c>
      <c r="S13" s="4" t="n">
        <f aca="false">IFERROR(COUNTIFS('2. Raw Votes by Country'!B:B,$A13,'2. Raw Votes by Country'!D:D,"HKG"),0)</f>
        <v>0</v>
      </c>
      <c r="T13" s="4" t="n">
        <f aca="false">IFERROR(COUNTIFS('2. Raw Votes by Country'!B:B,$A13,'2. Raw Votes by Country'!D:D,"ZAF"),0)</f>
        <v>0</v>
      </c>
      <c r="U13" s="4" t="n">
        <f aca="false">IFERROR(COUNTIFS('2. Raw Votes by Country'!B:B,$A13,'2. Raw Votes by Country'!D:D,"RUS"),0)</f>
        <v>0</v>
      </c>
      <c r="V13" s="28" t="n">
        <f aca="false">SUM(B13:U13)</f>
        <v>0</v>
      </c>
      <c r="W13" s="28" t="n">
        <f aca="false">COUNTIF(B13:U13,"&gt;0")</f>
        <v>0</v>
      </c>
      <c r="X13" s="29" t="n">
        <f aca="false">IFERROR(MAX(B13:U13)/V13*100,0)</f>
        <v>0</v>
      </c>
    </row>
    <row r="14" customFormat="false" ht="15" hidden="false" customHeight="false" outlineLevel="0" collapsed="false">
      <c r="A14" s="24"/>
      <c r="B14" s="7" t="n">
        <f aca="false">IFERROR(COUNTIFS('2. Raw Votes by Country'!B:B,$A14,'2. Raw Votes by Country'!D:D,"USA"),0)</f>
        <v>0</v>
      </c>
      <c r="C14" s="7" t="n">
        <f aca="false">IFERROR(COUNTIFS('2. Raw Votes by Country'!B:B,$A14,'2. Raw Votes by Country'!D:D,"GBR"),0)</f>
        <v>0</v>
      </c>
      <c r="D14" s="7" t="n">
        <f aca="false">IFERROR(COUNTIFS('2. Raw Votes by Country'!B:B,$A14,'2. Raw Votes by Country'!D:D,"CHN"),0)</f>
        <v>0</v>
      </c>
      <c r="E14" s="7" t="n">
        <f aca="false">IFERROR(COUNTIFS('2. Raw Votes by Country'!B:B,$A14,'2. Raw Votes by Country'!D:D,"DEU"),0)</f>
        <v>0</v>
      </c>
      <c r="F14" s="7" t="n">
        <f aca="false">IFERROR(COUNTIFS('2. Raw Votes by Country'!B:B,$A14,'2. Raw Votes by Country'!D:D,"JPN"),0)</f>
        <v>0</v>
      </c>
      <c r="G14" s="7" t="n">
        <f aca="false">IFERROR(COUNTIFS('2. Raw Votes by Country'!B:B,$A14,'2. Raw Votes by Country'!D:D,"AUS"),0)</f>
        <v>0</v>
      </c>
      <c r="H14" s="7" t="n">
        <f aca="false">IFERROR(COUNTIFS('2. Raw Votes by Country'!B:B,$A14,'2. Raw Votes by Country'!D:D,"FRA"),0)</f>
        <v>0</v>
      </c>
      <c r="I14" s="7" t="n">
        <f aca="false">IFERROR(COUNTIFS('2. Raw Votes by Country'!B:B,$A14,'2. Raw Votes by Country'!D:D,"NLD"),0)</f>
        <v>0</v>
      </c>
      <c r="J14" s="7" t="n">
        <f aca="false">IFERROR(COUNTIFS('2. Raw Votes by Country'!B:B,$A14,'2. Raw Votes by Country'!D:D,"CAN"),0)</f>
        <v>0</v>
      </c>
      <c r="K14" s="7" t="n">
        <f aca="false">IFERROR(COUNTIFS('2. Raw Votes by Country'!B:B,$A14,'2. Raw Votes by Country'!D:D,"KOR"),0)</f>
        <v>0</v>
      </c>
      <c r="L14" s="7" t="n">
        <f aca="false">IFERROR(COUNTIFS('2. Raw Votes by Country'!B:B,$A14,'2. Raw Votes by Country'!D:D,"CHE"),0)</f>
        <v>0</v>
      </c>
      <c r="M14" s="7" t="n">
        <f aca="false">IFERROR(COUNTIFS('2. Raw Votes by Country'!B:B,$A14,'2. Raw Votes by Country'!D:D,"SWE"),0)</f>
        <v>0</v>
      </c>
      <c r="N14" s="7" t="n">
        <f aca="false">IFERROR(COUNTIFS('2. Raw Votes by Country'!B:B,$A14,'2. Raw Votes by Country'!D:D,"ITA"),0)</f>
        <v>0</v>
      </c>
      <c r="O14" s="7" t="n">
        <f aca="false">IFERROR(COUNTIFS('2. Raw Votes by Country'!B:B,$A14,'2. Raw Votes by Country'!D:D,"ESP"),0)</f>
        <v>0</v>
      </c>
      <c r="P14" s="7" t="n">
        <f aca="false">IFERROR(COUNTIFS('2. Raw Votes by Country'!B:B,$A14,'2. Raw Votes by Country'!D:D,"IND"),0)</f>
        <v>0</v>
      </c>
      <c r="Q14" s="7" t="n">
        <f aca="false">IFERROR(COUNTIFS('2. Raw Votes by Country'!B:B,$A14,'2. Raw Votes by Country'!D:D,"BRA"),0)</f>
        <v>0</v>
      </c>
      <c r="R14" s="7" t="n">
        <f aca="false">IFERROR(COUNTIFS('2. Raw Votes by Country'!B:B,$A14,'2. Raw Votes by Country'!D:D,"SGP"),0)</f>
        <v>0</v>
      </c>
      <c r="S14" s="7" t="n">
        <f aca="false">IFERROR(COUNTIFS('2. Raw Votes by Country'!B:B,$A14,'2. Raw Votes by Country'!D:D,"HKG"),0)</f>
        <v>0</v>
      </c>
      <c r="T14" s="7" t="n">
        <f aca="false">IFERROR(COUNTIFS('2. Raw Votes by Country'!B:B,$A14,'2. Raw Votes by Country'!D:D,"ZAF"),0)</f>
        <v>0</v>
      </c>
      <c r="U14" s="7" t="n">
        <f aca="false">IFERROR(COUNTIFS('2. Raw Votes by Country'!B:B,$A14,'2. Raw Votes by Country'!D:D,"RUS"),0)</f>
        <v>0</v>
      </c>
      <c r="V14" s="30" t="n">
        <f aca="false">SUM(B14:U14)</f>
        <v>0</v>
      </c>
      <c r="W14" s="30" t="n">
        <f aca="false">COUNTIF(B14:U14,"&gt;0")</f>
        <v>0</v>
      </c>
      <c r="X14" s="31" t="n">
        <f aca="false">IFERROR(MAX(B14:U14)/V14*100,0)</f>
        <v>0</v>
      </c>
    </row>
    <row r="15" customFormat="false" ht="15" hidden="false" customHeight="false" outlineLevel="0" collapsed="false">
      <c r="A15" s="17"/>
      <c r="B15" s="4" t="n">
        <f aca="false">IFERROR(COUNTIFS('2. Raw Votes by Country'!B:B,$A15,'2. Raw Votes by Country'!D:D,"USA"),0)</f>
        <v>0</v>
      </c>
      <c r="C15" s="4" t="n">
        <f aca="false">IFERROR(COUNTIFS('2. Raw Votes by Country'!B:B,$A15,'2. Raw Votes by Country'!D:D,"GBR"),0)</f>
        <v>0</v>
      </c>
      <c r="D15" s="4" t="n">
        <f aca="false">IFERROR(COUNTIFS('2. Raw Votes by Country'!B:B,$A15,'2. Raw Votes by Country'!D:D,"CHN"),0)</f>
        <v>0</v>
      </c>
      <c r="E15" s="4" t="n">
        <f aca="false">IFERROR(COUNTIFS('2. Raw Votes by Country'!B:B,$A15,'2. Raw Votes by Country'!D:D,"DEU"),0)</f>
        <v>0</v>
      </c>
      <c r="F15" s="4" t="n">
        <f aca="false">IFERROR(COUNTIFS('2. Raw Votes by Country'!B:B,$A15,'2. Raw Votes by Country'!D:D,"JPN"),0)</f>
        <v>0</v>
      </c>
      <c r="G15" s="4" t="n">
        <f aca="false">IFERROR(COUNTIFS('2. Raw Votes by Country'!B:B,$A15,'2. Raw Votes by Country'!D:D,"AUS"),0)</f>
        <v>0</v>
      </c>
      <c r="H15" s="4" t="n">
        <f aca="false">IFERROR(COUNTIFS('2. Raw Votes by Country'!B:B,$A15,'2. Raw Votes by Country'!D:D,"FRA"),0)</f>
        <v>0</v>
      </c>
      <c r="I15" s="4" t="n">
        <f aca="false">IFERROR(COUNTIFS('2. Raw Votes by Country'!B:B,$A15,'2. Raw Votes by Country'!D:D,"NLD"),0)</f>
        <v>0</v>
      </c>
      <c r="J15" s="4" t="n">
        <f aca="false">IFERROR(COUNTIFS('2. Raw Votes by Country'!B:B,$A15,'2. Raw Votes by Country'!D:D,"CAN"),0)</f>
        <v>0</v>
      </c>
      <c r="K15" s="4" t="n">
        <f aca="false">IFERROR(COUNTIFS('2. Raw Votes by Country'!B:B,$A15,'2. Raw Votes by Country'!D:D,"KOR"),0)</f>
        <v>0</v>
      </c>
      <c r="L15" s="4" t="n">
        <f aca="false">IFERROR(COUNTIFS('2. Raw Votes by Country'!B:B,$A15,'2. Raw Votes by Country'!D:D,"CHE"),0)</f>
        <v>0</v>
      </c>
      <c r="M15" s="4" t="n">
        <f aca="false">IFERROR(COUNTIFS('2. Raw Votes by Country'!B:B,$A15,'2. Raw Votes by Country'!D:D,"SWE"),0)</f>
        <v>0</v>
      </c>
      <c r="N15" s="4" t="n">
        <f aca="false">IFERROR(COUNTIFS('2. Raw Votes by Country'!B:B,$A15,'2. Raw Votes by Country'!D:D,"ITA"),0)</f>
        <v>0</v>
      </c>
      <c r="O15" s="4" t="n">
        <f aca="false">IFERROR(COUNTIFS('2. Raw Votes by Country'!B:B,$A15,'2. Raw Votes by Country'!D:D,"ESP"),0)</f>
        <v>0</v>
      </c>
      <c r="P15" s="4" t="n">
        <f aca="false">IFERROR(COUNTIFS('2. Raw Votes by Country'!B:B,$A15,'2. Raw Votes by Country'!D:D,"IND"),0)</f>
        <v>0</v>
      </c>
      <c r="Q15" s="4" t="n">
        <f aca="false">IFERROR(COUNTIFS('2. Raw Votes by Country'!B:B,$A15,'2. Raw Votes by Country'!D:D,"BRA"),0)</f>
        <v>0</v>
      </c>
      <c r="R15" s="4" t="n">
        <f aca="false">IFERROR(COUNTIFS('2. Raw Votes by Country'!B:B,$A15,'2. Raw Votes by Country'!D:D,"SGP"),0)</f>
        <v>0</v>
      </c>
      <c r="S15" s="4" t="n">
        <f aca="false">IFERROR(COUNTIFS('2. Raw Votes by Country'!B:B,$A15,'2. Raw Votes by Country'!D:D,"HKG"),0)</f>
        <v>0</v>
      </c>
      <c r="T15" s="4" t="n">
        <f aca="false">IFERROR(COUNTIFS('2. Raw Votes by Country'!B:B,$A15,'2. Raw Votes by Country'!D:D,"ZAF"),0)</f>
        <v>0</v>
      </c>
      <c r="U15" s="4" t="n">
        <f aca="false">IFERROR(COUNTIFS('2. Raw Votes by Country'!B:B,$A15,'2. Raw Votes by Country'!D:D,"RUS"),0)</f>
        <v>0</v>
      </c>
      <c r="V15" s="28" t="n">
        <f aca="false">SUM(B15:U15)</f>
        <v>0</v>
      </c>
      <c r="W15" s="28" t="n">
        <f aca="false">COUNTIF(B15:U15,"&gt;0")</f>
        <v>0</v>
      </c>
      <c r="X15" s="29" t="n">
        <f aca="false">IFERROR(MAX(B15:U15)/V15*100,0)</f>
        <v>0</v>
      </c>
    </row>
    <row r="16" customFormat="false" ht="15" hidden="false" customHeight="false" outlineLevel="0" collapsed="false">
      <c r="A16" s="24"/>
      <c r="B16" s="7" t="n">
        <f aca="false">IFERROR(COUNTIFS('2. Raw Votes by Country'!B:B,$A16,'2. Raw Votes by Country'!D:D,"USA"),0)</f>
        <v>0</v>
      </c>
      <c r="C16" s="7" t="n">
        <f aca="false">IFERROR(COUNTIFS('2. Raw Votes by Country'!B:B,$A16,'2. Raw Votes by Country'!D:D,"GBR"),0)</f>
        <v>0</v>
      </c>
      <c r="D16" s="7" t="n">
        <f aca="false">IFERROR(COUNTIFS('2. Raw Votes by Country'!B:B,$A16,'2. Raw Votes by Country'!D:D,"CHN"),0)</f>
        <v>0</v>
      </c>
      <c r="E16" s="7" t="n">
        <f aca="false">IFERROR(COUNTIFS('2. Raw Votes by Country'!B:B,$A16,'2. Raw Votes by Country'!D:D,"DEU"),0)</f>
        <v>0</v>
      </c>
      <c r="F16" s="7" t="n">
        <f aca="false">IFERROR(COUNTIFS('2. Raw Votes by Country'!B:B,$A16,'2. Raw Votes by Country'!D:D,"JPN"),0)</f>
        <v>0</v>
      </c>
      <c r="G16" s="7" t="n">
        <f aca="false">IFERROR(COUNTIFS('2. Raw Votes by Country'!B:B,$A16,'2. Raw Votes by Country'!D:D,"AUS"),0)</f>
        <v>0</v>
      </c>
      <c r="H16" s="7" t="n">
        <f aca="false">IFERROR(COUNTIFS('2. Raw Votes by Country'!B:B,$A16,'2. Raw Votes by Country'!D:D,"FRA"),0)</f>
        <v>0</v>
      </c>
      <c r="I16" s="7" t="n">
        <f aca="false">IFERROR(COUNTIFS('2. Raw Votes by Country'!B:B,$A16,'2. Raw Votes by Country'!D:D,"NLD"),0)</f>
        <v>0</v>
      </c>
      <c r="J16" s="7" t="n">
        <f aca="false">IFERROR(COUNTIFS('2. Raw Votes by Country'!B:B,$A16,'2. Raw Votes by Country'!D:D,"CAN"),0)</f>
        <v>0</v>
      </c>
      <c r="K16" s="7" t="n">
        <f aca="false">IFERROR(COUNTIFS('2. Raw Votes by Country'!B:B,$A16,'2. Raw Votes by Country'!D:D,"KOR"),0)</f>
        <v>0</v>
      </c>
      <c r="L16" s="7" t="n">
        <f aca="false">IFERROR(COUNTIFS('2. Raw Votes by Country'!B:B,$A16,'2. Raw Votes by Country'!D:D,"CHE"),0)</f>
        <v>0</v>
      </c>
      <c r="M16" s="7" t="n">
        <f aca="false">IFERROR(COUNTIFS('2. Raw Votes by Country'!B:B,$A16,'2. Raw Votes by Country'!D:D,"SWE"),0)</f>
        <v>0</v>
      </c>
      <c r="N16" s="7" t="n">
        <f aca="false">IFERROR(COUNTIFS('2. Raw Votes by Country'!B:B,$A16,'2. Raw Votes by Country'!D:D,"ITA"),0)</f>
        <v>0</v>
      </c>
      <c r="O16" s="7" t="n">
        <f aca="false">IFERROR(COUNTIFS('2. Raw Votes by Country'!B:B,$A16,'2. Raw Votes by Country'!D:D,"ESP"),0)</f>
        <v>0</v>
      </c>
      <c r="P16" s="7" t="n">
        <f aca="false">IFERROR(COUNTIFS('2. Raw Votes by Country'!B:B,$A16,'2. Raw Votes by Country'!D:D,"IND"),0)</f>
        <v>0</v>
      </c>
      <c r="Q16" s="7" t="n">
        <f aca="false">IFERROR(COUNTIFS('2. Raw Votes by Country'!B:B,$A16,'2. Raw Votes by Country'!D:D,"BRA"),0)</f>
        <v>0</v>
      </c>
      <c r="R16" s="7" t="n">
        <f aca="false">IFERROR(COUNTIFS('2. Raw Votes by Country'!B:B,$A16,'2. Raw Votes by Country'!D:D,"SGP"),0)</f>
        <v>0</v>
      </c>
      <c r="S16" s="7" t="n">
        <f aca="false">IFERROR(COUNTIFS('2. Raw Votes by Country'!B:B,$A16,'2. Raw Votes by Country'!D:D,"HKG"),0)</f>
        <v>0</v>
      </c>
      <c r="T16" s="7" t="n">
        <f aca="false">IFERROR(COUNTIFS('2. Raw Votes by Country'!B:B,$A16,'2. Raw Votes by Country'!D:D,"ZAF"),0)</f>
        <v>0</v>
      </c>
      <c r="U16" s="7" t="n">
        <f aca="false">IFERROR(COUNTIFS('2. Raw Votes by Country'!B:B,$A16,'2. Raw Votes by Country'!D:D,"RUS"),0)</f>
        <v>0</v>
      </c>
      <c r="V16" s="30" t="n">
        <f aca="false">SUM(B16:U16)</f>
        <v>0</v>
      </c>
      <c r="W16" s="30" t="n">
        <f aca="false">COUNTIF(B16:U16,"&gt;0")</f>
        <v>0</v>
      </c>
      <c r="X16" s="31" t="n">
        <f aca="false">IFERROR(MAX(B16:U16)/V16*100,0)</f>
        <v>0</v>
      </c>
    </row>
    <row r="17" customFormat="false" ht="15" hidden="false" customHeight="false" outlineLevel="0" collapsed="false">
      <c r="A17" s="17"/>
      <c r="B17" s="4" t="n">
        <f aca="false">IFERROR(COUNTIFS('2. Raw Votes by Country'!B:B,$A17,'2. Raw Votes by Country'!D:D,"USA"),0)</f>
        <v>0</v>
      </c>
      <c r="C17" s="4" t="n">
        <f aca="false">IFERROR(COUNTIFS('2. Raw Votes by Country'!B:B,$A17,'2. Raw Votes by Country'!D:D,"GBR"),0)</f>
        <v>0</v>
      </c>
      <c r="D17" s="4" t="n">
        <f aca="false">IFERROR(COUNTIFS('2. Raw Votes by Country'!B:B,$A17,'2. Raw Votes by Country'!D:D,"CHN"),0)</f>
        <v>0</v>
      </c>
      <c r="E17" s="4" t="n">
        <f aca="false">IFERROR(COUNTIFS('2. Raw Votes by Country'!B:B,$A17,'2. Raw Votes by Country'!D:D,"DEU"),0)</f>
        <v>0</v>
      </c>
      <c r="F17" s="4" t="n">
        <f aca="false">IFERROR(COUNTIFS('2. Raw Votes by Country'!B:B,$A17,'2. Raw Votes by Country'!D:D,"JPN"),0)</f>
        <v>0</v>
      </c>
      <c r="G17" s="4" t="n">
        <f aca="false">IFERROR(COUNTIFS('2. Raw Votes by Country'!B:B,$A17,'2. Raw Votes by Country'!D:D,"AUS"),0)</f>
        <v>0</v>
      </c>
      <c r="H17" s="4" t="n">
        <f aca="false">IFERROR(COUNTIFS('2. Raw Votes by Country'!B:B,$A17,'2. Raw Votes by Country'!D:D,"FRA"),0)</f>
        <v>0</v>
      </c>
      <c r="I17" s="4" t="n">
        <f aca="false">IFERROR(COUNTIFS('2. Raw Votes by Country'!B:B,$A17,'2. Raw Votes by Country'!D:D,"NLD"),0)</f>
        <v>0</v>
      </c>
      <c r="J17" s="4" t="n">
        <f aca="false">IFERROR(COUNTIFS('2. Raw Votes by Country'!B:B,$A17,'2. Raw Votes by Country'!D:D,"CAN"),0)</f>
        <v>0</v>
      </c>
      <c r="K17" s="4" t="n">
        <f aca="false">IFERROR(COUNTIFS('2. Raw Votes by Country'!B:B,$A17,'2. Raw Votes by Country'!D:D,"KOR"),0)</f>
        <v>0</v>
      </c>
      <c r="L17" s="4" t="n">
        <f aca="false">IFERROR(COUNTIFS('2. Raw Votes by Country'!B:B,$A17,'2. Raw Votes by Country'!D:D,"CHE"),0)</f>
        <v>0</v>
      </c>
      <c r="M17" s="4" t="n">
        <f aca="false">IFERROR(COUNTIFS('2. Raw Votes by Country'!B:B,$A17,'2. Raw Votes by Country'!D:D,"SWE"),0)</f>
        <v>0</v>
      </c>
      <c r="N17" s="4" t="n">
        <f aca="false">IFERROR(COUNTIFS('2. Raw Votes by Country'!B:B,$A17,'2. Raw Votes by Country'!D:D,"ITA"),0)</f>
        <v>0</v>
      </c>
      <c r="O17" s="4" t="n">
        <f aca="false">IFERROR(COUNTIFS('2. Raw Votes by Country'!B:B,$A17,'2. Raw Votes by Country'!D:D,"ESP"),0)</f>
        <v>0</v>
      </c>
      <c r="P17" s="4" t="n">
        <f aca="false">IFERROR(COUNTIFS('2. Raw Votes by Country'!B:B,$A17,'2. Raw Votes by Country'!D:D,"IND"),0)</f>
        <v>0</v>
      </c>
      <c r="Q17" s="4" t="n">
        <f aca="false">IFERROR(COUNTIFS('2. Raw Votes by Country'!B:B,$A17,'2. Raw Votes by Country'!D:D,"BRA"),0)</f>
        <v>0</v>
      </c>
      <c r="R17" s="4" t="n">
        <f aca="false">IFERROR(COUNTIFS('2. Raw Votes by Country'!B:B,$A17,'2. Raw Votes by Country'!D:D,"SGP"),0)</f>
        <v>0</v>
      </c>
      <c r="S17" s="4" t="n">
        <f aca="false">IFERROR(COUNTIFS('2. Raw Votes by Country'!B:B,$A17,'2. Raw Votes by Country'!D:D,"HKG"),0)</f>
        <v>0</v>
      </c>
      <c r="T17" s="4" t="n">
        <f aca="false">IFERROR(COUNTIFS('2. Raw Votes by Country'!B:B,$A17,'2. Raw Votes by Country'!D:D,"ZAF"),0)</f>
        <v>0</v>
      </c>
      <c r="U17" s="4" t="n">
        <f aca="false">IFERROR(COUNTIFS('2. Raw Votes by Country'!B:B,$A17,'2. Raw Votes by Country'!D:D,"RUS"),0)</f>
        <v>0</v>
      </c>
      <c r="V17" s="28" t="n">
        <f aca="false">SUM(B17:U17)</f>
        <v>0</v>
      </c>
      <c r="W17" s="28" t="n">
        <f aca="false">COUNTIF(B17:U17,"&gt;0")</f>
        <v>0</v>
      </c>
      <c r="X17" s="29" t="n">
        <f aca="false">IFERROR(MAX(B17:U17)/V17*100,0)</f>
        <v>0</v>
      </c>
    </row>
    <row r="18" customFormat="false" ht="15" hidden="false" customHeight="false" outlineLevel="0" collapsed="false">
      <c r="A18" s="24"/>
      <c r="B18" s="7" t="n">
        <f aca="false">IFERROR(COUNTIFS('2. Raw Votes by Country'!B:B,$A18,'2. Raw Votes by Country'!D:D,"USA"),0)</f>
        <v>0</v>
      </c>
      <c r="C18" s="7" t="n">
        <f aca="false">IFERROR(COUNTIFS('2. Raw Votes by Country'!B:B,$A18,'2. Raw Votes by Country'!D:D,"GBR"),0)</f>
        <v>0</v>
      </c>
      <c r="D18" s="7" t="n">
        <f aca="false">IFERROR(COUNTIFS('2. Raw Votes by Country'!B:B,$A18,'2. Raw Votes by Country'!D:D,"CHN"),0)</f>
        <v>0</v>
      </c>
      <c r="E18" s="7" t="n">
        <f aca="false">IFERROR(COUNTIFS('2. Raw Votes by Country'!B:B,$A18,'2. Raw Votes by Country'!D:D,"DEU"),0)</f>
        <v>0</v>
      </c>
      <c r="F18" s="7" t="n">
        <f aca="false">IFERROR(COUNTIFS('2. Raw Votes by Country'!B:B,$A18,'2. Raw Votes by Country'!D:D,"JPN"),0)</f>
        <v>0</v>
      </c>
      <c r="G18" s="7" t="n">
        <f aca="false">IFERROR(COUNTIFS('2. Raw Votes by Country'!B:B,$A18,'2. Raw Votes by Country'!D:D,"AUS"),0)</f>
        <v>0</v>
      </c>
      <c r="H18" s="7" t="n">
        <f aca="false">IFERROR(COUNTIFS('2. Raw Votes by Country'!B:B,$A18,'2. Raw Votes by Country'!D:D,"FRA"),0)</f>
        <v>0</v>
      </c>
      <c r="I18" s="7" t="n">
        <f aca="false">IFERROR(COUNTIFS('2. Raw Votes by Country'!B:B,$A18,'2. Raw Votes by Country'!D:D,"NLD"),0)</f>
        <v>0</v>
      </c>
      <c r="J18" s="7" t="n">
        <f aca="false">IFERROR(COUNTIFS('2. Raw Votes by Country'!B:B,$A18,'2. Raw Votes by Country'!D:D,"CAN"),0)</f>
        <v>0</v>
      </c>
      <c r="K18" s="7" t="n">
        <f aca="false">IFERROR(COUNTIFS('2. Raw Votes by Country'!B:B,$A18,'2. Raw Votes by Country'!D:D,"KOR"),0)</f>
        <v>0</v>
      </c>
      <c r="L18" s="7" t="n">
        <f aca="false">IFERROR(COUNTIFS('2. Raw Votes by Country'!B:B,$A18,'2. Raw Votes by Country'!D:D,"CHE"),0)</f>
        <v>0</v>
      </c>
      <c r="M18" s="7" t="n">
        <f aca="false">IFERROR(COUNTIFS('2. Raw Votes by Country'!B:B,$A18,'2. Raw Votes by Country'!D:D,"SWE"),0)</f>
        <v>0</v>
      </c>
      <c r="N18" s="7" t="n">
        <f aca="false">IFERROR(COUNTIFS('2. Raw Votes by Country'!B:B,$A18,'2. Raw Votes by Country'!D:D,"ITA"),0)</f>
        <v>0</v>
      </c>
      <c r="O18" s="7" t="n">
        <f aca="false">IFERROR(COUNTIFS('2. Raw Votes by Country'!B:B,$A18,'2. Raw Votes by Country'!D:D,"ESP"),0)</f>
        <v>0</v>
      </c>
      <c r="P18" s="7" t="n">
        <f aca="false">IFERROR(COUNTIFS('2. Raw Votes by Country'!B:B,$A18,'2. Raw Votes by Country'!D:D,"IND"),0)</f>
        <v>0</v>
      </c>
      <c r="Q18" s="7" t="n">
        <f aca="false">IFERROR(COUNTIFS('2. Raw Votes by Country'!B:B,$A18,'2. Raw Votes by Country'!D:D,"BRA"),0)</f>
        <v>0</v>
      </c>
      <c r="R18" s="7" t="n">
        <f aca="false">IFERROR(COUNTIFS('2. Raw Votes by Country'!B:B,$A18,'2. Raw Votes by Country'!D:D,"SGP"),0)</f>
        <v>0</v>
      </c>
      <c r="S18" s="7" t="n">
        <f aca="false">IFERROR(COUNTIFS('2. Raw Votes by Country'!B:B,$A18,'2. Raw Votes by Country'!D:D,"HKG"),0)</f>
        <v>0</v>
      </c>
      <c r="T18" s="7" t="n">
        <f aca="false">IFERROR(COUNTIFS('2. Raw Votes by Country'!B:B,$A18,'2. Raw Votes by Country'!D:D,"ZAF"),0)</f>
        <v>0</v>
      </c>
      <c r="U18" s="7" t="n">
        <f aca="false">IFERROR(COUNTIFS('2. Raw Votes by Country'!B:B,$A18,'2. Raw Votes by Country'!D:D,"RUS"),0)</f>
        <v>0</v>
      </c>
      <c r="V18" s="30" t="n">
        <f aca="false">SUM(B18:U18)</f>
        <v>0</v>
      </c>
      <c r="W18" s="30" t="n">
        <f aca="false">COUNTIF(B18:U18,"&gt;0")</f>
        <v>0</v>
      </c>
      <c r="X18" s="31" t="n">
        <f aca="false">IFERROR(MAX(B18:U18)/V18*100,0)</f>
        <v>0</v>
      </c>
    </row>
    <row r="19" customFormat="false" ht="15" hidden="false" customHeight="false" outlineLevel="0" collapsed="false">
      <c r="A19" s="17"/>
      <c r="B19" s="4" t="n">
        <f aca="false">IFERROR(COUNTIFS('2. Raw Votes by Country'!B:B,$A19,'2. Raw Votes by Country'!D:D,"USA"),0)</f>
        <v>0</v>
      </c>
      <c r="C19" s="4" t="n">
        <f aca="false">IFERROR(COUNTIFS('2. Raw Votes by Country'!B:B,$A19,'2. Raw Votes by Country'!D:D,"GBR"),0)</f>
        <v>0</v>
      </c>
      <c r="D19" s="4" t="n">
        <f aca="false">IFERROR(COUNTIFS('2. Raw Votes by Country'!B:B,$A19,'2. Raw Votes by Country'!D:D,"CHN"),0)</f>
        <v>0</v>
      </c>
      <c r="E19" s="4" t="n">
        <f aca="false">IFERROR(COUNTIFS('2. Raw Votes by Country'!B:B,$A19,'2. Raw Votes by Country'!D:D,"DEU"),0)</f>
        <v>0</v>
      </c>
      <c r="F19" s="4" t="n">
        <f aca="false">IFERROR(COUNTIFS('2. Raw Votes by Country'!B:B,$A19,'2. Raw Votes by Country'!D:D,"JPN"),0)</f>
        <v>0</v>
      </c>
      <c r="G19" s="4" t="n">
        <f aca="false">IFERROR(COUNTIFS('2. Raw Votes by Country'!B:B,$A19,'2. Raw Votes by Country'!D:D,"AUS"),0)</f>
        <v>0</v>
      </c>
      <c r="H19" s="4" t="n">
        <f aca="false">IFERROR(COUNTIFS('2. Raw Votes by Country'!B:B,$A19,'2. Raw Votes by Country'!D:D,"FRA"),0)</f>
        <v>0</v>
      </c>
      <c r="I19" s="4" t="n">
        <f aca="false">IFERROR(COUNTIFS('2. Raw Votes by Country'!B:B,$A19,'2. Raw Votes by Country'!D:D,"NLD"),0)</f>
        <v>0</v>
      </c>
      <c r="J19" s="4" t="n">
        <f aca="false">IFERROR(COUNTIFS('2. Raw Votes by Country'!B:B,$A19,'2. Raw Votes by Country'!D:D,"CAN"),0)</f>
        <v>0</v>
      </c>
      <c r="K19" s="4" t="n">
        <f aca="false">IFERROR(COUNTIFS('2. Raw Votes by Country'!B:B,$A19,'2. Raw Votes by Country'!D:D,"KOR"),0)</f>
        <v>0</v>
      </c>
      <c r="L19" s="4" t="n">
        <f aca="false">IFERROR(COUNTIFS('2. Raw Votes by Country'!B:B,$A19,'2. Raw Votes by Country'!D:D,"CHE"),0)</f>
        <v>0</v>
      </c>
      <c r="M19" s="4" t="n">
        <f aca="false">IFERROR(COUNTIFS('2. Raw Votes by Country'!B:B,$A19,'2. Raw Votes by Country'!D:D,"SWE"),0)</f>
        <v>0</v>
      </c>
      <c r="N19" s="4" t="n">
        <f aca="false">IFERROR(COUNTIFS('2. Raw Votes by Country'!B:B,$A19,'2. Raw Votes by Country'!D:D,"ITA"),0)</f>
        <v>0</v>
      </c>
      <c r="O19" s="4" t="n">
        <f aca="false">IFERROR(COUNTIFS('2. Raw Votes by Country'!B:B,$A19,'2. Raw Votes by Country'!D:D,"ESP"),0)</f>
        <v>0</v>
      </c>
      <c r="P19" s="4" t="n">
        <f aca="false">IFERROR(COUNTIFS('2. Raw Votes by Country'!B:B,$A19,'2. Raw Votes by Country'!D:D,"IND"),0)</f>
        <v>0</v>
      </c>
      <c r="Q19" s="4" t="n">
        <f aca="false">IFERROR(COUNTIFS('2. Raw Votes by Country'!B:B,$A19,'2. Raw Votes by Country'!D:D,"BRA"),0)</f>
        <v>0</v>
      </c>
      <c r="R19" s="4" t="n">
        <f aca="false">IFERROR(COUNTIFS('2. Raw Votes by Country'!B:B,$A19,'2. Raw Votes by Country'!D:D,"SGP"),0)</f>
        <v>0</v>
      </c>
      <c r="S19" s="4" t="n">
        <f aca="false">IFERROR(COUNTIFS('2. Raw Votes by Country'!B:B,$A19,'2. Raw Votes by Country'!D:D,"HKG"),0)</f>
        <v>0</v>
      </c>
      <c r="T19" s="4" t="n">
        <f aca="false">IFERROR(COUNTIFS('2. Raw Votes by Country'!B:B,$A19,'2. Raw Votes by Country'!D:D,"ZAF"),0)</f>
        <v>0</v>
      </c>
      <c r="U19" s="4" t="n">
        <f aca="false">IFERROR(COUNTIFS('2. Raw Votes by Country'!B:B,$A19,'2. Raw Votes by Country'!D:D,"RUS"),0)</f>
        <v>0</v>
      </c>
      <c r="V19" s="28" t="n">
        <f aca="false">SUM(B19:U19)</f>
        <v>0</v>
      </c>
      <c r="W19" s="28" t="n">
        <f aca="false">COUNTIF(B19:U19,"&gt;0")</f>
        <v>0</v>
      </c>
      <c r="X19" s="29" t="n">
        <f aca="false">IFERROR(MAX(B19:U19)/V19*100,0)</f>
        <v>0</v>
      </c>
    </row>
    <row r="20" customFormat="false" ht="15" hidden="false" customHeight="false" outlineLevel="0" collapsed="false">
      <c r="A20" s="24"/>
      <c r="B20" s="7" t="n">
        <f aca="false">IFERROR(COUNTIFS('2. Raw Votes by Country'!B:B,$A20,'2. Raw Votes by Country'!D:D,"USA"),0)</f>
        <v>0</v>
      </c>
      <c r="C20" s="7" t="n">
        <f aca="false">IFERROR(COUNTIFS('2. Raw Votes by Country'!B:B,$A20,'2. Raw Votes by Country'!D:D,"GBR"),0)</f>
        <v>0</v>
      </c>
      <c r="D20" s="7" t="n">
        <f aca="false">IFERROR(COUNTIFS('2. Raw Votes by Country'!B:B,$A20,'2. Raw Votes by Country'!D:D,"CHN"),0)</f>
        <v>0</v>
      </c>
      <c r="E20" s="7" t="n">
        <f aca="false">IFERROR(COUNTIFS('2. Raw Votes by Country'!B:B,$A20,'2. Raw Votes by Country'!D:D,"DEU"),0)</f>
        <v>0</v>
      </c>
      <c r="F20" s="7" t="n">
        <f aca="false">IFERROR(COUNTIFS('2. Raw Votes by Country'!B:B,$A20,'2. Raw Votes by Country'!D:D,"JPN"),0)</f>
        <v>0</v>
      </c>
      <c r="G20" s="7" t="n">
        <f aca="false">IFERROR(COUNTIFS('2. Raw Votes by Country'!B:B,$A20,'2. Raw Votes by Country'!D:D,"AUS"),0)</f>
        <v>0</v>
      </c>
      <c r="H20" s="7" t="n">
        <f aca="false">IFERROR(COUNTIFS('2. Raw Votes by Country'!B:B,$A20,'2. Raw Votes by Country'!D:D,"FRA"),0)</f>
        <v>0</v>
      </c>
      <c r="I20" s="7" t="n">
        <f aca="false">IFERROR(COUNTIFS('2. Raw Votes by Country'!B:B,$A20,'2. Raw Votes by Country'!D:D,"NLD"),0)</f>
        <v>0</v>
      </c>
      <c r="J20" s="7" t="n">
        <f aca="false">IFERROR(COUNTIFS('2. Raw Votes by Country'!B:B,$A20,'2. Raw Votes by Country'!D:D,"CAN"),0)</f>
        <v>0</v>
      </c>
      <c r="K20" s="7" t="n">
        <f aca="false">IFERROR(COUNTIFS('2. Raw Votes by Country'!B:B,$A20,'2. Raw Votes by Country'!D:D,"KOR"),0)</f>
        <v>0</v>
      </c>
      <c r="L20" s="7" t="n">
        <f aca="false">IFERROR(COUNTIFS('2. Raw Votes by Country'!B:B,$A20,'2. Raw Votes by Country'!D:D,"CHE"),0)</f>
        <v>0</v>
      </c>
      <c r="M20" s="7" t="n">
        <f aca="false">IFERROR(COUNTIFS('2. Raw Votes by Country'!B:B,$A20,'2. Raw Votes by Country'!D:D,"SWE"),0)</f>
        <v>0</v>
      </c>
      <c r="N20" s="7" t="n">
        <f aca="false">IFERROR(COUNTIFS('2. Raw Votes by Country'!B:B,$A20,'2. Raw Votes by Country'!D:D,"ITA"),0)</f>
        <v>0</v>
      </c>
      <c r="O20" s="7" t="n">
        <f aca="false">IFERROR(COUNTIFS('2. Raw Votes by Country'!B:B,$A20,'2. Raw Votes by Country'!D:D,"ESP"),0)</f>
        <v>0</v>
      </c>
      <c r="P20" s="7" t="n">
        <f aca="false">IFERROR(COUNTIFS('2. Raw Votes by Country'!B:B,$A20,'2. Raw Votes by Country'!D:D,"IND"),0)</f>
        <v>0</v>
      </c>
      <c r="Q20" s="7" t="n">
        <f aca="false">IFERROR(COUNTIFS('2. Raw Votes by Country'!B:B,$A20,'2. Raw Votes by Country'!D:D,"BRA"),0)</f>
        <v>0</v>
      </c>
      <c r="R20" s="7" t="n">
        <f aca="false">IFERROR(COUNTIFS('2. Raw Votes by Country'!B:B,$A20,'2. Raw Votes by Country'!D:D,"SGP"),0)</f>
        <v>0</v>
      </c>
      <c r="S20" s="7" t="n">
        <f aca="false">IFERROR(COUNTIFS('2. Raw Votes by Country'!B:B,$A20,'2. Raw Votes by Country'!D:D,"HKG"),0)</f>
        <v>0</v>
      </c>
      <c r="T20" s="7" t="n">
        <f aca="false">IFERROR(COUNTIFS('2. Raw Votes by Country'!B:B,$A20,'2. Raw Votes by Country'!D:D,"ZAF"),0)</f>
        <v>0</v>
      </c>
      <c r="U20" s="7" t="n">
        <f aca="false">IFERROR(COUNTIFS('2. Raw Votes by Country'!B:B,$A20,'2. Raw Votes by Country'!D:D,"RUS"),0)</f>
        <v>0</v>
      </c>
      <c r="V20" s="30" t="n">
        <f aca="false">SUM(B20:U20)</f>
        <v>0</v>
      </c>
      <c r="W20" s="30" t="n">
        <f aca="false">COUNTIF(B20:U20,"&gt;0")</f>
        <v>0</v>
      </c>
      <c r="X20" s="31" t="n">
        <f aca="false">IFERROR(MAX(B20:U20)/V20*100,0)</f>
        <v>0</v>
      </c>
    </row>
    <row r="21" customFormat="false" ht="15" hidden="false" customHeight="false" outlineLevel="0" collapsed="false">
      <c r="A21" s="17"/>
      <c r="B21" s="4" t="n">
        <f aca="false">IFERROR(COUNTIFS('2. Raw Votes by Country'!B:B,$A21,'2. Raw Votes by Country'!D:D,"USA"),0)</f>
        <v>0</v>
      </c>
      <c r="C21" s="4" t="n">
        <f aca="false">IFERROR(COUNTIFS('2. Raw Votes by Country'!B:B,$A21,'2. Raw Votes by Country'!D:D,"GBR"),0)</f>
        <v>0</v>
      </c>
      <c r="D21" s="4" t="n">
        <f aca="false">IFERROR(COUNTIFS('2. Raw Votes by Country'!B:B,$A21,'2. Raw Votes by Country'!D:D,"CHN"),0)</f>
        <v>0</v>
      </c>
      <c r="E21" s="4" t="n">
        <f aca="false">IFERROR(COUNTIFS('2. Raw Votes by Country'!B:B,$A21,'2. Raw Votes by Country'!D:D,"DEU"),0)</f>
        <v>0</v>
      </c>
      <c r="F21" s="4" t="n">
        <f aca="false">IFERROR(COUNTIFS('2. Raw Votes by Country'!B:B,$A21,'2. Raw Votes by Country'!D:D,"JPN"),0)</f>
        <v>0</v>
      </c>
      <c r="G21" s="4" t="n">
        <f aca="false">IFERROR(COUNTIFS('2. Raw Votes by Country'!B:B,$A21,'2. Raw Votes by Country'!D:D,"AUS"),0)</f>
        <v>0</v>
      </c>
      <c r="H21" s="4" t="n">
        <f aca="false">IFERROR(COUNTIFS('2. Raw Votes by Country'!B:B,$A21,'2. Raw Votes by Country'!D:D,"FRA"),0)</f>
        <v>0</v>
      </c>
      <c r="I21" s="4" t="n">
        <f aca="false">IFERROR(COUNTIFS('2. Raw Votes by Country'!B:B,$A21,'2. Raw Votes by Country'!D:D,"NLD"),0)</f>
        <v>0</v>
      </c>
      <c r="J21" s="4" t="n">
        <f aca="false">IFERROR(COUNTIFS('2. Raw Votes by Country'!B:B,$A21,'2. Raw Votes by Country'!D:D,"CAN"),0)</f>
        <v>0</v>
      </c>
      <c r="K21" s="4" t="n">
        <f aca="false">IFERROR(COUNTIFS('2. Raw Votes by Country'!B:B,$A21,'2. Raw Votes by Country'!D:D,"KOR"),0)</f>
        <v>0</v>
      </c>
      <c r="L21" s="4" t="n">
        <f aca="false">IFERROR(COUNTIFS('2. Raw Votes by Country'!B:B,$A21,'2. Raw Votes by Country'!D:D,"CHE"),0)</f>
        <v>0</v>
      </c>
      <c r="M21" s="4" t="n">
        <f aca="false">IFERROR(COUNTIFS('2. Raw Votes by Country'!B:B,$A21,'2. Raw Votes by Country'!D:D,"SWE"),0)</f>
        <v>0</v>
      </c>
      <c r="N21" s="4" t="n">
        <f aca="false">IFERROR(COUNTIFS('2. Raw Votes by Country'!B:B,$A21,'2. Raw Votes by Country'!D:D,"ITA"),0)</f>
        <v>0</v>
      </c>
      <c r="O21" s="4" t="n">
        <f aca="false">IFERROR(COUNTIFS('2. Raw Votes by Country'!B:B,$A21,'2. Raw Votes by Country'!D:D,"ESP"),0)</f>
        <v>0</v>
      </c>
      <c r="P21" s="4" t="n">
        <f aca="false">IFERROR(COUNTIFS('2. Raw Votes by Country'!B:B,$A21,'2. Raw Votes by Country'!D:D,"IND"),0)</f>
        <v>0</v>
      </c>
      <c r="Q21" s="4" t="n">
        <f aca="false">IFERROR(COUNTIFS('2. Raw Votes by Country'!B:B,$A21,'2. Raw Votes by Country'!D:D,"BRA"),0)</f>
        <v>0</v>
      </c>
      <c r="R21" s="4" t="n">
        <f aca="false">IFERROR(COUNTIFS('2. Raw Votes by Country'!B:B,$A21,'2. Raw Votes by Country'!D:D,"SGP"),0)</f>
        <v>0</v>
      </c>
      <c r="S21" s="4" t="n">
        <f aca="false">IFERROR(COUNTIFS('2. Raw Votes by Country'!B:B,$A21,'2. Raw Votes by Country'!D:D,"HKG"),0)</f>
        <v>0</v>
      </c>
      <c r="T21" s="4" t="n">
        <f aca="false">IFERROR(COUNTIFS('2. Raw Votes by Country'!B:B,$A21,'2. Raw Votes by Country'!D:D,"ZAF"),0)</f>
        <v>0</v>
      </c>
      <c r="U21" s="4" t="n">
        <f aca="false">IFERROR(COUNTIFS('2. Raw Votes by Country'!B:B,$A21,'2. Raw Votes by Country'!D:D,"RUS"),0)</f>
        <v>0</v>
      </c>
      <c r="V21" s="28" t="n">
        <f aca="false">SUM(B21:U21)</f>
        <v>0</v>
      </c>
      <c r="W21" s="28" t="n">
        <f aca="false">COUNTIF(B21:U21,"&gt;0")</f>
        <v>0</v>
      </c>
      <c r="X21" s="29" t="n">
        <f aca="false">IFERROR(MAX(B21:U21)/V21*100,0)</f>
        <v>0</v>
      </c>
    </row>
    <row r="22" customFormat="false" ht="15" hidden="false" customHeight="false" outlineLevel="0" collapsed="false">
      <c r="A22" s="24"/>
      <c r="B22" s="7" t="n">
        <f aca="false">IFERROR(COUNTIFS('2. Raw Votes by Country'!B:B,$A22,'2. Raw Votes by Country'!D:D,"USA"),0)</f>
        <v>0</v>
      </c>
      <c r="C22" s="7" t="n">
        <f aca="false">IFERROR(COUNTIFS('2. Raw Votes by Country'!B:B,$A22,'2. Raw Votes by Country'!D:D,"GBR"),0)</f>
        <v>0</v>
      </c>
      <c r="D22" s="7" t="n">
        <f aca="false">IFERROR(COUNTIFS('2. Raw Votes by Country'!B:B,$A22,'2. Raw Votes by Country'!D:D,"CHN"),0)</f>
        <v>0</v>
      </c>
      <c r="E22" s="7" t="n">
        <f aca="false">IFERROR(COUNTIFS('2. Raw Votes by Country'!B:B,$A22,'2. Raw Votes by Country'!D:D,"DEU"),0)</f>
        <v>0</v>
      </c>
      <c r="F22" s="7" t="n">
        <f aca="false">IFERROR(COUNTIFS('2. Raw Votes by Country'!B:B,$A22,'2. Raw Votes by Country'!D:D,"JPN"),0)</f>
        <v>0</v>
      </c>
      <c r="G22" s="7" t="n">
        <f aca="false">IFERROR(COUNTIFS('2. Raw Votes by Country'!B:B,$A22,'2. Raw Votes by Country'!D:D,"AUS"),0)</f>
        <v>0</v>
      </c>
      <c r="H22" s="7" t="n">
        <f aca="false">IFERROR(COUNTIFS('2. Raw Votes by Country'!B:B,$A22,'2. Raw Votes by Country'!D:D,"FRA"),0)</f>
        <v>0</v>
      </c>
      <c r="I22" s="7" t="n">
        <f aca="false">IFERROR(COUNTIFS('2. Raw Votes by Country'!B:B,$A22,'2. Raw Votes by Country'!D:D,"NLD"),0)</f>
        <v>0</v>
      </c>
      <c r="J22" s="7" t="n">
        <f aca="false">IFERROR(COUNTIFS('2. Raw Votes by Country'!B:B,$A22,'2. Raw Votes by Country'!D:D,"CAN"),0)</f>
        <v>0</v>
      </c>
      <c r="K22" s="7" t="n">
        <f aca="false">IFERROR(COUNTIFS('2. Raw Votes by Country'!B:B,$A22,'2. Raw Votes by Country'!D:D,"KOR"),0)</f>
        <v>0</v>
      </c>
      <c r="L22" s="7" t="n">
        <f aca="false">IFERROR(COUNTIFS('2. Raw Votes by Country'!B:B,$A22,'2. Raw Votes by Country'!D:D,"CHE"),0)</f>
        <v>0</v>
      </c>
      <c r="M22" s="7" t="n">
        <f aca="false">IFERROR(COUNTIFS('2. Raw Votes by Country'!B:B,$A22,'2. Raw Votes by Country'!D:D,"SWE"),0)</f>
        <v>0</v>
      </c>
      <c r="N22" s="7" t="n">
        <f aca="false">IFERROR(COUNTIFS('2. Raw Votes by Country'!B:B,$A22,'2. Raw Votes by Country'!D:D,"ITA"),0)</f>
        <v>0</v>
      </c>
      <c r="O22" s="7" t="n">
        <f aca="false">IFERROR(COUNTIFS('2. Raw Votes by Country'!B:B,$A22,'2. Raw Votes by Country'!D:D,"ESP"),0)</f>
        <v>0</v>
      </c>
      <c r="P22" s="7" t="n">
        <f aca="false">IFERROR(COUNTIFS('2. Raw Votes by Country'!B:B,$A22,'2. Raw Votes by Country'!D:D,"IND"),0)</f>
        <v>0</v>
      </c>
      <c r="Q22" s="7" t="n">
        <f aca="false">IFERROR(COUNTIFS('2. Raw Votes by Country'!B:B,$A22,'2. Raw Votes by Country'!D:D,"BRA"),0)</f>
        <v>0</v>
      </c>
      <c r="R22" s="7" t="n">
        <f aca="false">IFERROR(COUNTIFS('2. Raw Votes by Country'!B:B,$A22,'2. Raw Votes by Country'!D:D,"SGP"),0)</f>
        <v>0</v>
      </c>
      <c r="S22" s="7" t="n">
        <f aca="false">IFERROR(COUNTIFS('2. Raw Votes by Country'!B:B,$A22,'2. Raw Votes by Country'!D:D,"HKG"),0)</f>
        <v>0</v>
      </c>
      <c r="T22" s="7" t="n">
        <f aca="false">IFERROR(COUNTIFS('2. Raw Votes by Country'!B:B,$A22,'2. Raw Votes by Country'!D:D,"ZAF"),0)</f>
        <v>0</v>
      </c>
      <c r="U22" s="7" t="n">
        <f aca="false">IFERROR(COUNTIFS('2. Raw Votes by Country'!B:B,$A22,'2. Raw Votes by Country'!D:D,"RUS"),0)</f>
        <v>0</v>
      </c>
      <c r="V22" s="30" t="n">
        <f aca="false">SUM(B22:U22)</f>
        <v>0</v>
      </c>
      <c r="W22" s="30" t="n">
        <f aca="false">COUNTIF(B22:U22,"&gt;0")</f>
        <v>0</v>
      </c>
      <c r="X22" s="31" t="n">
        <f aca="false">IFERROR(MAX(B22:U22)/V22*100,0)</f>
        <v>0</v>
      </c>
    </row>
    <row r="23" customFormat="false" ht="15" hidden="false" customHeight="false" outlineLevel="0" collapsed="false">
      <c r="A23" s="17"/>
      <c r="B23" s="4" t="n">
        <f aca="false">IFERROR(COUNTIFS('2. Raw Votes by Country'!B:B,$A23,'2. Raw Votes by Country'!D:D,"USA"),0)</f>
        <v>0</v>
      </c>
      <c r="C23" s="4" t="n">
        <f aca="false">IFERROR(COUNTIFS('2. Raw Votes by Country'!B:B,$A23,'2. Raw Votes by Country'!D:D,"GBR"),0)</f>
        <v>0</v>
      </c>
      <c r="D23" s="4" t="n">
        <f aca="false">IFERROR(COUNTIFS('2. Raw Votes by Country'!B:B,$A23,'2. Raw Votes by Country'!D:D,"CHN"),0)</f>
        <v>0</v>
      </c>
      <c r="E23" s="4" t="n">
        <f aca="false">IFERROR(COUNTIFS('2. Raw Votes by Country'!B:B,$A23,'2. Raw Votes by Country'!D:D,"DEU"),0)</f>
        <v>0</v>
      </c>
      <c r="F23" s="4" t="n">
        <f aca="false">IFERROR(COUNTIFS('2. Raw Votes by Country'!B:B,$A23,'2. Raw Votes by Country'!D:D,"JPN"),0)</f>
        <v>0</v>
      </c>
      <c r="G23" s="4" t="n">
        <f aca="false">IFERROR(COUNTIFS('2. Raw Votes by Country'!B:B,$A23,'2. Raw Votes by Country'!D:D,"AUS"),0)</f>
        <v>0</v>
      </c>
      <c r="H23" s="4" t="n">
        <f aca="false">IFERROR(COUNTIFS('2. Raw Votes by Country'!B:B,$A23,'2. Raw Votes by Country'!D:D,"FRA"),0)</f>
        <v>0</v>
      </c>
      <c r="I23" s="4" t="n">
        <f aca="false">IFERROR(COUNTIFS('2. Raw Votes by Country'!B:B,$A23,'2. Raw Votes by Country'!D:D,"NLD"),0)</f>
        <v>0</v>
      </c>
      <c r="J23" s="4" t="n">
        <f aca="false">IFERROR(COUNTIFS('2. Raw Votes by Country'!B:B,$A23,'2. Raw Votes by Country'!D:D,"CAN"),0)</f>
        <v>0</v>
      </c>
      <c r="K23" s="4" t="n">
        <f aca="false">IFERROR(COUNTIFS('2. Raw Votes by Country'!B:B,$A23,'2. Raw Votes by Country'!D:D,"KOR"),0)</f>
        <v>0</v>
      </c>
      <c r="L23" s="4" t="n">
        <f aca="false">IFERROR(COUNTIFS('2. Raw Votes by Country'!B:B,$A23,'2. Raw Votes by Country'!D:D,"CHE"),0)</f>
        <v>0</v>
      </c>
      <c r="M23" s="4" t="n">
        <f aca="false">IFERROR(COUNTIFS('2. Raw Votes by Country'!B:B,$A23,'2. Raw Votes by Country'!D:D,"SWE"),0)</f>
        <v>0</v>
      </c>
      <c r="N23" s="4" t="n">
        <f aca="false">IFERROR(COUNTIFS('2. Raw Votes by Country'!B:B,$A23,'2. Raw Votes by Country'!D:D,"ITA"),0)</f>
        <v>0</v>
      </c>
      <c r="O23" s="4" t="n">
        <f aca="false">IFERROR(COUNTIFS('2. Raw Votes by Country'!B:B,$A23,'2. Raw Votes by Country'!D:D,"ESP"),0)</f>
        <v>0</v>
      </c>
      <c r="P23" s="4" t="n">
        <f aca="false">IFERROR(COUNTIFS('2. Raw Votes by Country'!B:B,$A23,'2. Raw Votes by Country'!D:D,"IND"),0)</f>
        <v>0</v>
      </c>
      <c r="Q23" s="4" t="n">
        <f aca="false">IFERROR(COUNTIFS('2. Raw Votes by Country'!B:B,$A23,'2. Raw Votes by Country'!D:D,"BRA"),0)</f>
        <v>0</v>
      </c>
      <c r="R23" s="4" t="n">
        <f aca="false">IFERROR(COUNTIFS('2. Raw Votes by Country'!B:B,$A23,'2. Raw Votes by Country'!D:D,"SGP"),0)</f>
        <v>0</v>
      </c>
      <c r="S23" s="4" t="n">
        <f aca="false">IFERROR(COUNTIFS('2. Raw Votes by Country'!B:B,$A23,'2. Raw Votes by Country'!D:D,"HKG"),0)</f>
        <v>0</v>
      </c>
      <c r="T23" s="4" t="n">
        <f aca="false">IFERROR(COUNTIFS('2. Raw Votes by Country'!B:B,$A23,'2. Raw Votes by Country'!D:D,"ZAF"),0)</f>
        <v>0</v>
      </c>
      <c r="U23" s="4" t="n">
        <f aca="false">IFERROR(COUNTIFS('2. Raw Votes by Country'!B:B,$A23,'2. Raw Votes by Country'!D:D,"RUS"),0)</f>
        <v>0</v>
      </c>
      <c r="V23" s="28" t="n">
        <f aca="false">SUM(B23:U23)</f>
        <v>0</v>
      </c>
      <c r="W23" s="28" t="n">
        <f aca="false">COUNTIF(B23:U23,"&gt;0")</f>
        <v>0</v>
      </c>
      <c r="X23" s="29" t="n">
        <f aca="false">IFERROR(MAX(B23:U23)/V23*100,0)</f>
        <v>0</v>
      </c>
    </row>
    <row r="24" customFormat="false" ht="15" hidden="false" customHeight="false" outlineLevel="0" collapsed="false">
      <c r="A24" s="24"/>
      <c r="B24" s="7" t="n">
        <f aca="false">IFERROR(COUNTIFS('2. Raw Votes by Country'!B:B,$A24,'2. Raw Votes by Country'!D:D,"USA"),0)</f>
        <v>0</v>
      </c>
      <c r="C24" s="7" t="n">
        <f aca="false">IFERROR(COUNTIFS('2. Raw Votes by Country'!B:B,$A24,'2. Raw Votes by Country'!D:D,"GBR"),0)</f>
        <v>0</v>
      </c>
      <c r="D24" s="7" t="n">
        <f aca="false">IFERROR(COUNTIFS('2. Raw Votes by Country'!B:B,$A24,'2. Raw Votes by Country'!D:D,"CHN"),0)</f>
        <v>0</v>
      </c>
      <c r="E24" s="7" t="n">
        <f aca="false">IFERROR(COUNTIFS('2. Raw Votes by Country'!B:B,$A24,'2. Raw Votes by Country'!D:D,"DEU"),0)</f>
        <v>0</v>
      </c>
      <c r="F24" s="7" t="n">
        <f aca="false">IFERROR(COUNTIFS('2. Raw Votes by Country'!B:B,$A24,'2. Raw Votes by Country'!D:D,"JPN"),0)</f>
        <v>0</v>
      </c>
      <c r="G24" s="7" t="n">
        <f aca="false">IFERROR(COUNTIFS('2. Raw Votes by Country'!B:B,$A24,'2. Raw Votes by Country'!D:D,"AUS"),0)</f>
        <v>0</v>
      </c>
      <c r="H24" s="7" t="n">
        <f aca="false">IFERROR(COUNTIFS('2. Raw Votes by Country'!B:B,$A24,'2. Raw Votes by Country'!D:D,"FRA"),0)</f>
        <v>0</v>
      </c>
      <c r="I24" s="7" t="n">
        <f aca="false">IFERROR(COUNTIFS('2. Raw Votes by Country'!B:B,$A24,'2. Raw Votes by Country'!D:D,"NLD"),0)</f>
        <v>0</v>
      </c>
      <c r="J24" s="7" t="n">
        <f aca="false">IFERROR(COUNTIFS('2. Raw Votes by Country'!B:B,$A24,'2. Raw Votes by Country'!D:D,"CAN"),0)</f>
        <v>0</v>
      </c>
      <c r="K24" s="7" t="n">
        <f aca="false">IFERROR(COUNTIFS('2. Raw Votes by Country'!B:B,$A24,'2. Raw Votes by Country'!D:D,"KOR"),0)</f>
        <v>0</v>
      </c>
      <c r="L24" s="7" t="n">
        <f aca="false">IFERROR(COUNTIFS('2. Raw Votes by Country'!B:B,$A24,'2. Raw Votes by Country'!D:D,"CHE"),0)</f>
        <v>0</v>
      </c>
      <c r="M24" s="7" t="n">
        <f aca="false">IFERROR(COUNTIFS('2. Raw Votes by Country'!B:B,$A24,'2. Raw Votes by Country'!D:D,"SWE"),0)</f>
        <v>0</v>
      </c>
      <c r="N24" s="7" t="n">
        <f aca="false">IFERROR(COUNTIFS('2. Raw Votes by Country'!B:B,$A24,'2. Raw Votes by Country'!D:D,"ITA"),0)</f>
        <v>0</v>
      </c>
      <c r="O24" s="7" t="n">
        <f aca="false">IFERROR(COUNTIFS('2. Raw Votes by Country'!B:B,$A24,'2. Raw Votes by Country'!D:D,"ESP"),0)</f>
        <v>0</v>
      </c>
      <c r="P24" s="7" t="n">
        <f aca="false">IFERROR(COUNTIFS('2. Raw Votes by Country'!B:B,$A24,'2. Raw Votes by Country'!D:D,"IND"),0)</f>
        <v>0</v>
      </c>
      <c r="Q24" s="7" t="n">
        <f aca="false">IFERROR(COUNTIFS('2. Raw Votes by Country'!B:B,$A24,'2. Raw Votes by Country'!D:D,"BRA"),0)</f>
        <v>0</v>
      </c>
      <c r="R24" s="7" t="n">
        <f aca="false">IFERROR(COUNTIFS('2. Raw Votes by Country'!B:B,$A24,'2. Raw Votes by Country'!D:D,"SGP"),0)</f>
        <v>0</v>
      </c>
      <c r="S24" s="7" t="n">
        <f aca="false">IFERROR(COUNTIFS('2. Raw Votes by Country'!B:B,$A24,'2. Raw Votes by Country'!D:D,"HKG"),0)</f>
        <v>0</v>
      </c>
      <c r="T24" s="7" t="n">
        <f aca="false">IFERROR(COUNTIFS('2. Raw Votes by Country'!B:B,$A24,'2. Raw Votes by Country'!D:D,"ZAF"),0)</f>
        <v>0</v>
      </c>
      <c r="U24" s="7" t="n">
        <f aca="false">IFERROR(COUNTIFS('2. Raw Votes by Country'!B:B,$A24,'2. Raw Votes by Country'!D:D,"RUS"),0)</f>
        <v>0</v>
      </c>
      <c r="V24" s="30" t="n">
        <f aca="false">SUM(B24:U24)</f>
        <v>0</v>
      </c>
      <c r="W24" s="30" t="n">
        <f aca="false">COUNTIF(B24:U24,"&gt;0")</f>
        <v>0</v>
      </c>
      <c r="X24" s="31" t="n">
        <f aca="false">IFERROR(MAX(B24:U24)/V24*100,0)</f>
        <v>0</v>
      </c>
    </row>
    <row r="25" customFormat="false" ht="15" hidden="false" customHeight="false" outlineLevel="0" collapsed="false">
      <c r="A25" s="17"/>
      <c r="B25" s="4" t="n">
        <f aca="false">IFERROR(COUNTIFS('2. Raw Votes by Country'!B:B,$A25,'2. Raw Votes by Country'!D:D,"USA"),0)</f>
        <v>0</v>
      </c>
      <c r="C25" s="4" t="n">
        <f aca="false">IFERROR(COUNTIFS('2. Raw Votes by Country'!B:B,$A25,'2. Raw Votes by Country'!D:D,"GBR"),0)</f>
        <v>0</v>
      </c>
      <c r="D25" s="4" t="n">
        <f aca="false">IFERROR(COUNTIFS('2. Raw Votes by Country'!B:B,$A25,'2. Raw Votes by Country'!D:D,"CHN"),0)</f>
        <v>0</v>
      </c>
      <c r="E25" s="4" t="n">
        <f aca="false">IFERROR(COUNTIFS('2. Raw Votes by Country'!B:B,$A25,'2. Raw Votes by Country'!D:D,"DEU"),0)</f>
        <v>0</v>
      </c>
      <c r="F25" s="4" t="n">
        <f aca="false">IFERROR(COUNTIFS('2. Raw Votes by Country'!B:B,$A25,'2. Raw Votes by Country'!D:D,"JPN"),0)</f>
        <v>0</v>
      </c>
      <c r="G25" s="4" t="n">
        <f aca="false">IFERROR(COUNTIFS('2. Raw Votes by Country'!B:B,$A25,'2. Raw Votes by Country'!D:D,"AUS"),0)</f>
        <v>0</v>
      </c>
      <c r="H25" s="4" t="n">
        <f aca="false">IFERROR(COUNTIFS('2. Raw Votes by Country'!B:B,$A25,'2. Raw Votes by Country'!D:D,"FRA"),0)</f>
        <v>0</v>
      </c>
      <c r="I25" s="4" t="n">
        <f aca="false">IFERROR(COUNTIFS('2. Raw Votes by Country'!B:B,$A25,'2. Raw Votes by Country'!D:D,"NLD"),0)</f>
        <v>0</v>
      </c>
      <c r="J25" s="4" t="n">
        <f aca="false">IFERROR(COUNTIFS('2. Raw Votes by Country'!B:B,$A25,'2. Raw Votes by Country'!D:D,"CAN"),0)</f>
        <v>0</v>
      </c>
      <c r="K25" s="4" t="n">
        <f aca="false">IFERROR(COUNTIFS('2. Raw Votes by Country'!B:B,$A25,'2. Raw Votes by Country'!D:D,"KOR"),0)</f>
        <v>0</v>
      </c>
      <c r="L25" s="4" t="n">
        <f aca="false">IFERROR(COUNTIFS('2. Raw Votes by Country'!B:B,$A25,'2. Raw Votes by Country'!D:D,"CHE"),0)</f>
        <v>0</v>
      </c>
      <c r="M25" s="4" t="n">
        <f aca="false">IFERROR(COUNTIFS('2. Raw Votes by Country'!B:B,$A25,'2. Raw Votes by Country'!D:D,"SWE"),0)</f>
        <v>0</v>
      </c>
      <c r="N25" s="4" t="n">
        <f aca="false">IFERROR(COUNTIFS('2. Raw Votes by Country'!B:B,$A25,'2. Raw Votes by Country'!D:D,"ITA"),0)</f>
        <v>0</v>
      </c>
      <c r="O25" s="4" t="n">
        <f aca="false">IFERROR(COUNTIFS('2. Raw Votes by Country'!B:B,$A25,'2. Raw Votes by Country'!D:D,"ESP"),0)</f>
        <v>0</v>
      </c>
      <c r="P25" s="4" t="n">
        <f aca="false">IFERROR(COUNTIFS('2. Raw Votes by Country'!B:B,$A25,'2. Raw Votes by Country'!D:D,"IND"),0)</f>
        <v>0</v>
      </c>
      <c r="Q25" s="4" t="n">
        <f aca="false">IFERROR(COUNTIFS('2. Raw Votes by Country'!B:B,$A25,'2. Raw Votes by Country'!D:D,"BRA"),0)</f>
        <v>0</v>
      </c>
      <c r="R25" s="4" t="n">
        <f aca="false">IFERROR(COUNTIFS('2. Raw Votes by Country'!B:B,$A25,'2. Raw Votes by Country'!D:D,"SGP"),0)</f>
        <v>0</v>
      </c>
      <c r="S25" s="4" t="n">
        <f aca="false">IFERROR(COUNTIFS('2. Raw Votes by Country'!B:B,$A25,'2. Raw Votes by Country'!D:D,"HKG"),0)</f>
        <v>0</v>
      </c>
      <c r="T25" s="4" t="n">
        <f aca="false">IFERROR(COUNTIFS('2. Raw Votes by Country'!B:B,$A25,'2. Raw Votes by Country'!D:D,"ZAF"),0)</f>
        <v>0</v>
      </c>
      <c r="U25" s="4" t="n">
        <f aca="false">IFERROR(COUNTIFS('2. Raw Votes by Country'!B:B,$A25,'2. Raw Votes by Country'!D:D,"RUS"),0)</f>
        <v>0</v>
      </c>
      <c r="V25" s="28" t="n">
        <f aca="false">SUM(B25:U25)</f>
        <v>0</v>
      </c>
      <c r="W25" s="28" t="n">
        <f aca="false">COUNTIF(B25:U25,"&gt;0")</f>
        <v>0</v>
      </c>
      <c r="X25" s="29" t="n">
        <f aca="false">IFERROR(MAX(B25:U25)/V25*100,0)</f>
        <v>0</v>
      </c>
    </row>
    <row r="26" customFormat="false" ht="15" hidden="false" customHeight="false" outlineLevel="0" collapsed="false">
      <c r="A26" s="24"/>
      <c r="B26" s="7" t="n">
        <f aca="false">IFERROR(COUNTIFS('2. Raw Votes by Country'!B:B,$A26,'2. Raw Votes by Country'!D:D,"USA"),0)</f>
        <v>0</v>
      </c>
      <c r="C26" s="7" t="n">
        <f aca="false">IFERROR(COUNTIFS('2. Raw Votes by Country'!B:B,$A26,'2. Raw Votes by Country'!D:D,"GBR"),0)</f>
        <v>0</v>
      </c>
      <c r="D26" s="7" t="n">
        <f aca="false">IFERROR(COUNTIFS('2. Raw Votes by Country'!B:B,$A26,'2. Raw Votes by Country'!D:D,"CHN"),0)</f>
        <v>0</v>
      </c>
      <c r="E26" s="7" t="n">
        <f aca="false">IFERROR(COUNTIFS('2. Raw Votes by Country'!B:B,$A26,'2. Raw Votes by Country'!D:D,"DEU"),0)</f>
        <v>0</v>
      </c>
      <c r="F26" s="7" t="n">
        <f aca="false">IFERROR(COUNTIFS('2. Raw Votes by Country'!B:B,$A26,'2. Raw Votes by Country'!D:D,"JPN"),0)</f>
        <v>0</v>
      </c>
      <c r="G26" s="7" t="n">
        <f aca="false">IFERROR(COUNTIFS('2. Raw Votes by Country'!B:B,$A26,'2. Raw Votes by Country'!D:D,"AUS"),0)</f>
        <v>0</v>
      </c>
      <c r="H26" s="7" t="n">
        <f aca="false">IFERROR(COUNTIFS('2. Raw Votes by Country'!B:B,$A26,'2. Raw Votes by Country'!D:D,"FRA"),0)</f>
        <v>0</v>
      </c>
      <c r="I26" s="7" t="n">
        <f aca="false">IFERROR(COUNTIFS('2. Raw Votes by Country'!B:B,$A26,'2. Raw Votes by Country'!D:D,"NLD"),0)</f>
        <v>0</v>
      </c>
      <c r="J26" s="7" t="n">
        <f aca="false">IFERROR(COUNTIFS('2. Raw Votes by Country'!B:B,$A26,'2. Raw Votes by Country'!D:D,"CAN"),0)</f>
        <v>0</v>
      </c>
      <c r="K26" s="7" t="n">
        <f aca="false">IFERROR(COUNTIFS('2. Raw Votes by Country'!B:B,$A26,'2. Raw Votes by Country'!D:D,"KOR"),0)</f>
        <v>0</v>
      </c>
      <c r="L26" s="7" t="n">
        <f aca="false">IFERROR(COUNTIFS('2. Raw Votes by Country'!B:B,$A26,'2. Raw Votes by Country'!D:D,"CHE"),0)</f>
        <v>0</v>
      </c>
      <c r="M26" s="7" t="n">
        <f aca="false">IFERROR(COUNTIFS('2. Raw Votes by Country'!B:B,$A26,'2. Raw Votes by Country'!D:D,"SWE"),0)</f>
        <v>0</v>
      </c>
      <c r="N26" s="7" t="n">
        <f aca="false">IFERROR(COUNTIFS('2. Raw Votes by Country'!B:B,$A26,'2. Raw Votes by Country'!D:D,"ITA"),0)</f>
        <v>0</v>
      </c>
      <c r="O26" s="7" t="n">
        <f aca="false">IFERROR(COUNTIFS('2. Raw Votes by Country'!B:B,$A26,'2. Raw Votes by Country'!D:D,"ESP"),0)</f>
        <v>0</v>
      </c>
      <c r="P26" s="7" t="n">
        <f aca="false">IFERROR(COUNTIFS('2. Raw Votes by Country'!B:B,$A26,'2. Raw Votes by Country'!D:D,"IND"),0)</f>
        <v>0</v>
      </c>
      <c r="Q26" s="7" t="n">
        <f aca="false">IFERROR(COUNTIFS('2. Raw Votes by Country'!B:B,$A26,'2. Raw Votes by Country'!D:D,"BRA"),0)</f>
        <v>0</v>
      </c>
      <c r="R26" s="7" t="n">
        <f aca="false">IFERROR(COUNTIFS('2. Raw Votes by Country'!B:B,$A26,'2. Raw Votes by Country'!D:D,"SGP"),0)</f>
        <v>0</v>
      </c>
      <c r="S26" s="7" t="n">
        <f aca="false">IFERROR(COUNTIFS('2. Raw Votes by Country'!B:B,$A26,'2. Raw Votes by Country'!D:D,"HKG"),0)</f>
        <v>0</v>
      </c>
      <c r="T26" s="7" t="n">
        <f aca="false">IFERROR(COUNTIFS('2. Raw Votes by Country'!B:B,$A26,'2. Raw Votes by Country'!D:D,"ZAF"),0)</f>
        <v>0</v>
      </c>
      <c r="U26" s="7" t="n">
        <f aca="false">IFERROR(COUNTIFS('2. Raw Votes by Country'!B:B,$A26,'2. Raw Votes by Country'!D:D,"RUS"),0)</f>
        <v>0</v>
      </c>
      <c r="V26" s="30" t="n">
        <f aca="false">SUM(B26:U26)</f>
        <v>0</v>
      </c>
      <c r="W26" s="30" t="n">
        <f aca="false">COUNTIF(B26:U26,"&gt;0")</f>
        <v>0</v>
      </c>
      <c r="X26" s="31" t="n">
        <f aca="false">IFERROR(MAX(B26:U26)/V26*100,0)</f>
        <v>0</v>
      </c>
    </row>
    <row r="27" customFormat="false" ht="15" hidden="false" customHeight="false" outlineLevel="0" collapsed="false">
      <c r="A27" s="17"/>
      <c r="B27" s="4" t="n">
        <f aca="false">IFERROR(COUNTIFS('2. Raw Votes by Country'!B:B,$A27,'2. Raw Votes by Country'!D:D,"USA"),0)</f>
        <v>0</v>
      </c>
      <c r="C27" s="4" t="n">
        <f aca="false">IFERROR(COUNTIFS('2. Raw Votes by Country'!B:B,$A27,'2. Raw Votes by Country'!D:D,"GBR"),0)</f>
        <v>0</v>
      </c>
      <c r="D27" s="4" t="n">
        <f aca="false">IFERROR(COUNTIFS('2. Raw Votes by Country'!B:B,$A27,'2. Raw Votes by Country'!D:D,"CHN"),0)</f>
        <v>0</v>
      </c>
      <c r="E27" s="4" t="n">
        <f aca="false">IFERROR(COUNTIFS('2. Raw Votes by Country'!B:B,$A27,'2. Raw Votes by Country'!D:D,"DEU"),0)</f>
        <v>0</v>
      </c>
      <c r="F27" s="4" t="n">
        <f aca="false">IFERROR(COUNTIFS('2. Raw Votes by Country'!B:B,$A27,'2. Raw Votes by Country'!D:D,"JPN"),0)</f>
        <v>0</v>
      </c>
      <c r="G27" s="4" t="n">
        <f aca="false">IFERROR(COUNTIFS('2. Raw Votes by Country'!B:B,$A27,'2. Raw Votes by Country'!D:D,"AUS"),0)</f>
        <v>0</v>
      </c>
      <c r="H27" s="4" t="n">
        <f aca="false">IFERROR(COUNTIFS('2. Raw Votes by Country'!B:B,$A27,'2. Raw Votes by Country'!D:D,"FRA"),0)</f>
        <v>0</v>
      </c>
      <c r="I27" s="4" t="n">
        <f aca="false">IFERROR(COUNTIFS('2. Raw Votes by Country'!B:B,$A27,'2. Raw Votes by Country'!D:D,"NLD"),0)</f>
        <v>0</v>
      </c>
      <c r="J27" s="4" t="n">
        <f aca="false">IFERROR(COUNTIFS('2. Raw Votes by Country'!B:B,$A27,'2. Raw Votes by Country'!D:D,"CAN"),0)</f>
        <v>0</v>
      </c>
      <c r="K27" s="4" t="n">
        <f aca="false">IFERROR(COUNTIFS('2. Raw Votes by Country'!B:B,$A27,'2. Raw Votes by Country'!D:D,"KOR"),0)</f>
        <v>0</v>
      </c>
      <c r="L27" s="4" t="n">
        <f aca="false">IFERROR(COUNTIFS('2. Raw Votes by Country'!B:B,$A27,'2. Raw Votes by Country'!D:D,"CHE"),0)</f>
        <v>0</v>
      </c>
      <c r="M27" s="4" t="n">
        <f aca="false">IFERROR(COUNTIFS('2. Raw Votes by Country'!B:B,$A27,'2. Raw Votes by Country'!D:D,"SWE"),0)</f>
        <v>0</v>
      </c>
      <c r="N27" s="4" t="n">
        <f aca="false">IFERROR(COUNTIFS('2. Raw Votes by Country'!B:B,$A27,'2. Raw Votes by Country'!D:D,"ITA"),0)</f>
        <v>0</v>
      </c>
      <c r="O27" s="4" t="n">
        <f aca="false">IFERROR(COUNTIFS('2. Raw Votes by Country'!B:B,$A27,'2. Raw Votes by Country'!D:D,"ESP"),0)</f>
        <v>0</v>
      </c>
      <c r="P27" s="4" t="n">
        <f aca="false">IFERROR(COUNTIFS('2. Raw Votes by Country'!B:B,$A27,'2. Raw Votes by Country'!D:D,"IND"),0)</f>
        <v>0</v>
      </c>
      <c r="Q27" s="4" t="n">
        <f aca="false">IFERROR(COUNTIFS('2. Raw Votes by Country'!B:B,$A27,'2. Raw Votes by Country'!D:D,"BRA"),0)</f>
        <v>0</v>
      </c>
      <c r="R27" s="4" t="n">
        <f aca="false">IFERROR(COUNTIFS('2. Raw Votes by Country'!B:B,$A27,'2. Raw Votes by Country'!D:D,"SGP"),0)</f>
        <v>0</v>
      </c>
      <c r="S27" s="4" t="n">
        <f aca="false">IFERROR(COUNTIFS('2. Raw Votes by Country'!B:B,$A27,'2. Raw Votes by Country'!D:D,"HKG"),0)</f>
        <v>0</v>
      </c>
      <c r="T27" s="4" t="n">
        <f aca="false">IFERROR(COUNTIFS('2. Raw Votes by Country'!B:B,$A27,'2. Raw Votes by Country'!D:D,"ZAF"),0)</f>
        <v>0</v>
      </c>
      <c r="U27" s="4" t="n">
        <f aca="false">IFERROR(COUNTIFS('2. Raw Votes by Country'!B:B,$A27,'2. Raw Votes by Country'!D:D,"RUS"),0)</f>
        <v>0</v>
      </c>
      <c r="V27" s="28" t="n">
        <f aca="false">SUM(B27:U27)</f>
        <v>0</v>
      </c>
      <c r="W27" s="28" t="n">
        <f aca="false">COUNTIF(B27:U27,"&gt;0")</f>
        <v>0</v>
      </c>
      <c r="X27" s="29" t="n">
        <f aca="false">IFERROR(MAX(B27:U27)/V27*100,0)</f>
        <v>0</v>
      </c>
    </row>
    <row r="28" customFormat="false" ht="15" hidden="false" customHeight="false" outlineLevel="0" collapsed="false">
      <c r="A28" s="24"/>
      <c r="B28" s="7" t="n">
        <f aca="false">IFERROR(COUNTIFS('2. Raw Votes by Country'!B:B,$A28,'2. Raw Votes by Country'!D:D,"USA"),0)</f>
        <v>0</v>
      </c>
      <c r="C28" s="7" t="n">
        <f aca="false">IFERROR(COUNTIFS('2. Raw Votes by Country'!B:B,$A28,'2. Raw Votes by Country'!D:D,"GBR"),0)</f>
        <v>0</v>
      </c>
      <c r="D28" s="7" t="n">
        <f aca="false">IFERROR(COUNTIFS('2. Raw Votes by Country'!B:B,$A28,'2. Raw Votes by Country'!D:D,"CHN"),0)</f>
        <v>0</v>
      </c>
      <c r="E28" s="7" t="n">
        <f aca="false">IFERROR(COUNTIFS('2. Raw Votes by Country'!B:B,$A28,'2. Raw Votes by Country'!D:D,"DEU"),0)</f>
        <v>0</v>
      </c>
      <c r="F28" s="7" t="n">
        <f aca="false">IFERROR(COUNTIFS('2. Raw Votes by Country'!B:B,$A28,'2. Raw Votes by Country'!D:D,"JPN"),0)</f>
        <v>0</v>
      </c>
      <c r="G28" s="7" t="n">
        <f aca="false">IFERROR(COUNTIFS('2. Raw Votes by Country'!B:B,$A28,'2. Raw Votes by Country'!D:D,"AUS"),0)</f>
        <v>0</v>
      </c>
      <c r="H28" s="7" t="n">
        <f aca="false">IFERROR(COUNTIFS('2. Raw Votes by Country'!B:B,$A28,'2. Raw Votes by Country'!D:D,"FRA"),0)</f>
        <v>0</v>
      </c>
      <c r="I28" s="7" t="n">
        <f aca="false">IFERROR(COUNTIFS('2. Raw Votes by Country'!B:B,$A28,'2. Raw Votes by Country'!D:D,"NLD"),0)</f>
        <v>0</v>
      </c>
      <c r="J28" s="7" t="n">
        <f aca="false">IFERROR(COUNTIFS('2. Raw Votes by Country'!B:B,$A28,'2. Raw Votes by Country'!D:D,"CAN"),0)</f>
        <v>0</v>
      </c>
      <c r="K28" s="7" t="n">
        <f aca="false">IFERROR(COUNTIFS('2. Raw Votes by Country'!B:B,$A28,'2. Raw Votes by Country'!D:D,"KOR"),0)</f>
        <v>0</v>
      </c>
      <c r="L28" s="7" t="n">
        <f aca="false">IFERROR(COUNTIFS('2. Raw Votes by Country'!B:B,$A28,'2. Raw Votes by Country'!D:D,"CHE"),0)</f>
        <v>0</v>
      </c>
      <c r="M28" s="7" t="n">
        <f aca="false">IFERROR(COUNTIFS('2. Raw Votes by Country'!B:B,$A28,'2. Raw Votes by Country'!D:D,"SWE"),0)</f>
        <v>0</v>
      </c>
      <c r="N28" s="7" t="n">
        <f aca="false">IFERROR(COUNTIFS('2. Raw Votes by Country'!B:B,$A28,'2. Raw Votes by Country'!D:D,"ITA"),0)</f>
        <v>0</v>
      </c>
      <c r="O28" s="7" t="n">
        <f aca="false">IFERROR(COUNTIFS('2. Raw Votes by Country'!B:B,$A28,'2. Raw Votes by Country'!D:D,"ESP"),0)</f>
        <v>0</v>
      </c>
      <c r="P28" s="7" t="n">
        <f aca="false">IFERROR(COUNTIFS('2. Raw Votes by Country'!B:B,$A28,'2. Raw Votes by Country'!D:D,"IND"),0)</f>
        <v>0</v>
      </c>
      <c r="Q28" s="7" t="n">
        <f aca="false">IFERROR(COUNTIFS('2. Raw Votes by Country'!B:B,$A28,'2. Raw Votes by Country'!D:D,"BRA"),0)</f>
        <v>0</v>
      </c>
      <c r="R28" s="7" t="n">
        <f aca="false">IFERROR(COUNTIFS('2. Raw Votes by Country'!B:B,$A28,'2. Raw Votes by Country'!D:D,"SGP"),0)</f>
        <v>0</v>
      </c>
      <c r="S28" s="7" t="n">
        <f aca="false">IFERROR(COUNTIFS('2. Raw Votes by Country'!B:B,$A28,'2. Raw Votes by Country'!D:D,"HKG"),0)</f>
        <v>0</v>
      </c>
      <c r="T28" s="7" t="n">
        <f aca="false">IFERROR(COUNTIFS('2. Raw Votes by Country'!B:B,$A28,'2. Raw Votes by Country'!D:D,"ZAF"),0)</f>
        <v>0</v>
      </c>
      <c r="U28" s="7" t="n">
        <f aca="false">IFERROR(COUNTIFS('2. Raw Votes by Country'!B:B,$A28,'2. Raw Votes by Country'!D:D,"RUS"),0)</f>
        <v>0</v>
      </c>
      <c r="V28" s="30" t="n">
        <f aca="false">SUM(B28:U28)</f>
        <v>0</v>
      </c>
      <c r="W28" s="30" t="n">
        <f aca="false">COUNTIF(B28:U28,"&gt;0")</f>
        <v>0</v>
      </c>
      <c r="X28" s="31" t="n">
        <f aca="false">IFERROR(MAX(B28:U28)/V28*100,0)</f>
        <v>0</v>
      </c>
    </row>
    <row r="29" customFormat="false" ht="15" hidden="false" customHeight="false" outlineLevel="0" collapsed="false">
      <c r="A29" s="17"/>
      <c r="B29" s="4" t="n">
        <f aca="false">IFERROR(COUNTIFS('2. Raw Votes by Country'!B:B,$A29,'2. Raw Votes by Country'!D:D,"USA"),0)</f>
        <v>0</v>
      </c>
      <c r="C29" s="4" t="n">
        <f aca="false">IFERROR(COUNTIFS('2. Raw Votes by Country'!B:B,$A29,'2. Raw Votes by Country'!D:D,"GBR"),0)</f>
        <v>0</v>
      </c>
      <c r="D29" s="4" t="n">
        <f aca="false">IFERROR(COUNTIFS('2. Raw Votes by Country'!B:B,$A29,'2. Raw Votes by Country'!D:D,"CHN"),0)</f>
        <v>0</v>
      </c>
      <c r="E29" s="4" t="n">
        <f aca="false">IFERROR(COUNTIFS('2. Raw Votes by Country'!B:B,$A29,'2. Raw Votes by Country'!D:D,"DEU"),0)</f>
        <v>0</v>
      </c>
      <c r="F29" s="4" t="n">
        <f aca="false">IFERROR(COUNTIFS('2. Raw Votes by Country'!B:B,$A29,'2. Raw Votes by Country'!D:D,"JPN"),0)</f>
        <v>0</v>
      </c>
      <c r="G29" s="4" t="n">
        <f aca="false">IFERROR(COUNTIFS('2. Raw Votes by Country'!B:B,$A29,'2. Raw Votes by Country'!D:D,"AUS"),0)</f>
        <v>0</v>
      </c>
      <c r="H29" s="4" t="n">
        <f aca="false">IFERROR(COUNTIFS('2. Raw Votes by Country'!B:B,$A29,'2. Raw Votes by Country'!D:D,"FRA"),0)</f>
        <v>0</v>
      </c>
      <c r="I29" s="4" t="n">
        <f aca="false">IFERROR(COUNTIFS('2. Raw Votes by Country'!B:B,$A29,'2. Raw Votes by Country'!D:D,"NLD"),0)</f>
        <v>0</v>
      </c>
      <c r="J29" s="4" t="n">
        <f aca="false">IFERROR(COUNTIFS('2. Raw Votes by Country'!B:B,$A29,'2. Raw Votes by Country'!D:D,"CAN"),0)</f>
        <v>0</v>
      </c>
      <c r="K29" s="4" t="n">
        <f aca="false">IFERROR(COUNTIFS('2. Raw Votes by Country'!B:B,$A29,'2. Raw Votes by Country'!D:D,"KOR"),0)</f>
        <v>0</v>
      </c>
      <c r="L29" s="4" t="n">
        <f aca="false">IFERROR(COUNTIFS('2. Raw Votes by Country'!B:B,$A29,'2. Raw Votes by Country'!D:D,"CHE"),0)</f>
        <v>0</v>
      </c>
      <c r="M29" s="4" t="n">
        <f aca="false">IFERROR(COUNTIFS('2. Raw Votes by Country'!B:B,$A29,'2. Raw Votes by Country'!D:D,"SWE"),0)</f>
        <v>0</v>
      </c>
      <c r="N29" s="4" t="n">
        <f aca="false">IFERROR(COUNTIFS('2. Raw Votes by Country'!B:B,$A29,'2. Raw Votes by Country'!D:D,"ITA"),0)</f>
        <v>0</v>
      </c>
      <c r="O29" s="4" t="n">
        <f aca="false">IFERROR(COUNTIFS('2. Raw Votes by Country'!B:B,$A29,'2. Raw Votes by Country'!D:D,"ESP"),0)</f>
        <v>0</v>
      </c>
      <c r="P29" s="4" t="n">
        <f aca="false">IFERROR(COUNTIFS('2. Raw Votes by Country'!B:B,$A29,'2. Raw Votes by Country'!D:D,"IND"),0)</f>
        <v>0</v>
      </c>
      <c r="Q29" s="4" t="n">
        <f aca="false">IFERROR(COUNTIFS('2. Raw Votes by Country'!B:B,$A29,'2. Raw Votes by Country'!D:D,"BRA"),0)</f>
        <v>0</v>
      </c>
      <c r="R29" s="4" t="n">
        <f aca="false">IFERROR(COUNTIFS('2. Raw Votes by Country'!B:B,$A29,'2. Raw Votes by Country'!D:D,"SGP"),0)</f>
        <v>0</v>
      </c>
      <c r="S29" s="4" t="n">
        <f aca="false">IFERROR(COUNTIFS('2. Raw Votes by Country'!B:B,$A29,'2. Raw Votes by Country'!D:D,"HKG"),0)</f>
        <v>0</v>
      </c>
      <c r="T29" s="4" t="n">
        <f aca="false">IFERROR(COUNTIFS('2. Raw Votes by Country'!B:B,$A29,'2. Raw Votes by Country'!D:D,"ZAF"),0)</f>
        <v>0</v>
      </c>
      <c r="U29" s="4" t="n">
        <f aca="false">IFERROR(COUNTIFS('2. Raw Votes by Country'!B:B,$A29,'2. Raw Votes by Country'!D:D,"RUS"),0)</f>
        <v>0</v>
      </c>
      <c r="V29" s="28" t="n">
        <f aca="false">SUM(B29:U29)</f>
        <v>0</v>
      </c>
      <c r="W29" s="28" t="n">
        <f aca="false">COUNTIF(B29:U29,"&gt;0")</f>
        <v>0</v>
      </c>
      <c r="X29" s="29" t="n">
        <f aca="false">IFERROR(MAX(B29:U29)/V29*100,0)</f>
        <v>0</v>
      </c>
    </row>
    <row r="30" customFormat="false" ht="15" hidden="false" customHeight="false" outlineLevel="0" collapsed="false">
      <c r="A30" s="24"/>
      <c r="B30" s="7" t="n">
        <f aca="false">IFERROR(COUNTIFS('2. Raw Votes by Country'!B:B,$A30,'2. Raw Votes by Country'!D:D,"USA"),0)</f>
        <v>0</v>
      </c>
      <c r="C30" s="7" t="n">
        <f aca="false">IFERROR(COUNTIFS('2. Raw Votes by Country'!B:B,$A30,'2. Raw Votes by Country'!D:D,"GBR"),0)</f>
        <v>0</v>
      </c>
      <c r="D30" s="7" t="n">
        <f aca="false">IFERROR(COUNTIFS('2. Raw Votes by Country'!B:B,$A30,'2. Raw Votes by Country'!D:D,"CHN"),0)</f>
        <v>0</v>
      </c>
      <c r="E30" s="7" t="n">
        <f aca="false">IFERROR(COUNTIFS('2. Raw Votes by Country'!B:B,$A30,'2. Raw Votes by Country'!D:D,"DEU"),0)</f>
        <v>0</v>
      </c>
      <c r="F30" s="7" t="n">
        <f aca="false">IFERROR(COUNTIFS('2. Raw Votes by Country'!B:B,$A30,'2. Raw Votes by Country'!D:D,"JPN"),0)</f>
        <v>0</v>
      </c>
      <c r="G30" s="7" t="n">
        <f aca="false">IFERROR(COUNTIFS('2. Raw Votes by Country'!B:B,$A30,'2. Raw Votes by Country'!D:D,"AUS"),0)</f>
        <v>0</v>
      </c>
      <c r="H30" s="7" t="n">
        <f aca="false">IFERROR(COUNTIFS('2. Raw Votes by Country'!B:B,$A30,'2. Raw Votes by Country'!D:D,"FRA"),0)</f>
        <v>0</v>
      </c>
      <c r="I30" s="7" t="n">
        <f aca="false">IFERROR(COUNTIFS('2. Raw Votes by Country'!B:B,$A30,'2. Raw Votes by Country'!D:D,"NLD"),0)</f>
        <v>0</v>
      </c>
      <c r="J30" s="7" t="n">
        <f aca="false">IFERROR(COUNTIFS('2. Raw Votes by Country'!B:B,$A30,'2. Raw Votes by Country'!D:D,"CAN"),0)</f>
        <v>0</v>
      </c>
      <c r="K30" s="7" t="n">
        <f aca="false">IFERROR(COUNTIFS('2. Raw Votes by Country'!B:B,$A30,'2. Raw Votes by Country'!D:D,"KOR"),0)</f>
        <v>0</v>
      </c>
      <c r="L30" s="7" t="n">
        <f aca="false">IFERROR(COUNTIFS('2. Raw Votes by Country'!B:B,$A30,'2. Raw Votes by Country'!D:D,"CHE"),0)</f>
        <v>0</v>
      </c>
      <c r="M30" s="7" t="n">
        <f aca="false">IFERROR(COUNTIFS('2. Raw Votes by Country'!B:B,$A30,'2. Raw Votes by Country'!D:D,"SWE"),0)</f>
        <v>0</v>
      </c>
      <c r="N30" s="7" t="n">
        <f aca="false">IFERROR(COUNTIFS('2. Raw Votes by Country'!B:B,$A30,'2. Raw Votes by Country'!D:D,"ITA"),0)</f>
        <v>0</v>
      </c>
      <c r="O30" s="7" t="n">
        <f aca="false">IFERROR(COUNTIFS('2. Raw Votes by Country'!B:B,$A30,'2. Raw Votes by Country'!D:D,"ESP"),0)</f>
        <v>0</v>
      </c>
      <c r="P30" s="7" t="n">
        <f aca="false">IFERROR(COUNTIFS('2. Raw Votes by Country'!B:B,$A30,'2. Raw Votes by Country'!D:D,"IND"),0)</f>
        <v>0</v>
      </c>
      <c r="Q30" s="7" t="n">
        <f aca="false">IFERROR(COUNTIFS('2. Raw Votes by Country'!B:B,$A30,'2. Raw Votes by Country'!D:D,"BRA"),0)</f>
        <v>0</v>
      </c>
      <c r="R30" s="7" t="n">
        <f aca="false">IFERROR(COUNTIFS('2. Raw Votes by Country'!B:B,$A30,'2. Raw Votes by Country'!D:D,"SGP"),0)</f>
        <v>0</v>
      </c>
      <c r="S30" s="7" t="n">
        <f aca="false">IFERROR(COUNTIFS('2. Raw Votes by Country'!B:B,$A30,'2. Raw Votes by Country'!D:D,"HKG"),0)</f>
        <v>0</v>
      </c>
      <c r="T30" s="7" t="n">
        <f aca="false">IFERROR(COUNTIFS('2. Raw Votes by Country'!B:B,$A30,'2. Raw Votes by Country'!D:D,"ZAF"),0)</f>
        <v>0</v>
      </c>
      <c r="U30" s="7" t="n">
        <f aca="false">IFERROR(COUNTIFS('2. Raw Votes by Country'!B:B,$A30,'2. Raw Votes by Country'!D:D,"RUS"),0)</f>
        <v>0</v>
      </c>
      <c r="V30" s="30" t="n">
        <f aca="false">SUM(B30:U30)</f>
        <v>0</v>
      </c>
      <c r="W30" s="30" t="n">
        <f aca="false">COUNTIF(B30:U30,"&gt;0")</f>
        <v>0</v>
      </c>
      <c r="X30" s="31" t="n">
        <f aca="false">IFERROR(MAX(B30:U30)/V30*100,0)</f>
        <v>0</v>
      </c>
    </row>
    <row r="31" customFormat="false" ht="15" hidden="false" customHeight="false" outlineLevel="0" collapsed="false">
      <c r="A31" s="17"/>
      <c r="B31" s="4" t="n">
        <f aca="false">IFERROR(COUNTIFS('2. Raw Votes by Country'!B:B,$A31,'2. Raw Votes by Country'!D:D,"USA"),0)</f>
        <v>0</v>
      </c>
      <c r="C31" s="4" t="n">
        <f aca="false">IFERROR(COUNTIFS('2. Raw Votes by Country'!B:B,$A31,'2. Raw Votes by Country'!D:D,"GBR"),0)</f>
        <v>0</v>
      </c>
      <c r="D31" s="4" t="n">
        <f aca="false">IFERROR(COUNTIFS('2. Raw Votes by Country'!B:B,$A31,'2. Raw Votes by Country'!D:D,"CHN"),0)</f>
        <v>0</v>
      </c>
      <c r="E31" s="4" t="n">
        <f aca="false">IFERROR(COUNTIFS('2. Raw Votes by Country'!B:B,$A31,'2. Raw Votes by Country'!D:D,"DEU"),0)</f>
        <v>0</v>
      </c>
      <c r="F31" s="4" t="n">
        <f aca="false">IFERROR(COUNTIFS('2. Raw Votes by Country'!B:B,$A31,'2. Raw Votes by Country'!D:D,"JPN"),0)</f>
        <v>0</v>
      </c>
      <c r="G31" s="4" t="n">
        <f aca="false">IFERROR(COUNTIFS('2. Raw Votes by Country'!B:B,$A31,'2. Raw Votes by Country'!D:D,"AUS"),0)</f>
        <v>0</v>
      </c>
      <c r="H31" s="4" t="n">
        <f aca="false">IFERROR(COUNTIFS('2. Raw Votes by Country'!B:B,$A31,'2. Raw Votes by Country'!D:D,"FRA"),0)</f>
        <v>0</v>
      </c>
      <c r="I31" s="4" t="n">
        <f aca="false">IFERROR(COUNTIFS('2. Raw Votes by Country'!B:B,$A31,'2. Raw Votes by Country'!D:D,"NLD"),0)</f>
        <v>0</v>
      </c>
      <c r="J31" s="4" t="n">
        <f aca="false">IFERROR(COUNTIFS('2. Raw Votes by Country'!B:B,$A31,'2. Raw Votes by Country'!D:D,"CAN"),0)</f>
        <v>0</v>
      </c>
      <c r="K31" s="4" t="n">
        <f aca="false">IFERROR(COUNTIFS('2. Raw Votes by Country'!B:B,$A31,'2. Raw Votes by Country'!D:D,"KOR"),0)</f>
        <v>0</v>
      </c>
      <c r="L31" s="4" t="n">
        <f aca="false">IFERROR(COUNTIFS('2. Raw Votes by Country'!B:B,$A31,'2. Raw Votes by Country'!D:D,"CHE"),0)</f>
        <v>0</v>
      </c>
      <c r="M31" s="4" t="n">
        <f aca="false">IFERROR(COUNTIFS('2. Raw Votes by Country'!B:B,$A31,'2. Raw Votes by Country'!D:D,"SWE"),0)</f>
        <v>0</v>
      </c>
      <c r="N31" s="4" t="n">
        <f aca="false">IFERROR(COUNTIFS('2. Raw Votes by Country'!B:B,$A31,'2. Raw Votes by Country'!D:D,"ITA"),0)</f>
        <v>0</v>
      </c>
      <c r="O31" s="4" t="n">
        <f aca="false">IFERROR(COUNTIFS('2. Raw Votes by Country'!B:B,$A31,'2. Raw Votes by Country'!D:D,"ESP"),0)</f>
        <v>0</v>
      </c>
      <c r="P31" s="4" t="n">
        <f aca="false">IFERROR(COUNTIFS('2. Raw Votes by Country'!B:B,$A31,'2. Raw Votes by Country'!D:D,"IND"),0)</f>
        <v>0</v>
      </c>
      <c r="Q31" s="4" t="n">
        <f aca="false">IFERROR(COUNTIFS('2. Raw Votes by Country'!B:B,$A31,'2. Raw Votes by Country'!D:D,"BRA"),0)</f>
        <v>0</v>
      </c>
      <c r="R31" s="4" t="n">
        <f aca="false">IFERROR(COUNTIFS('2. Raw Votes by Country'!B:B,$A31,'2. Raw Votes by Country'!D:D,"SGP"),0)</f>
        <v>0</v>
      </c>
      <c r="S31" s="4" t="n">
        <f aca="false">IFERROR(COUNTIFS('2. Raw Votes by Country'!B:B,$A31,'2. Raw Votes by Country'!D:D,"HKG"),0)</f>
        <v>0</v>
      </c>
      <c r="T31" s="4" t="n">
        <f aca="false">IFERROR(COUNTIFS('2. Raw Votes by Country'!B:B,$A31,'2. Raw Votes by Country'!D:D,"ZAF"),0)</f>
        <v>0</v>
      </c>
      <c r="U31" s="4" t="n">
        <f aca="false">IFERROR(COUNTIFS('2. Raw Votes by Country'!B:B,$A31,'2. Raw Votes by Country'!D:D,"RUS"),0)</f>
        <v>0</v>
      </c>
      <c r="V31" s="28" t="n">
        <f aca="false">SUM(B31:U31)</f>
        <v>0</v>
      </c>
      <c r="W31" s="28" t="n">
        <f aca="false">COUNTIF(B31:U31,"&gt;0")</f>
        <v>0</v>
      </c>
      <c r="X31" s="29" t="n">
        <f aca="false">IFERROR(MAX(B31:U31)/V31*100,0)</f>
        <v>0</v>
      </c>
    </row>
    <row r="32" customFormat="false" ht="15" hidden="false" customHeight="false" outlineLevel="0" collapsed="false">
      <c r="A32" s="24"/>
      <c r="B32" s="7" t="n">
        <f aca="false">IFERROR(COUNTIFS('2. Raw Votes by Country'!B:B,$A32,'2. Raw Votes by Country'!D:D,"USA"),0)</f>
        <v>0</v>
      </c>
      <c r="C32" s="7" t="n">
        <f aca="false">IFERROR(COUNTIFS('2. Raw Votes by Country'!B:B,$A32,'2. Raw Votes by Country'!D:D,"GBR"),0)</f>
        <v>0</v>
      </c>
      <c r="D32" s="7" t="n">
        <f aca="false">IFERROR(COUNTIFS('2. Raw Votes by Country'!B:B,$A32,'2. Raw Votes by Country'!D:D,"CHN"),0)</f>
        <v>0</v>
      </c>
      <c r="E32" s="7" t="n">
        <f aca="false">IFERROR(COUNTIFS('2. Raw Votes by Country'!B:B,$A32,'2. Raw Votes by Country'!D:D,"DEU"),0)</f>
        <v>0</v>
      </c>
      <c r="F32" s="7" t="n">
        <f aca="false">IFERROR(COUNTIFS('2. Raw Votes by Country'!B:B,$A32,'2. Raw Votes by Country'!D:D,"JPN"),0)</f>
        <v>0</v>
      </c>
      <c r="G32" s="7" t="n">
        <f aca="false">IFERROR(COUNTIFS('2. Raw Votes by Country'!B:B,$A32,'2. Raw Votes by Country'!D:D,"AUS"),0)</f>
        <v>0</v>
      </c>
      <c r="H32" s="7" t="n">
        <f aca="false">IFERROR(COUNTIFS('2. Raw Votes by Country'!B:B,$A32,'2. Raw Votes by Country'!D:D,"FRA"),0)</f>
        <v>0</v>
      </c>
      <c r="I32" s="7" t="n">
        <f aca="false">IFERROR(COUNTIFS('2. Raw Votes by Country'!B:B,$A32,'2. Raw Votes by Country'!D:D,"NLD"),0)</f>
        <v>0</v>
      </c>
      <c r="J32" s="7" t="n">
        <f aca="false">IFERROR(COUNTIFS('2. Raw Votes by Country'!B:B,$A32,'2. Raw Votes by Country'!D:D,"CAN"),0)</f>
        <v>0</v>
      </c>
      <c r="K32" s="7" t="n">
        <f aca="false">IFERROR(COUNTIFS('2. Raw Votes by Country'!B:B,$A32,'2. Raw Votes by Country'!D:D,"KOR"),0)</f>
        <v>0</v>
      </c>
      <c r="L32" s="7" t="n">
        <f aca="false">IFERROR(COUNTIFS('2. Raw Votes by Country'!B:B,$A32,'2. Raw Votes by Country'!D:D,"CHE"),0)</f>
        <v>0</v>
      </c>
      <c r="M32" s="7" t="n">
        <f aca="false">IFERROR(COUNTIFS('2. Raw Votes by Country'!B:B,$A32,'2. Raw Votes by Country'!D:D,"SWE"),0)</f>
        <v>0</v>
      </c>
      <c r="N32" s="7" t="n">
        <f aca="false">IFERROR(COUNTIFS('2. Raw Votes by Country'!B:B,$A32,'2. Raw Votes by Country'!D:D,"ITA"),0)</f>
        <v>0</v>
      </c>
      <c r="O32" s="7" t="n">
        <f aca="false">IFERROR(COUNTIFS('2. Raw Votes by Country'!B:B,$A32,'2. Raw Votes by Country'!D:D,"ESP"),0)</f>
        <v>0</v>
      </c>
      <c r="P32" s="7" t="n">
        <f aca="false">IFERROR(COUNTIFS('2. Raw Votes by Country'!B:B,$A32,'2. Raw Votes by Country'!D:D,"IND"),0)</f>
        <v>0</v>
      </c>
      <c r="Q32" s="7" t="n">
        <f aca="false">IFERROR(COUNTIFS('2. Raw Votes by Country'!B:B,$A32,'2. Raw Votes by Country'!D:D,"BRA"),0)</f>
        <v>0</v>
      </c>
      <c r="R32" s="7" t="n">
        <f aca="false">IFERROR(COUNTIFS('2. Raw Votes by Country'!B:B,$A32,'2. Raw Votes by Country'!D:D,"SGP"),0)</f>
        <v>0</v>
      </c>
      <c r="S32" s="7" t="n">
        <f aca="false">IFERROR(COUNTIFS('2. Raw Votes by Country'!B:B,$A32,'2. Raw Votes by Country'!D:D,"HKG"),0)</f>
        <v>0</v>
      </c>
      <c r="T32" s="7" t="n">
        <f aca="false">IFERROR(COUNTIFS('2. Raw Votes by Country'!B:B,$A32,'2. Raw Votes by Country'!D:D,"ZAF"),0)</f>
        <v>0</v>
      </c>
      <c r="U32" s="7" t="n">
        <f aca="false">IFERROR(COUNTIFS('2. Raw Votes by Country'!B:B,$A32,'2. Raw Votes by Country'!D:D,"RUS"),0)</f>
        <v>0</v>
      </c>
      <c r="V32" s="30" t="n">
        <f aca="false">SUM(B32:U32)</f>
        <v>0</v>
      </c>
      <c r="W32" s="30" t="n">
        <f aca="false">COUNTIF(B32:U32,"&gt;0")</f>
        <v>0</v>
      </c>
      <c r="X32" s="31" t="n">
        <f aca="false">IFERROR(MAX(B32:U32)/V32*100,0)</f>
        <v>0</v>
      </c>
    </row>
    <row r="33" customFormat="false" ht="15" hidden="false" customHeight="false" outlineLevel="0" collapsed="false">
      <c r="A33" s="17"/>
      <c r="B33" s="4" t="n">
        <f aca="false">IFERROR(COUNTIFS('2. Raw Votes by Country'!B:B,$A33,'2. Raw Votes by Country'!D:D,"USA"),0)</f>
        <v>0</v>
      </c>
      <c r="C33" s="4" t="n">
        <f aca="false">IFERROR(COUNTIFS('2. Raw Votes by Country'!B:B,$A33,'2. Raw Votes by Country'!D:D,"GBR"),0)</f>
        <v>0</v>
      </c>
      <c r="D33" s="4" t="n">
        <f aca="false">IFERROR(COUNTIFS('2. Raw Votes by Country'!B:B,$A33,'2. Raw Votes by Country'!D:D,"CHN"),0)</f>
        <v>0</v>
      </c>
      <c r="E33" s="4" t="n">
        <f aca="false">IFERROR(COUNTIFS('2. Raw Votes by Country'!B:B,$A33,'2. Raw Votes by Country'!D:D,"DEU"),0)</f>
        <v>0</v>
      </c>
      <c r="F33" s="4" t="n">
        <f aca="false">IFERROR(COUNTIFS('2. Raw Votes by Country'!B:B,$A33,'2. Raw Votes by Country'!D:D,"JPN"),0)</f>
        <v>0</v>
      </c>
      <c r="G33" s="4" t="n">
        <f aca="false">IFERROR(COUNTIFS('2. Raw Votes by Country'!B:B,$A33,'2. Raw Votes by Country'!D:D,"AUS"),0)</f>
        <v>0</v>
      </c>
      <c r="H33" s="4" t="n">
        <f aca="false">IFERROR(COUNTIFS('2. Raw Votes by Country'!B:B,$A33,'2. Raw Votes by Country'!D:D,"FRA"),0)</f>
        <v>0</v>
      </c>
      <c r="I33" s="4" t="n">
        <f aca="false">IFERROR(COUNTIFS('2. Raw Votes by Country'!B:B,$A33,'2. Raw Votes by Country'!D:D,"NLD"),0)</f>
        <v>0</v>
      </c>
      <c r="J33" s="4" t="n">
        <f aca="false">IFERROR(COUNTIFS('2. Raw Votes by Country'!B:B,$A33,'2. Raw Votes by Country'!D:D,"CAN"),0)</f>
        <v>0</v>
      </c>
      <c r="K33" s="4" t="n">
        <f aca="false">IFERROR(COUNTIFS('2. Raw Votes by Country'!B:B,$A33,'2. Raw Votes by Country'!D:D,"KOR"),0)</f>
        <v>0</v>
      </c>
      <c r="L33" s="4" t="n">
        <f aca="false">IFERROR(COUNTIFS('2. Raw Votes by Country'!B:B,$A33,'2. Raw Votes by Country'!D:D,"CHE"),0)</f>
        <v>0</v>
      </c>
      <c r="M33" s="4" t="n">
        <f aca="false">IFERROR(COUNTIFS('2. Raw Votes by Country'!B:B,$A33,'2. Raw Votes by Country'!D:D,"SWE"),0)</f>
        <v>0</v>
      </c>
      <c r="N33" s="4" t="n">
        <f aca="false">IFERROR(COUNTIFS('2. Raw Votes by Country'!B:B,$A33,'2. Raw Votes by Country'!D:D,"ITA"),0)</f>
        <v>0</v>
      </c>
      <c r="O33" s="4" t="n">
        <f aca="false">IFERROR(COUNTIFS('2. Raw Votes by Country'!B:B,$A33,'2. Raw Votes by Country'!D:D,"ESP"),0)</f>
        <v>0</v>
      </c>
      <c r="P33" s="4" t="n">
        <f aca="false">IFERROR(COUNTIFS('2. Raw Votes by Country'!B:B,$A33,'2. Raw Votes by Country'!D:D,"IND"),0)</f>
        <v>0</v>
      </c>
      <c r="Q33" s="4" t="n">
        <f aca="false">IFERROR(COUNTIFS('2. Raw Votes by Country'!B:B,$A33,'2. Raw Votes by Country'!D:D,"BRA"),0)</f>
        <v>0</v>
      </c>
      <c r="R33" s="4" t="n">
        <f aca="false">IFERROR(COUNTIFS('2. Raw Votes by Country'!B:B,$A33,'2. Raw Votes by Country'!D:D,"SGP"),0)</f>
        <v>0</v>
      </c>
      <c r="S33" s="4" t="n">
        <f aca="false">IFERROR(COUNTIFS('2. Raw Votes by Country'!B:B,$A33,'2. Raw Votes by Country'!D:D,"HKG"),0)</f>
        <v>0</v>
      </c>
      <c r="T33" s="4" t="n">
        <f aca="false">IFERROR(COUNTIFS('2. Raw Votes by Country'!B:B,$A33,'2. Raw Votes by Country'!D:D,"ZAF"),0)</f>
        <v>0</v>
      </c>
      <c r="U33" s="4" t="n">
        <f aca="false">IFERROR(COUNTIFS('2. Raw Votes by Country'!B:B,$A33,'2. Raw Votes by Country'!D:D,"RUS"),0)</f>
        <v>0</v>
      </c>
      <c r="V33" s="28" t="n">
        <f aca="false">SUM(B33:U33)</f>
        <v>0</v>
      </c>
      <c r="W33" s="28" t="n">
        <f aca="false">COUNTIF(B33:U33,"&gt;0")</f>
        <v>0</v>
      </c>
      <c r="X33" s="29" t="n">
        <f aca="false">IFERROR(MAX(B33:U33)/V33*100,0)</f>
        <v>0</v>
      </c>
    </row>
    <row r="34" customFormat="false" ht="15" hidden="false" customHeight="false" outlineLevel="0" collapsed="false">
      <c r="A34" s="24"/>
      <c r="B34" s="7" t="n">
        <f aca="false">IFERROR(COUNTIFS('2. Raw Votes by Country'!B:B,$A34,'2. Raw Votes by Country'!D:D,"USA"),0)</f>
        <v>0</v>
      </c>
      <c r="C34" s="7" t="n">
        <f aca="false">IFERROR(COUNTIFS('2. Raw Votes by Country'!B:B,$A34,'2. Raw Votes by Country'!D:D,"GBR"),0)</f>
        <v>0</v>
      </c>
      <c r="D34" s="7" t="n">
        <f aca="false">IFERROR(COUNTIFS('2. Raw Votes by Country'!B:B,$A34,'2. Raw Votes by Country'!D:D,"CHN"),0)</f>
        <v>0</v>
      </c>
      <c r="E34" s="7" t="n">
        <f aca="false">IFERROR(COUNTIFS('2. Raw Votes by Country'!B:B,$A34,'2. Raw Votes by Country'!D:D,"DEU"),0)</f>
        <v>0</v>
      </c>
      <c r="F34" s="7" t="n">
        <f aca="false">IFERROR(COUNTIFS('2. Raw Votes by Country'!B:B,$A34,'2. Raw Votes by Country'!D:D,"JPN"),0)</f>
        <v>0</v>
      </c>
      <c r="G34" s="7" t="n">
        <f aca="false">IFERROR(COUNTIFS('2. Raw Votes by Country'!B:B,$A34,'2. Raw Votes by Country'!D:D,"AUS"),0)</f>
        <v>0</v>
      </c>
      <c r="H34" s="7" t="n">
        <f aca="false">IFERROR(COUNTIFS('2. Raw Votes by Country'!B:B,$A34,'2. Raw Votes by Country'!D:D,"FRA"),0)</f>
        <v>0</v>
      </c>
      <c r="I34" s="7" t="n">
        <f aca="false">IFERROR(COUNTIFS('2. Raw Votes by Country'!B:B,$A34,'2. Raw Votes by Country'!D:D,"NLD"),0)</f>
        <v>0</v>
      </c>
      <c r="J34" s="7" t="n">
        <f aca="false">IFERROR(COUNTIFS('2. Raw Votes by Country'!B:B,$A34,'2. Raw Votes by Country'!D:D,"CAN"),0)</f>
        <v>0</v>
      </c>
      <c r="K34" s="7" t="n">
        <f aca="false">IFERROR(COUNTIFS('2. Raw Votes by Country'!B:B,$A34,'2. Raw Votes by Country'!D:D,"KOR"),0)</f>
        <v>0</v>
      </c>
      <c r="L34" s="7" t="n">
        <f aca="false">IFERROR(COUNTIFS('2. Raw Votes by Country'!B:B,$A34,'2. Raw Votes by Country'!D:D,"CHE"),0)</f>
        <v>0</v>
      </c>
      <c r="M34" s="7" t="n">
        <f aca="false">IFERROR(COUNTIFS('2. Raw Votes by Country'!B:B,$A34,'2. Raw Votes by Country'!D:D,"SWE"),0)</f>
        <v>0</v>
      </c>
      <c r="N34" s="7" t="n">
        <f aca="false">IFERROR(COUNTIFS('2. Raw Votes by Country'!B:B,$A34,'2. Raw Votes by Country'!D:D,"ITA"),0)</f>
        <v>0</v>
      </c>
      <c r="O34" s="7" t="n">
        <f aca="false">IFERROR(COUNTIFS('2. Raw Votes by Country'!B:B,$A34,'2. Raw Votes by Country'!D:D,"ESP"),0)</f>
        <v>0</v>
      </c>
      <c r="P34" s="7" t="n">
        <f aca="false">IFERROR(COUNTIFS('2. Raw Votes by Country'!B:B,$A34,'2. Raw Votes by Country'!D:D,"IND"),0)</f>
        <v>0</v>
      </c>
      <c r="Q34" s="7" t="n">
        <f aca="false">IFERROR(COUNTIFS('2. Raw Votes by Country'!B:B,$A34,'2. Raw Votes by Country'!D:D,"BRA"),0)</f>
        <v>0</v>
      </c>
      <c r="R34" s="7" t="n">
        <f aca="false">IFERROR(COUNTIFS('2. Raw Votes by Country'!B:B,$A34,'2. Raw Votes by Country'!D:D,"SGP"),0)</f>
        <v>0</v>
      </c>
      <c r="S34" s="7" t="n">
        <f aca="false">IFERROR(COUNTIFS('2. Raw Votes by Country'!B:B,$A34,'2. Raw Votes by Country'!D:D,"HKG"),0)</f>
        <v>0</v>
      </c>
      <c r="T34" s="7" t="n">
        <f aca="false">IFERROR(COUNTIFS('2. Raw Votes by Country'!B:B,$A34,'2. Raw Votes by Country'!D:D,"ZAF"),0)</f>
        <v>0</v>
      </c>
      <c r="U34" s="7" t="n">
        <f aca="false">IFERROR(COUNTIFS('2. Raw Votes by Country'!B:B,$A34,'2. Raw Votes by Country'!D:D,"RUS"),0)</f>
        <v>0</v>
      </c>
      <c r="V34" s="30" t="n">
        <f aca="false">SUM(B34:U34)</f>
        <v>0</v>
      </c>
      <c r="W34" s="30" t="n">
        <f aca="false">COUNTIF(B34:U34,"&gt;0")</f>
        <v>0</v>
      </c>
      <c r="X34" s="31" t="n">
        <f aca="false">IFERROR(MAX(B34:U34)/V34*100,0)</f>
        <v>0</v>
      </c>
    </row>
    <row r="35" customFormat="false" ht="15" hidden="false" customHeight="false" outlineLevel="0" collapsed="false">
      <c r="A35" s="17"/>
      <c r="B35" s="4" t="n">
        <f aca="false">IFERROR(COUNTIFS('2. Raw Votes by Country'!B:B,$A35,'2. Raw Votes by Country'!D:D,"USA"),0)</f>
        <v>0</v>
      </c>
      <c r="C35" s="4" t="n">
        <f aca="false">IFERROR(COUNTIFS('2. Raw Votes by Country'!B:B,$A35,'2. Raw Votes by Country'!D:D,"GBR"),0)</f>
        <v>0</v>
      </c>
      <c r="D35" s="4" t="n">
        <f aca="false">IFERROR(COUNTIFS('2. Raw Votes by Country'!B:B,$A35,'2. Raw Votes by Country'!D:D,"CHN"),0)</f>
        <v>0</v>
      </c>
      <c r="E35" s="4" t="n">
        <f aca="false">IFERROR(COUNTIFS('2. Raw Votes by Country'!B:B,$A35,'2. Raw Votes by Country'!D:D,"DEU"),0)</f>
        <v>0</v>
      </c>
      <c r="F35" s="4" t="n">
        <f aca="false">IFERROR(COUNTIFS('2. Raw Votes by Country'!B:B,$A35,'2. Raw Votes by Country'!D:D,"JPN"),0)</f>
        <v>0</v>
      </c>
      <c r="G35" s="4" t="n">
        <f aca="false">IFERROR(COUNTIFS('2. Raw Votes by Country'!B:B,$A35,'2. Raw Votes by Country'!D:D,"AUS"),0)</f>
        <v>0</v>
      </c>
      <c r="H35" s="4" t="n">
        <f aca="false">IFERROR(COUNTIFS('2. Raw Votes by Country'!B:B,$A35,'2. Raw Votes by Country'!D:D,"FRA"),0)</f>
        <v>0</v>
      </c>
      <c r="I35" s="4" t="n">
        <f aca="false">IFERROR(COUNTIFS('2. Raw Votes by Country'!B:B,$A35,'2. Raw Votes by Country'!D:D,"NLD"),0)</f>
        <v>0</v>
      </c>
      <c r="J35" s="4" t="n">
        <f aca="false">IFERROR(COUNTIFS('2. Raw Votes by Country'!B:B,$A35,'2. Raw Votes by Country'!D:D,"CAN"),0)</f>
        <v>0</v>
      </c>
      <c r="K35" s="4" t="n">
        <f aca="false">IFERROR(COUNTIFS('2. Raw Votes by Country'!B:B,$A35,'2. Raw Votes by Country'!D:D,"KOR"),0)</f>
        <v>0</v>
      </c>
      <c r="L35" s="4" t="n">
        <f aca="false">IFERROR(COUNTIFS('2. Raw Votes by Country'!B:B,$A35,'2. Raw Votes by Country'!D:D,"CHE"),0)</f>
        <v>0</v>
      </c>
      <c r="M35" s="4" t="n">
        <f aca="false">IFERROR(COUNTIFS('2. Raw Votes by Country'!B:B,$A35,'2. Raw Votes by Country'!D:D,"SWE"),0)</f>
        <v>0</v>
      </c>
      <c r="N35" s="4" t="n">
        <f aca="false">IFERROR(COUNTIFS('2. Raw Votes by Country'!B:B,$A35,'2. Raw Votes by Country'!D:D,"ITA"),0)</f>
        <v>0</v>
      </c>
      <c r="O35" s="4" t="n">
        <f aca="false">IFERROR(COUNTIFS('2. Raw Votes by Country'!B:B,$A35,'2. Raw Votes by Country'!D:D,"ESP"),0)</f>
        <v>0</v>
      </c>
      <c r="P35" s="4" t="n">
        <f aca="false">IFERROR(COUNTIFS('2. Raw Votes by Country'!B:B,$A35,'2. Raw Votes by Country'!D:D,"IND"),0)</f>
        <v>0</v>
      </c>
      <c r="Q35" s="4" t="n">
        <f aca="false">IFERROR(COUNTIFS('2. Raw Votes by Country'!B:B,$A35,'2. Raw Votes by Country'!D:D,"BRA"),0)</f>
        <v>0</v>
      </c>
      <c r="R35" s="4" t="n">
        <f aca="false">IFERROR(COUNTIFS('2. Raw Votes by Country'!B:B,$A35,'2. Raw Votes by Country'!D:D,"SGP"),0)</f>
        <v>0</v>
      </c>
      <c r="S35" s="4" t="n">
        <f aca="false">IFERROR(COUNTIFS('2. Raw Votes by Country'!B:B,$A35,'2. Raw Votes by Country'!D:D,"HKG"),0)</f>
        <v>0</v>
      </c>
      <c r="T35" s="4" t="n">
        <f aca="false">IFERROR(COUNTIFS('2. Raw Votes by Country'!B:B,$A35,'2. Raw Votes by Country'!D:D,"ZAF"),0)</f>
        <v>0</v>
      </c>
      <c r="U35" s="4" t="n">
        <f aca="false">IFERROR(COUNTIFS('2. Raw Votes by Country'!B:B,$A35,'2. Raw Votes by Country'!D:D,"RUS"),0)</f>
        <v>0</v>
      </c>
      <c r="V35" s="28" t="n">
        <f aca="false">SUM(B35:U35)</f>
        <v>0</v>
      </c>
      <c r="W35" s="28" t="n">
        <f aca="false">COUNTIF(B35:U35,"&gt;0")</f>
        <v>0</v>
      </c>
      <c r="X35" s="29" t="n">
        <f aca="false">IFERROR(MAX(B35:U35)/V35*100,0)</f>
        <v>0</v>
      </c>
    </row>
    <row r="36" customFormat="false" ht="15" hidden="false" customHeight="false" outlineLevel="0" collapsed="false">
      <c r="A36" s="24"/>
      <c r="B36" s="7" t="n">
        <f aca="false">IFERROR(COUNTIFS('2. Raw Votes by Country'!B:B,$A36,'2. Raw Votes by Country'!D:D,"USA"),0)</f>
        <v>0</v>
      </c>
      <c r="C36" s="7" t="n">
        <f aca="false">IFERROR(COUNTIFS('2. Raw Votes by Country'!B:B,$A36,'2. Raw Votes by Country'!D:D,"GBR"),0)</f>
        <v>0</v>
      </c>
      <c r="D36" s="7" t="n">
        <f aca="false">IFERROR(COUNTIFS('2. Raw Votes by Country'!B:B,$A36,'2. Raw Votes by Country'!D:D,"CHN"),0)</f>
        <v>0</v>
      </c>
      <c r="E36" s="7" t="n">
        <f aca="false">IFERROR(COUNTIFS('2. Raw Votes by Country'!B:B,$A36,'2. Raw Votes by Country'!D:D,"DEU"),0)</f>
        <v>0</v>
      </c>
      <c r="F36" s="7" t="n">
        <f aca="false">IFERROR(COUNTIFS('2. Raw Votes by Country'!B:B,$A36,'2. Raw Votes by Country'!D:D,"JPN"),0)</f>
        <v>0</v>
      </c>
      <c r="G36" s="7" t="n">
        <f aca="false">IFERROR(COUNTIFS('2. Raw Votes by Country'!B:B,$A36,'2. Raw Votes by Country'!D:D,"AUS"),0)</f>
        <v>0</v>
      </c>
      <c r="H36" s="7" t="n">
        <f aca="false">IFERROR(COUNTIFS('2. Raw Votes by Country'!B:B,$A36,'2. Raw Votes by Country'!D:D,"FRA"),0)</f>
        <v>0</v>
      </c>
      <c r="I36" s="7" t="n">
        <f aca="false">IFERROR(COUNTIFS('2. Raw Votes by Country'!B:B,$A36,'2. Raw Votes by Country'!D:D,"NLD"),0)</f>
        <v>0</v>
      </c>
      <c r="J36" s="7" t="n">
        <f aca="false">IFERROR(COUNTIFS('2. Raw Votes by Country'!B:B,$A36,'2. Raw Votes by Country'!D:D,"CAN"),0)</f>
        <v>0</v>
      </c>
      <c r="K36" s="7" t="n">
        <f aca="false">IFERROR(COUNTIFS('2. Raw Votes by Country'!B:B,$A36,'2. Raw Votes by Country'!D:D,"KOR"),0)</f>
        <v>0</v>
      </c>
      <c r="L36" s="7" t="n">
        <f aca="false">IFERROR(COUNTIFS('2. Raw Votes by Country'!B:B,$A36,'2. Raw Votes by Country'!D:D,"CHE"),0)</f>
        <v>0</v>
      </c>
      <c r="M36" s="7" t="n">
        <f aca="false">IFERROR(COUNTIFS('2. Raw Votes by Country'!B:B,$A36,'2. Raw Votes by Country'!D:D,"SWE"),0)</f>
        <v>0</v>
      </c>
      <c r="N36" s="7" t="n">
        <f aca="false">IFERROR(COUNTIFS('2. Raw Votes by Country'!B:B,$A36,'2. Raw Votes by Country'!D:D,"ITA"),0)</f>
        <v>0</v>
      </c>
      <c r="O36" s="7" t="n">
        <f aca="false">IFERROR(COUNTIFS('2. Raw Votes by Country'!B:B,$A36,'2. Raw Votes by Country'!D:D,"ESP"),0)</f>
        <v>0</v>
      </c>
      <c r="P36" s="7" t="n">
        <f aca="false">IFERROR(COUNTIFS('2. Raw Votes by Country'!B:B,$A36,'2. Raw Votes by Country'!D:D,"IND"),0)</f>
        <v>0</v>
      </c>
      <c r="Q36" s="7" t="n">
        <f aca="false">IFERROR(COUNTIFS('2. Raw Votes by Country'!B:B,$A36,'2. Raw Votes by Country'!D:D,"BRA"),0)</f>
        <v>0</v>
      </c>
      <c r="R36" s="7" t="n">
        <f aca="false">IFERROR(COUNTIFS('2. Raw Votes by Country'!B:B,$A36,'2. Raw Votes by Country'!D:D,"SGP"),0)</f>
        <v>0</v>
      </c>
      <c r="S36" s="7" t="n">
        <f aca="false">IFERROR(COUNTIFS('2. Raw Votes by Country'!B:B,$A36,'2. Raw Votes by Country'!D:D,"HKG"),0)</f>
        <v>0</v>
      </c>
      <c r="T36" s="7" t="n">
        <f aca="false">IFERROR(COUNTIFS('2. Raw Votes by Country'!B:B,$A36,'2. Raw Votes by Country'!D:D,"ZAF"),0)</f>
        <v>0</v>
      </c>
      <c r="U36" s="7" t="n">
        <f aca="false">IFERROR(COUNTIFS('2. Raw Votes by Country'!B:B,$A36,'2. Raw Votes by Country'!D:D,"RUS"),0)</f>
        <v>0</v>
      </c>
      <c r="V36" s="30" t="n">
        <f aca="false">SUM(B36:U36)</f>
        <v>0</v>
      </c>
      <c r="W36" s="30" t="n">
        <f aca="false">COUNTIF(B36:U36,"&gt;0")</f>
        <v>0</v>
      </c>
      <c r="X36" s="31" t="n">
        <f aca="false">IFERROR(MAX(B36:U36)/V36*100,0)</f>
        <v>0</v>
      </c>
    </row>
    <row r="37" customFormat="false" ht="15" hidden="false" customHeight="false" outlineLevel="0" collapsed="false">
      <c r="A37" s="17"/>
      <c r="B37" s="4" t="n">
        <f aca="false">IFERROR(COUNTIFS('2. Raw Votes by Country'!B:B,$A37,'2. Raw Votes by Country'!D:D,"USA"),0)</f>
        <v>0</v>
      </c>
      <c r="C37" s="4" t="n">
        <f aca="false">IFERROR(COUNTIFS('2. Raw Votes by Country'!B:B,$A37,'2. Raw Votes by Country'!D:D,"GBR"),0)</f>
        <v>0</v>
      </c>
      <c r="D37" s="4" t="n">
        <f aca="false">IFERROR(COUNTIFS('2. Raw Votes by Country'!B:B,$A37,'2. Raw Votes by Country'!D:D,"CHN"),0)</f>
        <v>0</v>
      </c>
      <c r="E37" s="4" t="n">
        <f aca="false">IFERROR(COUNTIFS('2. Raw Votes by Country'!B:B,$A37,'2. Raw Votes by Country'!D:D,"DEU"),0)</f>
        <v>0</v>
      </c>
      <c r="F37" s="4" t="n">
        <f aca="false">IFERROR(COUNTIFS('2. Raw Votes by Country'!B:B,$A37,'2. Raw Votes by Country'!D:D,"JPN"),0)</f>
        <v>0</v>
      </c>
      <c r="G37" s="4" t="n">
        <f aca="false">IFERROR(COUNTIFS('2. Raw Votes by Country'!B:B,$A37,'2. Raw Votes by Country'!D:D,"AUS"),0)</f>
        <v>0</v>
      </c>
      <c r="H37" s="4" t="n">
        <f aca="false">IFERROR(COUNTIFS('2. Raw Votes by Country'!B:B,$A37,'2. Raw Votes by Country'!D:D,"FRA"),0)</f>
        <v>0</v>
      </c>
      <c r="I37" s="4" t="n">
        <f aca="false">IFERROR(COUNTIFS('2. Raw Votes by Country'!B:B,$A37,'2. Raw Votes by Country'!D:D,"NLD"),0)</f>
        <v>0</v>
      </c>
      <c r="J37" s="4" t="n">
        <f aca="false">IFERROR(COUNTIFS('2. Raw Votes by Country'!B:B,$A37,'2. Raw Votes by Country'!D:D,"CAN"),0)</f>
        <v>0</v>
      </c>
      <c r="K37" s="4" t="n">
        <f aca="false">IFERROR(COUNTIFS('2. Raw Votes by Country'!B:B,$A37,'2. Raw Votes by Country'!D:D,"KOR"),0)</f>
        <v>0</v>
      </c>
      <c r="L37" s="4" t="n">
        <f aca="false">IFERROR(COUNTIFS('2. Raw Votes by Country'!B:B,$A37,'2. Raw Votes by Country'!D:D,"CHE"),0)</f>
        <v>0</v>
      </c>
      <c r="M37" s="4" t="n">
        <f aca="false">IFERROR(COUNTIFS('2. Raw Votes by Country'!B:B,$A37,'2. Raw Votes by Country'!D:D,"SWE"),0)</f>
        <v>0</v>
      </c>
      <c r="N37" s="4" t="n">
        <f aca="false">IFERROR(COUNTIFS('2. Raw Votes by Country'!B:B,$A37,'2. Raw Votes by Country'!D:D,"ITA"),0)</f>
        <v>0</v>
      </c>
      <c r="O37" s="4" t="n">
        <f aca="false">IFERROR(COUNTIFS('2. Raw Votes by Country'!B:B,$A37,'2. Raw Votes by Country'!D:D,"ESP"),0)</f>
        <v>0</v>
      </c>
      <c r="P37" s="4" t="n">
        <f aca="false">IFERROR(COUNTIFS('2. Raw Votes by Country'!B:B,$A37,'2. Raw Votes by Country'!D:D,"IND"),0)</f>
        <v>0</v>
      </c>
      <c r="Q37" s="4" t="n">
        <f aca="false">IFERROR(COUNTIFS('2. Raw Votes by Country'!B:B,$A37,'2. Raw Votes by Country'!D:D,"BRA"),0)</f>
        <v>0</v>
      </c>
      <c r="R37" s="4" t="n">
        <f aca="false">IFERROR(COUNTIFS('2. Raw Votes by Country'!B:B,$A37,'2. Raw Votes by Country'!D:D,"SGP"),0)</f>
        <v>0</v>
      </c>
      <c r="S37" s="4" t="n">
        <f aca="false">IFERROR(COUNTIFS('2. Raw Votes by Country'!B:B,$A37,'2. Raw Votes by Country'!D:D,"HKG"),0)</f>
        <v>0</v>
      </c>
      <c r="T37" s="4" t="n">
        <f aca="false">IFERROR(COUNTIFS('2. Raw Votes by Country'!B:B,$A37,'2. Raw Votes by Country'!D:D,"ZAF"),0)</f>
        <v>0</v>
      </c>
      <c r="U37" s="4" t="n">
        <f aca="false">IFERROR(COUNTIFS('2. Raw Votes by Country'!B:B,$A37,'2. Raw Votes by Country'!D:D,"RUS"),0)</f>
        <v>0</v>
      </c>
      <c r="V37" s="28" t="n">
        <f aca="false">SUM(B37:U37)</f>
        <v>0</v>
      </c>
      <c r="W37" s="28" t="n">
        <f aca="false">COUNTIF(B37:U37,"&gt;0")</f>
        <v>0</v>
      </c>
      <c r="X37" s="29" t="n">
        <f aca="false">IFERROR(MAX(B37:U37)/V37*100,0)</f>
        <v>0</v>
      </c>
    </row>
    <row r="38" customFormat="false" ht="15" hidden="false" customHeight="false" outlineLevel="0" collapsed="false">
      <c r="A38" s="24"/>
      <c r="B38" s="7" t="n">
        <f aca="false">IFERROR(COUNTIFS('2. Raw Votes by Country'!B:B,$A38,'2. Raw Votes by Country'!D:D,"USA"),0)</f>
        <v>0</v>
      </c>
      <c r="C38" s="7" t="n">
        <f aca="false">IFERROR(COUNTIFS('2. Raw Votes by Country'!B:B,$A38,'2. Raw Votes by Country'!D:D,"GBR"),0)</f>
        <v>0</v>
      </c>
      <c r="D38" s="7" t="n">
        <f aca="false">IFERROR(COUNTIFS('2. Raw Votes by Country'!B:B,$A38,'2. Raw Votes by Country'!D:D,"CHN"),0)</f>
        <v>0</v>
      </c>
      <c r="E38" s="7" t="n">
        <f aca="false">IFERROR(COUNTIFS('2. Raw Votes by Country'!B:B,$A38,'2. Raw Votes by Country'!D:D,"DEU"),0)</f>
        <v>0</v>
      </c>
      <c r="F38" s="7" t="n">
        <f aca="false">IFERROR(COUNTIFS('2. Raw Votes by Country'!B:B,$A38,'2. Raw Votes by Country'!D:D,"JPN"),0)</f>
        <v>0</v>
      </c>
      <c r="G38" s="7" t="n">
        <f aca="false">IFERROR(COUNTIFS('2. Raw Votes by Country'!B:B,$A38,'2. Raw Votes by Country'!D:D,"AUS"),0)</f>
        <v>0</v>
      </c>
      <c r="H38" s="7" t="n">
        <f aca="false">IFERROR(COUNTIFS('2. Raw Votes by Country'!B:B,$A38,'2. Raw Votes by Country'!D:D,"FRA"),0)</f>
        <v>0</v>
      </c>
      <c r="I38" s="7" t="n">
        <f aca="false">IFERROR(COUNTIFS('2. Raw Votes by Country'!B:B,$A38,'2. Raw Votes by Country'!D:D,"NLD"),0)</f>
        <v>0</v>
      </c>
      <c r="J38" s="7" t="n">
        <f aca="false">IFERROR(COUNTIFS('2. Raw Votes by Country'!B:B,$A38,'2. Raw Votes by Country'!D:D,"CAN"),0)</f>
        <v>0</v>
      </c>
      <c r="K38" s="7" t="n">
        <f aca="false">IFERROR(COUNTIFS('2. Raw Votes by Country'!B:B,$A38,'2. Raw Votes by Country'!D:D,"KOR"),0)</f>
        <v>0</v>
      </c>
      <c r="L38" s="7" t="n">
        <f aca="false">IFERROR(COUNTIFS('2. Raw Votes by Country'!B:B,$A38,'2. Raw Votes by Country'!D:D,"CHE"),0)</f>
        <v>0</v>
      </c>
      <c r="M38" s="7" t="n">
        <f aca="false">IFERROR(COUNTIFS('2. Raw Votes by Country'!B:B,$A38,'2. Raw Votes by Country'!D:D,"SWE"),0)</f>
        <v>0</v>
      </c>
      <c r="N38" s="7" t="n">
        <f aca="false">IFERROR(COUNTIFS('2. Raw Votes by Country'!B:B,$A38,'2. Raw Votes by Country'!D:D,"ITA"),0)</f>
        <v>0</v>
      </c>
      <c r="O38" s="7" t="n">
        <f aca="false">IFERROR(COUNTIFS('2. Raw Votes by Country'!B:B,$A38,'2. Raw Votes by Country'!D:D,"ESP"),0)</f>
        <v>0</v>
      </c>
      <c r="P38" s="7" t="n">
        <f aca="false">IFERROR(COUNTIFS('2. Raw Votes by Country'!B:B,$A38,'2. Raw Votes by Country'!D:D,"IND"),0)</f>
        <v>0</v>
      </c>
      <c r="Q38" s="7" t="n">
        <f aca="false">IFERROR(COUNTIFS('2. Raw Votes by Country'!B:B,$A38,'2. Raw Votes by Country'!D:D,"BRA"),0)</f>
        <v>0</v>
      </c>
      <c r="R38" s="7" t="n">
        <f aca="false">IFERROR(COUNTIFS('2. Raw Votes by Country'!B:B,$A38,'2. Raw Votes by Country'!D:D,"SGP"),0)</f>
        <v>0</v>
      </c>
      <c r="S38" s="7" t="n">
        <f aca="false">IFERROR(COUNTIFS('2. Raw Votes by Country'!B:B,$A38,'2. Raw Votes by Country'!D:D,"HKG"),0)</f>
        <v>0</v>
      </c>
      <c r="T38" s="7" t="n">
        <f aca="false">IFERROR(COUNTIFS('2. Raw Votes by Country'!B:B,$A38,'2. Raw Votes by Country'!D:D,"ZAF"),0)</f>
        <v>0</v>
      </c>
      <c r="U38" s="7" t="n">
        <f aca="false">IFERROR(COUNTIFS('2. Raw Votes by Country'!B:B,$A38,'2. Raw Votes by Country'!D:D,"RUS"),0)</f>
        <v>0</v>
      </c>
      <c r="V38" s="30" t="n">
        <f aca="false">SUM(B38:U38)</f>
        <v>0</v>
      </c>
      <c r="W38" s="30" t="n">
        <f aca="false">COUNTIF(B38:U38,"&gt;0")</f>
        <v>0</v>
      </c>
      <c r="X38" s="31" t="n">
        <f aca="false">IFERROR(MAX(B38:U38)/V38*100,0)</f>
        <v>0</v>
      </c>
    </row>
    <row r="39" customFormat="false" ht="15" hidden="false" customHeight="false" outlineLevel="0" collapsed="false">
      <c r="A39" s="17"/>
      <c r="B39" s="4" t="n">
        <f aca="false">IFERROR(COUNTIFS('2. Raw Votes by Country'!B:B,$A39,'2. Raw Votes by Country'!D:D,"USA"),0)</f>
        <v>0</v>
      </c>
      <c r="C39" s="4" t="n">
        <f aca="false">IFERROR(COUNTIFS('2. Raw Votes by Country'!B:B,$A39,'2. Raw Votes by Country'!D:D,"GBR"),0)</f>
        <v>0</v>
      </c>
      <c r="D39" s="4" t="n">
        <f aca="false">IFERROR(COUNTIFS('2. Raw Votes by Country'!B:B,$A39,'2. Raw Votes by Country'!D:D,"CHN"),0)</f>
        <v>0</v>
      </c>
      <c r="E39" s="4" t="n">
        <f aca="false">IFERROR(COUNTIFS('2. Raw Votes by Country'!B:B,$A39,'2. Raw Votes by Country'!D:D,"DEU"),0)</f>
        <v>0</v>
      </c>
      <c r="F39" s="4" t="n">
        <f aca="false">IFERROR(COUNTIFS('2. Raw Votes by Country'!B:B,$A39,'2. Raw Votes by Country'!D:D,"JPN"),0)</f>
        <v>0</v>
      </c>
      <c r="G39" s="4" t="n">
        <f aca="false">IFERROR(COUNTIFS('2. Raw Votes by Country'!B:B,$A39,'2. Raw Votes by Country'!D:D,"AUS"),0)</f>
        <v>0</v>
      </c>
      <c r="H39" s="4" t="n">
        <f aca="false">IFERROR(COUNTIFS('2. Raw Votes by Country'!B:B,$A39,'2. Raw Votes by Country'!D:D,"FRA"),0)</f>
        <v>0</v>
      </c>
      <c r="I39" s="4" t="n">
        <f aca="false">IFERROR(COUNTIFS('2. Raw Votes by Country'!B:B,$A39,'2. Raw Votes by Country'!D:D,"NLD"),0)</f>
        <v>0</v>
      </c>
      <c r="J39" s="4" t="n">
        <f aca="false">IFERROR(COUNTIFS('2. Raw Votes by Country'!B:B,$A39,'2. Raw Votes by Country'!D:D,"CAN"),0)</f>
        <v>0</v>
      </c>
      <c r="K39" s="4" t="n">
        <f aca="false">IFERROR(COUNTIFS('2. Raw Votes by Country'!B:B,$A39,'2. Raw Votes by Country'!D:D,"KOR"),0)</f>
        <v>0</v>
      </c>
      <c r="L39" s="4" t="n">
        <f aca="false">IFERROR(COUNTIFS('2. Raw Votes by Country'!B:B,$A39,'2. Raw Votes by Country'!D:D,"CHE"),0)</f>
        <v>0</v>
      </c>
      <c r="M39" s="4" t="n">
        <f aca="false">IFERROR(COUNTIFS('2. Raw Votes by Country'!B:B,$A39,'2. Raw Votes by Country'!D:D,"SWE"),0)</f>
        <v>0</v>
      </c>
      <c r="N39" s="4" t="n">
        <f aca="false">IFERROR(COUNTIFS('2. Raw Votes by Country'!B:B,$A39,'2. Raw Votes by Country'!D:D,"ITA"),0)</f>
        <v>0</v>
      </c>
      <c r="O39" s="4" t="n">
        <f aca="false">IFERROR(COUNTIFS('2. Raw Votes by Country'!B:B,$A39,'2. Raw Votes by Country'!D:D,"ESP"),0)</f>
        <v>0</v>
      </c>
      <c r="P39" s="4" t="n">
        <f aca="false">IFERROR(COUNTIFS('2. Raw Votes by Country'!B:B,$A39,'2. Raw Votes by Country'!D:D,"IND"),0)</f>
        <v>0</v>
      </c>
      <c r="Q39" s="4" t="n">
        <f aca="false">IFERROR(COUNTIFS('2. Raw Votes by Country'!B:B,$A39,'2. Raw Votes by Country'!D:D,"BRA"),0)</f>
        <v>0</v>
      </c>
      <c r="R39" s="4" t="n">
        <f aca="false">IFERROR(COUNTIFS('2. Raw Votes by Country'!B:B,$A39,'2. Raw Votes by Country'!D:D,"SGP"),0)</f>
        <v>0</v>
      </c>
      <c r="S39" s="4" t="n">
        <f aca="false">IFERROR(COUNTIFS('2. Raw Votes by Country'!B:B,$A39,'2. Raw Votes by Country'!D:D,"HKG"),0)</f>
        <v>0</v>
      </c>
      <c r="T39" s="4" t="n">
        <f aca="false">IFERROR(COUNTIFS('2. Raw Votes by Country'!B:B,$A39,'2. Raw Votes by Country'!D:D,"ZAF"),0)</f>
        <v>0</v>
      </c>
      <c r="U39" s="4" t="n">
        <f aca="false">IFERROR(COUNTIFS('2. Raw Votes by Country'!B:B,$A39,'2. Raw Votes by Country'!D:D,"RUS"),0)</f>
        <v>0</v>
      </c>
      <c r="V39" s="28" t="n">
        <f aca="false">SUM(B39:U39)</f>
        <v>0</v>
      </c>
      <c r="W39" s="28" t="n">
        <f aca="false">COUNTIF(B39:U39,"&gt;0")</f>
        <v>0</v>
      </c>
      <c r="X39" s="29" t="n">
        <f aca="false">IFERROR(MAX(B39:U39)/V39*100,0)</f>
        <v>0</v>
      </c>
    </row>
    <row r="40" customFormat="false" ht="15" hidden="false" customHeight="false" outlineLevel="0" collapsed="false">
      <c r="A40" s="24"/>
      <c r="B40" s="7" t="n">
        <f aca="false">IFERROR(COUNTIFS('2. Raw Votes by Country'!B:B,$A40,'2. Raw Votes by Country'!D:D,"USA"),0)</f>
        <v>0</v>
      </c>
      <c r="C40" s="7" t="n">
        <f aca="false">IFERROR(COUNTIFS('2. Raw Votes by Country'!B:B,$A40,'2. Raw Votes by Country'!D:D,"GBR"),0)</f>
        <v>0</v>
      </c>
      <c r="D40" s="7" t="n">
        <f aca="false">IFERROR(COUNTIFS('2. Raw Votes by Country'!B:B,$A40,'2. Raw Votes by Country'!D:D,"CHN"),0)</f>
        <v>0</v>
      </c>
      <c r="E40" s="7" t="n">
        <f aca="false">IFERROR(COUNTIFS('2. Raw Votes by Country'!B:B,$A40,'2. Raw Votes by Country'!D:D,"DEU"),0)</f>
        <v>0</v>
      </c>
      <c r="F40" s="7" t="n">
        <f aca="false">IFERROR(COUNTIFS('2. Raw Votes by Country'!B:B,$A40,'2. Raw Votes by Country'!D:D,"JPN"),0)</f>
        <v>0</v>
      </c>
      <c r="G40" s="7" t="n">
        <f aca="false">IFERROR(COUNTIFS('2. Raw Votes by Country'!B:B,$A40,'2. Raw Votes by Country'!D:D,"AUS"),0)</f>
        <v>0</v>
      </c>
      <c r="H40" s="7" t="n">
        <f aca="false">IFERROR(COUNTIFS('2. Raw Votes by Country'!B:B,$A40,'2. Raw Votes by Country'!D:D,"FRA"),0)</f>
        <v>0</v>
      </c>
      <c r="I40" s="7" t="n">
        <f aca="false">IFERROR(COUNTIFS('2. Raw Votes by Country'!B:B,$A40,'2. Raw Votes by Country'!D:D,"NLD"),0)</f>
        <v>0</v>
      </c>
      <c r="J40" s="7" t="n">
        <f aca="false">IFERROR(COUNTIFS('2. Raw Votes by Country'!B:B,$A40,'2. Raw Votes by Country'!D:D,"CAN"),0)</f>
        <v>0</v>
      </c>
      <c r="K40" s="7" t="n">
        <f aca="false">IFERROR(COUNTIFS('2. Raw Votes by Country'!B:B,$A40,'2. Raw Votes by Country'!D:D,"KOR"),0)</f>
        <v>0</v>
      </c>
      <c r="L40" s="7" t="n">
        <f aca="false">IFERROR(COUNTIFS('2. Raw Votes by Country'!B:B,$A40,'2. Raw Votes by Country'!D:D,"CHE"),0)</f>
        <v>0</v>
      </c>
      <c r="M40" s="7" t="n">
        <f aca="false">IFERROR(COUNTIFS('2. Raw Votes by Country'!B:B,$A40,'2. Raw Votes by Country'!D:D,"SWE"),0)</f>
        <v>0</v>
      </c>
      <c r="N40" s="7" t="n">
        <f aca="false">IFERROR(COUNTIFS('2. Raw Votes by Country'!B:B,$A40,'2. Raw Votes by Country'!D:D,"ITA"),0)</f>
        <v>0</v>
      </c>
      <c r="O40" s="7" t="n">
        <f aca="false">IFERROR(COUNTIFS('2. Raw Votes by Country'!B:B,$A40,'2. Raw Votes by Country'!D:D,"ESP"),0)</f>
        <v>0</v>
      </c>
      <c r="P40" s="7" t="n">
        <f aca="false">IFERROR(COUNTIFS('2. Raw Votes by Country'!B:B,$A40,'2. Raw Votes by Country'!D:D,"IND"),0)</f>
        <v>0</v>
      </c>
      <c r="Q40" s="7" t="n">
        <f aca="false">IFERROR(COUNTIFS('2. Raw Votes by Country'!B:B,$A40,'2. Raw Votes by Country'!D:D,"BRA"),0)</f>
        <v>0</v>
      </c>
      <c r="R40" s="7" t="n">
        <f aca="false">IFERROR(COUNTIFS('2. Raw Votes by Country'!B:B,$A40,'2. Raw Votes by Country'!D:D,"SGP"),0)</f>
        <v>0</v>
      </c>
      <c r="S40" s="7" t="n">
        <f aca="false">IFERROR(COUNTIFS('2. Raw Votes by Country'!B:B,$A40,'2. Raw Votes by Country'!D:D,"HKG"),0)</f>
        <v>0</v>
      </c>
      <c r="T40" s="7" t="n">
        <f aca="false">IFERROR(COUNTIFS('2. Raw Votes by Country'!B:B,$A40,'2. Raw Votes by Country'!D:D,"ZAF"),0)</f>
        <v>0</v>
      </c>
      <c r="U40" s="7" t="n">
        <f aca="false">IFERROR(COUNTIFS('2. Raw Votes by Country'!B:B,$A40,'2. Raw Votes by Country'!D:D,"RUS"),0)</f>
        <v>0</v>
      </c>
      <c r="V40" s="30" t="n">
        <f aca="false">SUM(B40:U40)</f>
        <v>0</v>
      </c>
      <c r="W40" s="30" t="n">
        <f aca="false">COUNTIF(B40:U40,"&gt;0")</f>
        <v>0</v>
      </c>
      <c r="X40" s="31" t="n">
        <f aca="false">IFERROR(MAX(B40:U40)/V40*100,0)</f>
        <v>0</v>
      </c>
    </row>
    <row r="41" customFormat="false" ht="15" hidden="false" customHeight="false" outlineLevel="0" collapsed="false">
      <c r="A41" s="17"/>
      <c r="B41" s="4" t="n">
        <f aca="false">IFERROR(COUNTIFS('2. Raw Votes by Country'!B:B,$A41,'2. Raw Votes by Country'!D:D,"USA"),0)</f>
        <v>0</v>
      </c>
      <c r="C41" s="4" t="n">
        <f aca="false">IFERROR(COUNTIFS('2. Raw Votes by Country'!B:B,$A41,'2. Raw Votes by Country'!D:D,"GBR"),0)</f>
        <v>0</v>
      </c>
      <c r="D41" s="4" t="n">
        <f aca="false">IFERROR(COUNTIFS('2. Raw Votes by Country'!B:B,$A41,'2. Raw Votes by Country'!D:D,"CHN"),0)</f>
        <v>0</v>
      </c>
      <c r="E41" s="4" t="n">
        <f aca="false">IFERROR(COUNTIFS('2. Raw Votes by Country'!B:B,$A41,'2. Raw Votes by Country'!D:D,"DEU"),0)</f>
        <v>0</v>
      </c>
      <c r="F41" s="4" t="n">
        <f aca="false">IFERROR(COUNTIFS('2. Raw Votes by Country'!B:B,$A41,'2. Raw Votes by Country'!D:D,"JPN"),0)</f>
        <v>0</v>
      </c>
      <c r="G41" s="4" t="n">
        <f aca="false">IFERROR(COUNTIFS('2. Raw Votes by Country'!B:B,$A41,'2. Raw Votes by Country'!D:D,"AUS"),0)</f>
        <v>0</v>
      </c>
      <c r="H41" s="4" t="n">
        <f aca="false">IFERROR(COUNTIFS('2. Raw Votes by Country'!B:B,$A41,'2. Raw Votes by Country'!D:D,"FRA"),0)</f>
        <v>0</v>
      </c>
      <c r="I41" s="4" t="n">
        <f aca="false">IFERROR(COUNTIFS('2. Raw Votes by Country'!B:B,$A41,'2. Raw Votes by Country'!D:D,"NLD"),0)</f>
        <v>0</v>
      </c>
      <c r="J41" s="4" t="n">
        <f aca="false">IFERROR(COUNTIFS('2. Raw Votes by Country'!B:B,$A41,'2. Raw Votes by Country'!D:D,"CAN"),0)</f>
        <v>0</v>
      </c>
      <c r="K41" s="4" t="n">
        <f aca="false">IFERROR(COUNTIFS('2. Raw Votes by Country'!B:B,$A41,'2. Raw Votes by Country'!D:D,"KOR"),0)</f>
        <v>0</v>
      </c>
      <c r="L41" s="4" t="n">
        <f aca="false">IFERROR(COUNTIFS('2. Raw Votes by Country'!B:B,$A41,'2. Raw Votes by Country'!D:D,"CHE"),0)</f>
        <v>0</v>
      </c>
      <c r="M41" s="4" t="n">
        <f aca="false">IFERROR(COUNTIFS('2. Raw Votes by Country'!B:B,$A41,'2. Raw Votes by Country'!D:D,"SWE"),0)</f>
        <v>0</v>
      </c>
      <c r="N41" s="4" t="n">
        <f aca="false">IFERROR(COUNTIFS('2. Raw Votes by Country'!B:B,$A41,'2. Raw Votes by Country'!D:D,"ITA"),0)</f>
        <v>0</v>
      </c>
      <c r="O41" s="4" t="n">
        <f aca="false">IFERROR(COUNTIFS('2. Raw Votes by Country'!B:B,$A41,'2. Raw Votes by Country'!D:D,"ESP"),0)</f>
        <v>0</v>
      </c>
      <c r="P41" s="4" t="n">
        <f aca="false">IFERROR(COUNTIFS('2. Raw Votes by Country'!B:B,$A41,'2. Raw Votes by Country'!D:D,"IND"),0)</f>
        <v>0</v>
      </c>
      <c r="Q41" s="4" t="n">
        <f aca="false">IFERROR(COUNTIFS('2. Raw Votes by Country'!B:B,$A41,'2. Raw Votes by Country'!D:D,"BRA"),0)</f>
        <v>0</v>
      </c>
      <c r="R41" s="4" t="n">
        <f aca="false">IFERROR(COUNTIFS('2. Raw Votes by Country'!B:B,$A41,'2. Raw Votes by Country'!D:D,"SGP"),0)</f>
        <v>0</v>
      </c>
      <c r="S41" s="4" t="n">
        <f aca="false">IFERROR(COUNTIFS('2. Raw Votes by Country'!B:B,$A41,'2. Raw Votes by Country'!D:D,"HKG"),0)</f>
        <v>0</v>
      </c>
      <c r="T41" s="4" t="n">
        <f aca="false">IFERROR(COUNTIFS('2. Raw Votes by Country'!B:B,$A41,'2. Raw Votes by Country'!D:D,"ZAF"),0)</f>
        <v>0</v>
      </c>
      <c r="U41" s="4" t="n">
        <f aca="false">IFERROR(COUNTIFS('2. Raw Votes by Country'!B:B,$A41,'2. Raw Votes by Country'!D:D,"RUS"),0)</f>
        <v>0</v>
      </c>
      <c r="V41" s="28" t="n">
        <f aca="false">SUM(B41:U41)</f>
        <v>0</v>
      </c>
      <c r="W41" s="28" t="n">
        <f aca="false">COUNTIF(B41:U41,"&gt;0")</f>
        <v>0</v>
      </c>
      <c r="X41" s="29" t="n">
        <f aca="false">IFERROR(MAX(B41:U41)/V41*100,0)</f>
        <v>0</v>
      </c>
    </row>
    <row r="42" customFormat="false" ht="15" hidden="false" customHeight="false" outlineLevel="0" collapsed="false">
      <c r="A42" s="24"/>
      <c r="B42" s="7" t="n">
        <f aca="false">IFERROR(COUNTIFS('2. Raw Votes by Country'!B:B,$A42,'2. Raw Votes by Country'!D:D,"USA"),0)</f>
        <v>0</v>
      </c>
      <c r="C42" s="7" t="n">
        <f aca="false">IFERROR(COUNTIFS('2. Raw Votes by Country'!B:B,$A42,'2. Raw Votes by Country'!D:D,"GBR"),0)</f>
        <v>0</v>
      </c>
      <c r="D42" s="7" t="n">
        <f aca="false">IFERROR(COUNTIFS('2. Raw Votes by Country'!B:B,$A42,'2. Raw Votes by Country'!D:D,"CHN"),0)</f>
        <v>0</v>
      </c>
      <c r="E42" s="7" t="n">
        <f aca="false">IFERROR(COUNTIFS('2. Raw Votes by Country'!B:B,$A42,'2. Raw Votes by Country'!D:D,"DEU"),0)</f>
        <v>0</v>
      </c>
      <c r="F42" s="7" t="n">
        <f aca="false">IFERROR(COUNTIFS('2. Raw Votes by Country'!B:B,$A42,'2. Raw Votes by Country'!D:D,"JPN"),0)</f>
        <v>0</v>
      </c>
      <c r="G42" s="7" t="n">
        <f aca="false">IFERROR(COUNTIFS('2. Raw Votes by Country'!B:B,$A42,'2. Raw Votes by Country'!D:D,"AUS"),0)</f>
        <v>0</v>
      </c>
      <c r="H42" s="7" t="n">
        <f aca="false">IFERROR(COUNTIFS('2. Raw Votes by Country'!B:B,$A42,'2. Raw Votes by Country'!D:D,"FRA"),0)</f>
        <v>0</v>
      </c>
      <c r="I42" s="7" t="n">
        <f aca="false">IFERROR(COUNTIFS('2. Raw Votes by Country'!B:B,$A42,'2. Raw Votes by Country'!D:D,"NLD"),0)</f>
        <v>0</v>
      </c>
      <c r="J42" s="7" t="n">
        <f aca="false">IFERROR(COUNTIFS('2. Raw Votes by Country'!B:B,$A42,'2. Raw Votes by Country'!D:D,"CAN"),0)</f>
        <v>0</v>
      </c>
      <c r="K42" s="7" t="n">
        <f aca="false">IFERROR(COUNTIFS('2. Raw Votes by Country'!B:B,$A42,'2. Raw Votes by Country'!D:D,"KOR"),0)</f>
        <v>0</v>
      </c>
      <c r="L42" s="7" t="n">
        <f aca="false">IFERROR(COUNTIFS('2. Raw Votes by Country'!B:B,$A42,'2. Raw Votes by Country'!D:D,"CHE"),0)</f>
        <v>0</v>
      </c>
      <c r="M42" s="7" t="n">
        <f aca="false">IFERROR(COUNTIFS('2. Raw Votes by Country'!B:B,$A42,'2. Raw Votes by Country'!D:D,"SWE"),0)</f>
        <v>0</v>
      </c>
      <c r="N42" s="7" t="n">
        <f aca="false">IFERROR(COUNTIFS('2. Raw Votes by Country'!B:B,$A42,'2. Raw Votes by Country'!D:D,"ITA"),0)</f>
        <v>0</v>
      </c>
      <c r="O42" s="7" t="n">
        <f aca="false">IFERROR(COUNTIFS('2. Raw Votes by Country'!B:B,$A42,'2. Raw Votes by Country'!D:D,"ESP"),0)</f>
        <v>0</v>
      </c>
      <c r="P42" s="7" t="n">
        <f aca="false">IFERROR(COUNTIFS('2. Raw Votes by Country'!B:B,$A42,'2. Raw Votes by Country'!D:D,"IND"),0)</f>
        <v>0</v>
      </c>
      <c r="Q42" s="7" t="n">
        <f aca="false">IFERROR(COUNTIFS('2. Raw Votes by Country'!B:B,$A42,'2. Raw Votes by Country'!D:D,"BRA"),0)</f>
        <v>0</v>
      </c>
      <c r="R42" s="7" t="n">
        <f aca="false">IFERROR(COUNTIFS('2. Raw Votes by Country'!B:B,$A42,'2. Raw Votes by Country'!D:D,"SGP"),0)</f>
        <v>0</v>
      </c>
      <c r="S42" s="7" t="n">
        <f aca="false">IFERROR(COUNTIFS('2. Raw Votes by Country'!B:B,$A42,'2. Raw Votes by Country'!D:D,"HKG"),0)</f>
        <v>0</v>
      </c>
      <c r="T42" s="7" t="n">
        <f aca="false">IFERROR(COUNTIFS('2. Raw Votes by Country'!B:B,$A42,'2. Raw Votes by Country'!D:D,"ZAF"),0)</f>
        <v>0</v>
      </c>
      <c r="U42" s="7" t="n">
        <f aca="false">IFERROR(COUNTIFS('2. Raw Votes by Country'!B:B,$A42,'2. Raw Votes by Country'!D:D,"RUS"),0)</f>
        <v>0</v>
      </c>
      <c r="V42" s="30" t="n">
        <f aca="false">SUM(B42:U42)</f>
        <v>0</v>
      </c>
      <c r="W42" s="30" t="n">
        <f aca="false">COUNTIF(B42:U42,"&gt;0")</f>
        <v>0</v>
      </c>
      <c r="X42" s="31" t="n">
        <f aca="false">IFERROR(MAX(B42:U42)/V42*100,0)</f>
        <v>0</v>
      </c>
    </row>
    <row r="43" customFormat="false" ht="15" hidden="false" customHeight="false" outlineLevel="0" collapsed="false">
      <c r="A43" s="17"/>
      <c r="B43" s="4" t="n">
        <f aca="false">IFERROR(COUNTIFS('2. Raw Votes by Country'!B:B,$A43,'2. Raw Votes by Country'!D:D,"USA"),0)</f>
        <v>0</v>
      </c>
      <c r="C43" s="4" t="n">
        <f aca="false">IFERROR(COUNTIFS('2. Raw Votes by Country'!B:B,$A43,'2. Raw Votes by Country'!D:D,"GBR"),0)</f>
        <v>0</v>
      </c>
      <c r="D43" s="4" t="n">
        <f aca="false">IFERROR(COUNTIFS('2. Raw Votes by Country'!B:B,$A43,'2. Raw Votes by Country'!D:D,"CHN"),0)</f>
        <v>0</v>
      </c>
      <c r="E43" s="4" t="n">
        <f aca="false">IFERROR(COUNTIFS('2. Raw Votes by Country'!B:B,$A43,'2. Raw Votes by Country'!D:D,"DEU"),0)</f>
        <v>0</v>
      </c>
      <c r="F43" s="4" t="n">
        <f aca="false">IFERROR(COUNTIFS('2. Raw Votes by Country'!B:B,$A43,'2. Raw Votes by Country'!D:D,"JPN"),0)</f>
        <v>0</v>
      </c>
      <c r="G43" s="4" t="n">
        <f aca="false">IFERROR(COUNTIFS('2. Raw Votes by Country'!B:B,$A43,'2. Raw Votes by Country'!D:D,"AUS"),0)</f>
        <v>0</v>
      </c>
      <c r="H43" s="4" t="n">
        <f aca="false">IFERROR(COUNTIFS('2. Raw Votes by Country'!B:B,$A43,'2. Raw Votes by Country'!D:D,"FRA"),0)</f>
        <v>0</v>
      </c>
      <c r="I43" s="4" t="n">
        <f aca="false">IFERROR(COUNTIFS('2. Raw Votes by Country'!B:B,$A43,'2. Raw Votes by Country'!D:D,"NLD"),0)</f>
        <v>0</v>
      </c>
      <c r="J43" s="4" t="n">
        <f aca="false">IFERROR(COUNTIFS('2. Raw Votes by Country'!B:B,$A43,'2. Raw Votes by Country'!D:D,"CAN"),0)</f>
        <v>0</v>
      </c>
      <c r="K43" s="4" t="n">
        <f aca="false">IFERROR(COUNTIFS('2. Raw Votes by Country'!B:B,$A43,'2. Raw Votes by Country'!D:D,"KOR"),0)</f>
        <v>0</v>
      </c>
      <c r="L43" s="4" t="n">
        <f aca="false">IFERROR(COUNTIFS('2. Raw Votes by Country'!B:B,$A43,'2. Raw Votes by Country'!D:D,"CHE"),0)</f>
        <v>0</v>
      </c>
      <c r="M43" s="4" t="n">
        <f aca="false">IFERROR(COUNTIFS('2. Raw Votes by Country'!B:B,$A43,'2. Raw Votes by Country'!D:D,"SWE"),0)</f>
        <v>0</v>
      </c>
      <c r="N43" s="4" t="n">
        <f aca="false">IFERROR(COUNTIFS('2. Raw Votes by Country'!B:B,$A43,'2. Raw Votes by Country'!D:D,"ITA"),0)</f>
        <v>0</v>
      </c>
      <c r="O43" s="4" t="n">
        <f aca="false">IFERROR(COUNTIFS('2. Raw Votes by Country'!B:B,$A43,'2. Raw Votes by Country'!D:D,"ESP"),0)</f>
        <v>0</v>
      </c>
      <c r="P43" s="4" t="n">
        <f aca="false">IFERROR(COUNTIFS('2. Raw Votes by Country'!B:B,$A43,'2. Raw Votes by Country'!D:D,"IND"),0)</f>
        <v>0</v>
      </c>
      <c r="Q43" s="4" t="n">
        <f aca="false">IFERROR(COUNTIFS('2. Raw Votes by Country'!B:B,$A43,'2. Raw Votes by Country'!D:D,"BRA"),0)</f>
        <v>0</v>
      </c>
      <c r="R43" s="4" t="n">
        <f aca="false">IFERROR(COUNTIFS('2. Raw Votes by Country'!B:B,$A43,'2. Raw Votes by Country'!D:D,"SGP"),0)</f>
        <v>0</v>
      </c>
      <c r="S43" s="4" t="n">
        <f aca="false">IFERROR(COUNTIFS('2. Raw Votes by Country'!B:B,$A43,'2. Raw Votes by Country'!D:D,"HKG"),0)</f>
        <v>0</v>
      </c>
      <c r="T43" s="4" t="n">
        <f aca="false">IFERROR(COUNTIFS('2. Raw Votes by Country'!B:B,$A43,'2. Raw Votes by Country'!D:D,"ZAF"),0)</f>
        <v>0</v>
      </c>
      <c r="U43" s="4" t="n">
        <f aca="false">IFERROR(COUNTIFS('2. Raw Votes by Country'!B:B,$A43,'2. Raw Votes by Country'!D:D,"RUS"),0)</f>
        <v>0</v>
      </c>
      <c r="V43" s="28" t="n">
        <f aca="false">SUM(B43:U43)</f>
        <v>0</v>
      </c>
      <c r="W43" s="28" t="n">
        <f aca="false">COUNTIF(B43:U43,"&gt;0")</f>
        <v>0</v>
      </c>
      <c r="X43" s="29" t="n">
        <f aca="false">IFERROR(MAX(B43:U43)/V43*100,0)</f>
        <v>0</v>
      </c>
    </row>
    <row r="44" customFormat="false" ht="15" hidden="false" customHeight="false" outlineLevel="0" collapsed="false">
      <c r="A44" s="24"/>
      <c r="B44" s="7" t="n">
        <f aca="false">IFERROR(COUNTIFS('2. Raw Votes by Country'!B:B,$A44,'2. Raw Votes by Country'!D:D,"USA"),0)</f>
        <v>0</v>
      </c>
      <c r="C44" s="7" t="n">
        <f aca="false">IFERROR(COUNTIFS('2. Raw Votes by Country'!B:B,$A44,'2. Raw Votes by Country'!D:D,"GBR"),0)</f>
        <v>0</v>
      </c>
      <c r="D44" s="7" t="n">
        <f aca="false">IFERROR(COUNTIFS('2. Raw Votes by Country'!B:B,$A44,'2. Raw Votes by Country'!D:D,"CHN"),0)</f>
        <v>0</v>
      </c>
      <c r="E44" s="7" t="n">
        <f aca="false">IFERROR(COUNTIFS('2. Raw Votes by Country'!B:B,$A44,'2. Raw Votes by Country'!D:D,"DEU"),0)</f>
        <v>0</v>
      </c>
      <c r="F44" s="7" t="n">
        <f aca="false">IFERROR(COUNTIFS('2. Raw Votes by Country'!B:B,$A44,'2. Raw Votes by Country'!D:D,"JPN"),0)</f>
        <v>0</v>
      </c>
      <c r="G44" s="7" t="n">
        <f aca="false">IFERROR(COUNTIFS('2. Raw Votes by Country'!B:B,$A44,'2. Raw Votes by Country'!D:D,"AUS"),0)</f>
        <v>0</v>
      </c>
      <c r="H44" s="7" t="n">
        <f aca="false">IFERROR(COUNTIFS('2. Raw Votes by Country'!B:B,$A44,'2. Raw Votes by Country'!D:D,"FRA"),0)</f>
        <v>0</v>
      </c>
      <c r="I44" s="7" t="n">
        <f aca="false">IFERROR(COUNTIFS('2. Raw Votes by Country'!B:B,$A44,'2. Raw Votes by Country'!D:D,"NLD"),0)</f>
        <v>0</v>
      </c>
      <c r="J44" s="7" t="n">
        <f aca="false">IFERROR(COUNTIFS('2. Raw Votes by Country'!B:B,$A44,'2. Raw Votes by Country'!D:D,"CAN"),0)</f>
        <v>0</v>
      </c>
      <c r="K44" s="7" t="n">
        <f aca="false">IFERROR(COUNTIFS('2. Raw Votes by Country'!B:B,$A44,'2. Raw Votes by Country'!D:D,"KOR"),0)</f>
        <v>0</v>
      </c>
      <c r="L44" s="7" t="n">
        <f aca="false">IFERROR(COUNTIFS('2. Raw Votes by Country'!B:B,$A44,'2. Raw Votes by Country'!D:D,"CHE"),0)</f>
        <v>0</v>
      </c>
      <c r="M44" s="7" t="n">
        <f aca="false">IFERROR(COUNTIFS('2. Raw Votes by Country'!B:B,$A44,'2. Raw Votes by Country'!D:D,"SWE"),0)</f>
        <v>0</v>
      </c>
      <c r="N44" s="7" t="n">
        <f aca="false">IFERROR(COUNTIFS('2. Raw Votes by Country'!B:B,$A44,'2. Raw Votes by Country'!D:D,"ITA"),0)</f>
        <v>0</v>
      </c>
      <c r="O44" s="7" t="n">
        <f aca="false">IFERROR(COUNTIFS('2. Raw Votes by Country'!B:B,$A44,'2. Raw Votes by Country'!D:D,"ESP"),0)</f>
        <v>0</v>
      </c>
      <c r="P44" s="7" t="n">
        <f aca="false">IFERROR(COUNTIFS('2. Raw Votes by Country'!B:B,$A44,'2. Raw Votes by Country'!D:D,"IND"),0)</f>
        <v>0</v>
      </c>
      <c r="Q44" s="7" t="n">
        <f aca="false">IFERROR(COUNTIFS('2. Raw Votes by Country'!B:B,$A44,'2. Raw Votes by Country'!D:D,"BRA"),0)</f>
        <v>0</v>
      </c>
      <c r="R44" s="7" t="n">
        <f aca="false">IFERROR(COUNTIFS('2. Raw Votes by Country'!B:B,$A44,'2. Raw Votes by Country'!D:D,"SGP"),0)</f>
        <v>0</v>
      </c>
      <c r="S44" s="7" t="n">
        <f aca="false">IFERROR(COUNTIFS('2. Raw Votes by Country'!B:B,$A44,'2. Raw Votes by Country'!D:D,"HKG"),0)</f>
        <v>0</v>
      </c>
      <c r="T44" s="7" t="n">
        <f aca="false">IFERROR(COUNTIFS('2. Raw Votes by Country'!B:B,$A44,'2. Raw Votes by Country'!D:D,"ZAF"),0)</f>
        <v>0</v>
      </c>
      <c r="U44" s="7" t="n">
        <f aca="false">IFERROR(COUNTIFS('2. Raw Votes by Country'!B:B,$A44,'2. Raw Votes by Country'!D:D,"RUS"),0)</f>
        <v>0</v>
      </c>
      <c r="V44" s="30" t="n">
        <f aca="false">SUM(B44:U44)</f>
        <v>0</v>
      </c>
      <c r="W44" s="30" t="n">
        <f aca="false">COUNTIF(B44:U44,"&gt;0")</f>
        <v>0</v>
      </c>
      <c r="X44" s="31" t="n">
        <f aca="false">IFERROR(MAX(B44:U44)/V44*100,0)</f>
        <v>0</v>
      </c>
    </row>
  </sheetData>
  <mergeCells count="2">
    <mergeCell ref="A1:X1"/>
    <mergeCell ref="A2:X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7553"/>
    <pageSetUpPr fitToPage="false"/>
  </sheetPr>
  <dimension ref="A1:K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  <col collapsed="false" customWidth="true" hidden="false" outlineLevel="0" max="9" min="9" style="0" width="16"/>
    <col collapsed="false" customWidth="true" hidden="false" outlineLevel="0" max="11" min="10" style="0" width="18"/>
  </cols>
  <sheetData>
    <row r="1" customFormat="false" ht="33.75" hidden="false" customHeight="true" outlineLevel="0" collapsed="false">
      <c r="A1" s="12" t="s">
        <v>425</v>
      </c>
      <c r="B1" s="12"/>
      <c r="C1" s="12"/>
      <c r="D1" s="12"/>
      <c r="E1" s="12"/>
      <c r="F1" s="12"/>
      <c r="G1" s="12"/>
      <c r="H1" s="12"/>
      <c r="I1" s="12"/>
      <c r="J1" s="12"/>
      <c r="K1" s="12"/>
    </row>
    <row r="2" customFormat="false" ht="25.5" hidden="false" customHeight="true" outlineLevel="0" collapsed="false">
      <c r="A2" s="13" t="s">
        <v>426</v>
      </c>
      <c r="B2" s="13"/>
      <c r="C2" s="13"/>
      <c r="D2" s="13"/>
      <c r="E2" s="13"/>
      <c r="F2" s="13"/>
      <c r="G2" s="13"/>
      <c r="H2" s="13"/>
      <c r="I2" s="13"/>
      <c r="J2" s="13"/>
      <c r="K2" s="13"/>
    </row>
    <row r="4" customFormat="false" ht="23.85" hidden="false" customHeight="false" outlineLevel="0" collapsed="false">
      <c r="A4" s="14" t="s">
        <v>427</v>
      </c>
      <c r="B4" s="14" t="s">
        <v>48</v>
      </c>
      <c r="C4" s="14" t="s">
        <v>52</v>
      </c>
      <c r="D4" s="14" t="s">
        <v>44</v>
      </c>
      <c r="E4" s="14" t="s">
        <v>97</v>
      </c>
      <c r="F4" s="14" t="s">
        <v>59</v>
      </c>
      <c r="G4" s="14" t="s">
        <v>109</v>
      </c>
      <c r="H4" s="14" t="s">
        <v>422</v>
      </c>
      <c r="I4" s="14" t="s">
        <v>157</v>
      </c>
      <c r="J4" s="14" t="s">
        <v>428</v>
      </c>
      <c r="K4" s="14" t="s">
        <v>429</v>
      </c>
    </row>
    <row r="5" customFormat="false" ht="15" hidden="false" customHeight="false" outlineLevel="0" collapsed="false">
      <c r="A5" s="17"/>
      <c r="B5" s="4" t="n">
        <f aca="false">IFERROR(COUNTIFS('2. Raw Votes by Country'!B:B,$A5,'2. Raw Votes by Country'!G:G,"Europe"),0)</f>
        <v>0</v>
      </c>
      <c r="C5" s="4" t="n">
        <f aca="false">IFERROR(COUNTIFS('2. Raw Votes by Country'!B:B,$A5,'2. Raw Votes by Country'!G:G,"Asia"),0)</f>
        <v>0</v>
      </c>
      <c r="D5" s="4" t="n">
        <f aca="false">IFERROR(COUNTIFS('2. Raw Votes by Country'!B:B,$A5,'2. Raw Votes by Country'!G:G,"North America"),0)</f>
        <v>0</v>
      </c>
      <c r="E5" s="4" t="n">
        <f aca="false">IFERROR(COUNTIFS('2. Raw Votes by Country'!B:B,$A5,'2. Raw Votes by Country'!G:G,"South America"),0)</f>
        <v>0</v>
      </c>
      <c r="F5" s="4" t="n">
        <f aca="false">IFERROR(COUNTIFS('2. Raw Votes by Country'!B:B,$A5,'2. Raw Votes by Country'!G:G,"Oceania"),0)</f>
        <v>0</v>
      </c>
      <c r="G5" s="4" t="n">
        <f aca="false">IFERROR(COUNTIFS('2. Raw Votes by Country'!B:B,$A5,'2. Raw Votes by Country'!G:G,"Africa"),0)</f>
        <v>0</v>
      </c>
      <c r="H5" s="28" t="n">
        <f aca="false">SUM(B5:G5)</f>
        <v>0</v>
      </c>
      <c r="I5" s="28" t="n">
        <f aca="false">COUNTIF(B5:G5,"&gt;0")</f>
        <v>0</v>
      </c>
      <c r="J5" s="28" t="str">
        <f aca="false">IFERROR(INDEX($B$4:$G$4,MATCH(MAX(B5:G5),B5:G5,0)),"")</f>
        <v>Europe</v>
      </c>
      <c r="K5" s="32" t="n">
        <f aca="false">IFERROR(SUMPRODUCT((B5:G5/H5)^2),0)</f>
        <v>0</v>
      </c>
    </row>
    <row r="6" customFormat="false" ht="15" hidden="false" customHeight="false" outlineLevel="0" collapsed="false">
      <c r="A6" s="16"/>
      <c r="B6" s="15" t="n">
        <f aca="false">IFERROR(COUNTIFS('2. Raw Votes by Country'!B:B,$A6,'2. Raw Votes by Country'!G:G,"Europe"),0)</f>
        <v>0</v>
      </c>
      <c r="C6" s="15" t="n">
        <f aca="false">IFERROR(COUNTIFS('2. Raw Votes by Country'!B:B,$A6,'2. Raw Votes by Country'!G:G,"Asia"),0)</f>
        <v>0</v>
      </c>
      <c r="D6" s="15" t="n">
        <f aca="false">IFERROR(COUNTIFS('2. Raw Votes by Country'!B:B,$A6,'2. Raw Votes by Country'!G:G,"North America"),0)</f>
        <v>0</v>
      </c>
      <c r="E6" s="15" t="n">
        <f aca="false">IFERROR(COUNTIFS('2. Raw Votes by Country'!B:B,$A6,'2. Raw Votes by Country'!G:G,"South America"),0)</f>
        <v>0</v>
      </c>
      <c r="F6" s="15" t="n">
        <f aca="false">IFERROR(COUNTIFS('2. Raw Votes by Country'!B:B,$A6,'2. Raw Votes by Country'!G:G,"Oceania"),0)</f>
        <v>0</v>
      </c>
      <c r="G6" s="15" t="n">
        <f aca="false">IFERROR(COUNTIFS('2. Raw Votes by Country'!B:B,$A6,'2. Raw Votes by Country'!G:G,"Africa"),0)</f>
        <v>0</v>
      </c>
      <c r="H6" s="33" t="n">
        <f aca="false">SUM(B6:G6)</f>
        <v>0</v>
      </c>
      <c r="I6" s="33" t="n">
        <f aca="false">COUNTIF(B6:G6,"&gt;0")</f>
        <v>0</v>
      </c>
      <c r="J6" s="33" t="str">
        <f aca="false">IFERROR(INDEX($B$4:$G$4,MATCH(MAX(B6:G6),B6:G6,0)),"")</f>
        <v>Europe</v>
      </c>
      <c r="K6" s="34" t="n">
        <f aca="false">IFERROR(SUMPRODUCT((B6:G6/H6)^2),0)</f>
        <v>0</v>
      </c>
    </row>
    <row r="7" customFormat="false" ht="15" hidden="false" customHeight="false" outlineLevel="0" collapsed="false">
      <c r="A7" s="17"/>
      <c r="B7" s="4" t="n">
        <f aca="false">IFERROR(COUNTIFS('2. Raw Votes by Country'!B:B,$A7,'2. Raw Votes by Country'!G:G,"Europe"),0)</f>
        <v>0</v>
      </c>
      <c r="C7" s="4" t="n">
        <f aca="false">IFERROR(COUNTIFS('2. Raw Votes by Country'!B:B,$A7,'2. Raw Votes by Country'!G:G,"Asia"),0)</f>
        <v>0</v>
      </c>
      <c r="D7" s="4" t="n">
        <f aca="false">IFERROR(COUNTIFS('2. Raw Votes by Country'!B:B,$A7,'2. Raw Votes by Country'!G:G,"North America"),0)</f>
        <v>0</v>
      </c>
      <c r="E7" s="4" t="n">
        <f aca="false">IFERROR(COUNTIFS('2. Raw Votes by Country'!B:B,$A7,'2. Raw Votes by Country'!G:G,"South America"),0)</f>
        <v>0</v>
      </c>
      <c r="F7" s="4" t="n">
        <f aca="false">IFERROR(COUNTIFS('2. Raw Votes by Country'!B:B,$A7,'2. Raw Votes by Country'!G:G,"Oceania"),0)</f>
        <v>0</v>
      </c>
      <c r="G7" s="4" t="n">
        <f aca="false">IFERROR(COUNTIFS('2. Raw Votes by Country'!B:B,$A7,'2. Raw Votes by Country'!G:G,"Africa"),0)</f>
        <v>0</v>
      </c>
      <c r="H7" s="28" t="n">
        <f aca="false">SUM(B7:G7)</f>
        <v>0</v>
      </c>
      <c r="I7" s="28" t="n">
        <f aca="false">COUNTIF(B7:G7,"&gt;0")</f>
        <v>0</v>
      </c>
      <c r="J7" s="28" t="str">
        <f aca="false">IFERROR(INDEX($B$4:$G$4,MATCH(MAX(B7:G7),B7:G7,0)),"")</f>
        <v>Europe</v>
      </c>
      <c r="K7" s="32" t="n">
        <f aca="false">IFERROR(SUMPRODUCT((B7:G7/H7)^2),0)</f>
        <v>0</v>
      </c>
    </row>
    <row r="8" customFormat="false" ht="15" hidden="false" customHeight="false" outlineLevel="0" collapsed="false">
      <c r="A8" s="16"/>
      <c r="B8" s="15" t="n">
        <f aca="false">IFERROR(COUNTIFS('2. Raw Votes by Country'!B:B,$A8,'2. Raw Votes by Country'!G:G,"Europe"),0)</f>
        <v>0</v>
      </c>
      <c r="C8" s="15" t="n">
        <f aca="false">IFERROR(COUNTIFS('2. Raw Votes by Country'!B:B,$A8,'2. Raw Votes by Country'!G:G,"Asia"),0)</f>
        <v>0</v>
      </c>
      <c r="D8" s="15" t="n">
        <f aca="false">IFERROR(COUNTIFS('2. Raw Votes by Country'!B:B,$A8,'2. Raw Votes by Country'!G:G,"North America"),0)</f>
        <v>0</v>
      </c>
      <c r="E8" s="15" t="n">
        <f aca="false">IFERROR(COUNTIFS('2. Raw Votes by Country'!B:B,$A8,'2. Raw Votes by Country'!G:G,"South America"),0)</f>
        <v>0</v>
      </c>
      <c r="F8" s="15" t="n">
        <f aca="false">IFERROR(COUNTIFS('2. Raw Votes by Country'!B:B,$A8,'2. Raw Votes by Country'!G:G,"Oceania"),0)</f>
        <v>0</v>
      </c>
      <c r="G8" s="15" t="n">
        <f aca="false">IFERROR(COUNTIFS('2. Raw Votes by Country'!B:B,$A8,'2. Raw Votes by Country'!G:G,"Africa"),0)</f>
        <v>0</v>
      </c>
      <c r="H8" s="33" t="n">
        <f aca="false">SUM(B8:G8)</f>
        <v>0</v>
      </c>
      <c r="I8" s="33" t="n">
        <f aca="false">COUNTIF(B8:G8,"&gt;0")</f>
        <v>0</v>
      </c>
      <c r="J8" s="33" t="str">
        <f aca="false">IFERROR(INDEX($B$4:$G$4,MATCH(MAX(B8:G8),B8:G8,0)),"")</f>
        <v>Europe</v>
      </c>
      <c r="K8" s="34" t="n">
        <f aca="false">IFERROR(SUMPRODUCT((B8:G8/H8)^2),0)</f>
        <v>0</v>
      </c>
    </row>
    <row r="9" customFormat="false" ht="15" hidden="false" customHeight="false" outlineLevel="0" collapsed="false">
      <c r="A9" s="17"/>
      <c r="B9" s="4" t="n">
        <f aca="false">IFERROR(COUNTIFS('2. Raw Votes by Country'!B:B,$A9,'2. Raw Votes by Country'!G:G,"Europe"),0)</f>
        <v>0</v>
      </c>
      <c r="C9" s="4" t="n">
        <f aca="false">IFERROR(COUNTIFS('2. Raw Votes by Country'!B:B,$A9,'2. Raw Votes by Country'!G:G,"Asia"),0)</f>
        <v>0</v>
      </c>
      <c r="D9" s="4" t="n">
        <f aca="false">IFERROR(COUNTIFS('2. Raw Votes by Country'!B:B,$A9,'2. Raw Votes by Country'!G:G,"North America"),0)</f>
        <v>0</v>
      </c>
      <c r="E9" s="4" t="n">
        <f aca="false">IFERROR(COUNTIFS('2. Raw Votes by Country'!B:B,$A9,'2. Raw Votes by Country'!G:G,"South America"),0)</f>
        <v>0</v>
      </c>
      <c r="F9" s="4" t="n">
        <f aca="false">IFERROR(COUNTIFS('2. Raw Votes by Country'!B:B,$A9,'2. Raw Votes by Country'!G:G,"Oceania"),0)</f>
        <v>0</v>
      </c>
      <c r="G9" s="4" t="n">
        <f aca="false">IFERROR(COUNTIFS('2. Raw Votes by Country'!B:B,$A9,'2. Raw Votes by Country'!G:G,"Africa"),0)</f>
        <v>0</v>
      </c>
      <c r="H9" s="28" t="n">
        <f aca="false">SUM(B9:G9)</f>
        <v>0</v>
      </c>
      <c r="I9" s="28" t="n">
        <f aca="false">COUNTIF(B9:G9,"&gt;0")</f>
        <v>0</v>
      </c>
      <c r="J9" s="28" t="str">
        <f aca="false">IFERROR(INDEX($B$4:$G$4,MATCH(MAX(B9:G9),B9:G9,0)),"")</f>
        <v>Europe</v>
      </c>
      <c r="K9" s="32" t="n">
        <f aca="false">IFERROR(SUMPRODUCT((B9:G9/H9)^2),0)</f>
        <v>0</v>
      </c>
    </row>
    <row r="10" customFormat="false" ht="15" hidden="false" customHeight="false" outlineLevel="0" collapsed="false">
      <c r="A10" s="16"/>
      <c r="B10" s="15" t="n">
        <f aca="false">IFERROR(COUNTIFS('2. Raw Votes by Country'!B:B,$A10,'2. Raw Votes by Country'!G:G,"Europe"),0)</f>
        <v>0</v>
      </c>
      <c r="C10" s="15" t="n">
        <f aca="false">IFERROR(COUNTIFS('2. Raw Votes by Country'!B:B,$A10,'2. Raw Votes by Country'!G:G,"Asia"),0)</f>
        <v>0</v>
      </c>
      <c r="D10" s="15" t="n">
        <f aca="false">IFERROR(COUNTIFS('2. Raw Votes by Country'!B:B,$A10,'2. Raw Votes by Country'!G:G,"North America"),0)</f>
        <v>0</v>
      </c>
      <c r="E10" s="15" t="n">
        <f aca="false">IFERROR(COUNTIFS('2. Raw Votes by Country'!B:B,$A10,'2. Raw Votes by Country'!G:G,"South America"),0)</f>
        <v>0</v>
      </c>
      <c r="F10" s="15" t="n">
        <f aca="false">IFERROR(COUNTIFS('2. Raw Votes by Country'!B:B,$A10,'2. Raw Votes by Country'!G:G,"Oceania"),0)</f>
        <v>0</v>
      </c>
      <c r="G10" s="15" t="n">
        <f aca="false">IFERROR(COUNTIFS('2. Raw Votes by Country'!B:B,$A10,'2. Raw Votes by Country'!G:G,"Africa"),0)</f>
        <v>0</v>
      </c>
      <c r="H10" s="33" t="n">
        <f aca="false">SUM(B10:G10)</f>
        <v>0</v>
      </c>
      <c r="I10" s="33" t="n">
        <f aca="false">COUNTIF(B10:G10,"&gt;0")</f>
        <v>0</v>
      </c>
      <c r="J10" s="33" t="str">
        <f aca="false">IFERROR(INDEX($B$4:$G$4,MATCH(MAX(B10:G10),B10:G10,0)),"")</f>
        <v>Europe</v>
      </c>
      <c r="K10" s="34" t="n">
        <f aca="false">IFERROR(SUMPRODUCT((B10:G10/H10)^2),0)</f>
        <v>0</v>
      </c>
    </row>
    <row r="11" customFormat="false" ht="15" hidden="false" customHeight="false" outlineLevel="0" collapsed="false">
      <c r="A11" s="17"/>
      <c r="B11" s="4" t="n">
        <f aca="false">IFERROR(COUNTIFS('2. Raw Votes by Country'!B:B,$A11,'2. Raw Votes by Country'!G:G,"Europe"),0)</f>
        <v>0</v>
      </c>
      <c r="C11" s="4" t="n">
        <f aca="false">IFERROR(COUNTIFS('2. Raw Votes by Country'!B:B,$A11,'2. Raw Votes by Country'!G:G,"Asia"),0)</f>
        <v>0</v>
      </c>
      <c r="D11" s="4" t="n">
        <f aca="false">IFERROR(COUNTIFS('2. Raw Votes by Country'!B:B,$A11,'2. Raw Votes by Country'!G:G,"North America"),0)</f>
        <v>0</v>
      </c>
      <c r="E11" s="4" t="n">
        <f aca="false">IFERROR(COUNTIFS('2. Raw Votes by Country'!B:B,$A11,'2. Raw Votes by Country'!G:G,"South America"),0)</f>
        <v>0</v>
      </c>
      <c r="F11" s="4" t="n">
        <f aca="false">IFERROR(COUNTIFS('2. Raw Votes by Country'!B:B,$A11,'2. Raw Votes by Country'!G:G,"Oceania"),0)</f>
        <v>0</v>
      </c>
      <c r="G11" s="4" t="n">
        <f aca="false">IFERROR(COUNTIFS('2. Raw Votes by Country'!B:B,$A11,'2. Raw Votes by Country'!G:G,"Africa"),0)</f>
        <v>0</v>
      </c>
      <c r="H11" s="28" t="n">
        <f aca="false">SUM(B11:G11)</f>
        <v>0</v>
      </c>
      <c r="I11" s="28" t="n">
        <f aca="false">COUNTIF(B11:G11,"&gt;0")</f>
        <v>0</v>
      </c>
      <c r="J11" s="28" t="str">
        <f aca="false">IFERROR(INDEX($B$4:$G$4,MATCH(MAX(B11:G11),B11:G11,0)),"")</f>
        <v>Europe</v>
      </c>
      <c r="K11" s="32" t="n">
        <f aca="false">IFERROR(SUMPRODUCT((B11:G11/H11)^2),0)</f>
        <v>0</v>
      </c>
    </row>
    <row r="12" customFormat="false" ht="15" hidden="false" customHeight="false" outlineLevel="0" collapsed="false">
      <c r="A12" s="16"/>
      <c r="B12" s="15" t="n">
        <f aca="false">IFERROR(COUNTIFS('2. Raw Votes by Country'!B:B,$A12,'2. Raw Votes by Country'!G:G,"Europe"),0)</f>
        <v>0</v>
      </c>
      <c r="C12" s="15" t="n">
        <f aca="false">IFERROR(COUNTIFS('2. Raw Votes by Country'!B:B,$A12,'2. Raw Votes by Country'!G:G,"Asia"),0)</f>
        <v>0</v>
      </c>
      <c r="D12" s="15" t="n">
        <f aca="false">IFERROR(COUNTIFS('2. Raw Votes by Country'!B:B,$A12,'2. Raw Votes by Country'!G:G,"North America"),0)</f>
        <v>0</v>
      </c>
      <c r="E12" s="15" t="n">
        <f aca="false">IFERROR(COUNTIFS('2. Raw Votes by Country'!B:B,$A12,'2. Raw Votes by Country'!G:G,"South America"),0)</f>
        <v>0</v>
      </c>
      <c r="F12" s="15" t="n">
        <f aca="false">IFERROR(COUNTIFS('2. Raw Votes by Country'!B:B,$A12,'2. Raw Votes by Country'!G:G,"Oceania"),0)</f>
        <v>0</v>
      </c>
      <c r="G12" s="15" t="n">
        <f aca="false">IFERROR(COUNTIFS('2. Raw Votes by Country'!B:B,$A12,'2. Raw Votes by Country'!G:G,"Africa"),0)</f>
        <v>0</v>
      </c>
      <c r="H12" s="33" t="n">
        <f aca="false">SUM(B12:G12)</f>
        <v>0</v>
      </c>
      <c r="I12" s="33" t="n">
        <f aca="false">COUNTIF(B12:G12,"&gt;0")</f>
        <v>0</v>
      </c>
      <c r="J12" s="33" t="str">
        <f aca="false">IFERROR(INDEX($B$4:$G$4,MATCH(MAX(B12:G12),B12:G12,0)),"")</f>
        <v>Europe</v>
      </c>
      <c r="K12" s="34" t="n">
        <f aca="false">IFERROR(SUMPRODUCT((B12:G12/H12)^2),0)</f>
        <v>0</v>
      </c>
    </row>
    <row r="13" customFormat="false" ht="15" hidden="false" customHeight="false" outlineLevel="0" collapsed="false">
      <c r="A13" s="17"/>
      <c r="B13" s="4" t="n">
        <f aca="false">IFERROR(COUNTIFS('2. Raw Votes by Country'!B:B,$A13,'2. Raw Votes by Country'!G:G,"Europe"),0)</f>
        <v>0</v>
      </c>
      <c r="C13" s="4" t="n">
        <f aca="false">IFERROR(COUNTIFS('2. Raw Votes by Country'!B:B,$A13,'2. Raw Votes by Country'!G:G,"Asia"),0)</f>
        <v>0</v>
      </c>
      <c r="D13" s="4" t="n">
        <f aca="false">IFERROR(COUNTIFS('2. Raw Votes by Country'!B:B,$A13,'2. Raw Votes by Country'!G:G,"North America"),0)</f>
        <v>0</v>
      </c>
      <c r="E13" s="4" t="n">
        <f aca="false">IFERROR(COUNTIFS('2. Raw Votes by Country'!B:B,$A13,'2. Raw Votes by Country'!G:G,"South America"),0)</f>
        <v>0</v>
      </c>
      <c r="F13" s="4" t="n">
        <f aca="false">IFERROR(COUNTIFS('2. Raw Votes by Country'!B:B,$A13,'2. Raw Votes by Country'!G:G,"Oceania"),0)</f>
        <v>0</v>
      </c>
      <c r="G13" s="4" t="n">
        <f aca="false">IFERROR(COUNTIFS('2. Raw Votes by Country'!B:B,$A13,'2. Raw Votes by Country'!G:G,"Africa"),0)</f>
        <v>0</v>
      </c>
      <c r="H13" s="28" t="n">
        <f aca="false">SUM(B13:G13)</f>
        <v>0</v>
      </c>
      <c r="I13" s="28" t="n">
        <f aca="false">COUNTIF(B13:G13,"&gt;0")</f>
        <v>0</v>
      </c>
      <c r="J13" s="28" t="str">
        <f aca="false">IFERROR(INDEX($B$4:$G$4,MATCH(MAX(B13:G13),B13:G13,0)),"")</f>
        <v>Europe</v>
      </c>
      <c r="K13" s="32" t="n">
        <f aca="false">IFERROR(SUMPRODUCT((B13:G13/H13)^2),0)</f>
        <v>0</v>
      </c>
    </row>
    <row r="14" customFormat="false" ht="15" hidden="false" customHeight="false" outlineLevel="0" collapsed="false">
      <c r="A14" s="16"/>
      <c r="B14" s="15" t="n">
        <f aca="false">IFERROR(COUNTIFS('2. Raw Votes by Country'!B:B,$A14,'2. Raw Votes by Country'!G:G,"Europe"),0)</f>
        <v>0</v>
      </c>
      <c r="C14" s="15" t="n">
        <f aca="false">IFERROR(COUNTIFS('2. Raw Votes by Country'!B:B,$A14,'2. Raw Votes by Country'!G:G,"Asia"),0)</f>
        <v>0</v>
      </c>
      <c r="D14" s="15" t="n">
        <f aca="false">IFERROR(COUNTIFS('2. Raw Votes by Country'!B:B,$A14,'2. Raw Votes by Country'!G:G,"North America"),0)</f>
        <v>0</v>
      </c>
      <c r="E14" s="15" t="n">
        <f aca="false">IFERROR(COUNTIFS('2. Raw Votes by Country'!B:B,$A14,'2. Raw Votes by Country'!G:G,"South America"),0)</f>
        <v>0</v>
      </c>
      <c r="F14" s="15" t="n">
        <f aca="false">IFERROR(COUNTIFS('2. Raw Votes by Country'!B:B,$A14,'2. Raw Votes by Country'!G:G,"Oceania"),0)</f>
        <v>0</v>
      </c>
      <c r="G14" s="15" t="n">
        <f aca="false">IFERROR(COUNTIFS('2. Raw Votes by Country'!B:B,$A14,'2. Raw Votes by Country'!G:G,"Africa"),0)</f>
        <v>0</v>
      </c>
      <c r="H14" s="33" t="n">
        <f aca="false">SUM(B14:G14)</f>
        <v>0</v>
      </c>
      <c r="I14" s="33" t="n">
        <f aca="false">COUNTIF(B14:G14,"&gt;0")</f>
        <v>0</v>
      </c>
      <c r="J14" s="33" t="str">
        <f aca="false">IFERROR(INDEX($B$4:$G$4,MATCH(MAX(B14:G14),B14:G14,0)),"")</f>
        <v>Europe</v>
      </c>
      <c r="K14" s="34" t="n">
        <f aca="false">IFERROR(SUMPRODUCT((B14:G14/H14)^2),0)</f>
        <v>0</v>
      </c>
    </row>
    <row r="15" customFormat="false" ht="15" hidden="false" customHeight="false" outlineLevel="0" collapsed="false">
      <c r="A15" s="17"/>
      <c r="B15" s="4" t="n">
        <f aca="false">IFERROR(COUNTIFS('2. Raw Votes by Country'!B:B,$A15,'2. Raw Votes by Country'!G:G,"Europe"),0)</f>
        <v>0</v>
      </c>
      <c r="C15" s="4" t="n">
        <f aca="false">IFERROR(COUNTIFS('2. Raw Votes by Country'!B:B,$A15,'2. Raw Votes by Country'!G:G,"Asia"),0)</f>
        <v>0</v>
      </c>
      <c r="D15" s="4" t="n">
        <f aca="false">IFERROR(COUNTIFS('2. Raw Votes by Country'!B:B,$A15,'2. Raw Votes by Country'!G:G,"North America"),0)</f>
        <v>0</v>
      </c>
      <c r="E15" s="4" t="n">
        <f aca="false">IFERROR(COUNTIFS('2. Raw Votes by Country'!B:B,$A15,'2. Raw Votes by Country'!G:G,"South America"),0)</f>
        <v>0</v>
      </c>
      <c r="F15" s="4" t="n">
        <f aca="false">IFERROR(COUNTIFS('2. Raw Votes by Country'!B:B,$A15,'2. Raw Votes by Country'!G:G,"Oceania"),0)</f>
        <v>0</v>
      </c>
      <c r="G15" s="4" t="n">
        <f aca="false">IFERROR(COUNTIFS('2. Raw Votes by Country'!B:B,$A15,'2. Raw Votes by Country'!G:G,"Africa"),0)</f>
        <v>0</v>
      </c>
      <c r="H15" s="28" t="n">
        <f aca="false">SUM(B15:G15)</f>
        <v>0</v>
      </c>
      <c r="I15" s="28" t="n">
        <f aca="false">COUNTIF(B15:G15,"&gt;0")</f>
        <v>0</v>
      </c>
      <c r="J15" s="28" t="str">
        <f aca="false">IFERROR(INDEX($B$4:$G$4,MATCH(MAX(B15:G15),B15:G15,0)),"")</f>
        <v>Europe</v>
      </c>
      <c r="K15" s="32" t="n">
        <f aca="false">IFERROR(SUMPRODUCT((B15:G15/H15)^2),0)</f>
        <v>0</v>
      </c>
    </row>
    <row r="16" customFormat="false" ht="15" hidden="false" customHeight="false" outlineLevel="0" collapsed="false">
      <c r="A16" s="16"/>
      <c r="B16" s="15" t="n">
        <f aca="false">IFERROR(COUNTIFS('2. Raw Votes by Country'!B:B,$A16,'2. Raw Votes by Country'!G:G,"Europe"),0)</f>
        <v>0</v>
      </c>
      <c r="C16" s="15" t="n">
        <f aca="false">IFERROR(COUNTIFS('2. Raw Votes by Country'!B:B,$A16,'2. Raw Votes by Country'!G:G,"Asia"),0)</f>
        <v>0</v>
      </c>
      <c r="D16" s="15" t="n">
        <f aca="false">IFERROR(COUNTIFS('2. Raw Votes by Country'!B:B,$A16,'2. Raw Votes by Country'!G:G,"North America"),0)</f>
        <v>0</v>
      </c>
      <c r="E16" s="15" t="n">
        <f aca="false">IFERROR(COUNTIFS('2. Raw Votes by Country'!B:B,$A16,'2. Raw Votes by Country'!G:G,"South America"),0)</f>
        <v>0</v>
      </c>
      <c r="F16" s="15" t="n">
        <f aca="false">IFERROR(COUNTIFS('2. Raw Votes by Country'!B:B,$A16,'2. Raw Votes by Country'!G:G,"Oceania"),0)</f>
        <v>0</v>
      </c>
      <c r="G16" s="15" t="n">
        <f aca="false">IFERROR(COUNTIFS('2. Raw Votes by Country'!B:B,$A16,'2. Raw Votes by Country'!G:G,"Africa"),0)</f>
        <v>0</v>
      </c>
      <c r="H16" s="33" t="n">
        <f aca="false">SUM(B16:G16)</f>
        <v>0</v>
      </c>
      <c r="I16" s="33" t="n">
        <f aca="false">COUNTIF(B16:G16,"&gt;0")</f>
        <v>0</v>
      </c>
      <c r="J16" s="33" t="str">
        <f aca="false">IFERROR(INDEX($B$4:$G$4,MATCH(MAX(B16:G16),B16:G16,0)),"")</f>
        <v>Europe</v>
      </c>
      <c r="K16" s="34" t="n">
        <f aca="false">IFERROR(SUMPRODUCT((B16:G16/H16)^2),0)</f>
        <v>0</v>
      </c>
    </row>
    <row r="17" customFormat="false" ht="15" hidden="false" customHeight="false" outlineLevel="0" collapsed="false">
      <c r="A17" s="17"/>
      <c r="B17" s="4" t="n">
        <f aca="false">IFERROR(COUNTIFS('2. Raw Votes by Country'!B:B,$A17,'2. Raw Votes by Country'!G:G,"Europe"),0)</f>
        <v>0</v>
      </c>
      <c r="C17" s="4" t="n">
        <f aca="false">IFERROR(COUNTIFS('2. Raw Votes by Country'!B:B,$A17,'2. Raw Votes by Country'!G:G,"Asia"),0)</f>
        <v>0</v>
      </c>
      <c r="D17" s="4" t="n">
        <f aca="false">IFERROR(COUNTIFS('2. Raw Votes by Country'!B:B,$A17,'2. Raw Votes by Country'!G:G,"North America"),0)</f>
        <v>0</v>
      </c>
      <c r="E17" s="4" t="n">
        <f aca="false">IFERROR(COUNTIFS('2. Raw Votes by Country'!B:B,$A17,'2. Raw Votes by Country'!G:G,"South America"),0)</f>
        <v>0</v>
      </c>
      <c r="F17" s="4" t="n">
        <f aca="false">IFERROR(COUNTIFS('2. Raw Votes by Country'!B:B,$A17,'2. Raw Votes by Country'!G:G,"Oceania"),0)</f>
        <v>0</v>
      </c>
      <c r="G17" s="4" t="n">
        <f aca="false">IFERROR(COUNTIFS('2. Raw Votes by Country'!B:B,$A17,'2. Raw Votes by Country'!G:G,"Africa"),0)</f>
        <v>0</v>
      </c>
      <c r="H17" s="28" t="n">
        <f aca="false">SUM(B17:G17)</f>
        <v>0</v>
      </c>
      <c r="I17" s="28" t="n">
        <f aca="false">COUNTIF(B17:G17,"&gt;0")</f>
        <v>0</v>
      </c>
      <c r="J17" s="28" t="str">
        <f aca="false">IFERROR(INDEX($B$4:$G$4,MATCH(MAX(B17:G17),B17:G17,0)),"")</f>
        <v>Europe</v>
      </c>
      <c r="K17" s="32" t="n">
        <f aca="false">IFERROR(SUMPRODUCT((B17:G17/H17)^2),0)</f>
        <v>0</v>
      </c>
    </row>
    <row r="18" customFormat="false" ht="15" hidden="false" customHeight="false" outlineLevel="0" collapsed="false">
      <c r="A18" s="16"/>
      <c r="B18" s="15" t="n">
        <f aca="false">IFERROR(COUNTIFS('2. Raw Votes by Country'!B:B,$A18,'2. Raw Votes by Country'!G:G,"Europe"),0)</f>
        <v>0</v>
      </c>
      <c r="C18" s="15" t="n">
        <f aca="false">IFERROR(COUNTIFS('2. Raw Votes by Country'!B:B,$A18,'2. Raw Votes by Country'!G:G,"Asia"),0)</f>
        <v>0</v>
      </c>
      <c r="D18" s="15" t="n">
        <f aca="false">IFERROR(COUNTIFS('2. Raw Votes by Country'!B:B,$A18,'2. Raw Votes by Country'!G:G,"North America"),0)</f>
        <v>0</v>
      </c>
      <c r="E18" s="15" t="n">
        <f aca="false">IFERROR(COUNTIFS('2. Raw Votes by Country'!B:B,$A18,'2. Raw Votes by Country'!G:G,"South America"),0)</f>
        <v>0</v>
      </c>
      <c r="F18" s="15" t="n">
        <f aca="false">IFERROR(COUNTIFS('2. Raw Votes by Country'!B:B,$A18,'2. Raw Votes by Country'!G:G,"Oceania"),0)</f>
        <v>0</v>
      </c>
      <c r="G18" s="15" t="n">
        <f aca="false">IFERROR(COUNTIFS('2. Raw Votes by Country'!B:B,$A18,'2. Raw Votes by Country'!G:G,"Africa"),0)</f>
        <v>0</v>
      </c>
      <c r="H18" s="33" t="n">
        <f aca="false">SUM(B18:G18)</f>
        <v>0</v>
      </c>
      <c r="I18" s="33" t="n">
        <f aca="false">COUNTIF(B18:G18,"&gt;0")</f>
        <v>0</v>
      </c>
      <c r="J18" s="33" t="str">
        <f aca="false">IFERROR(INDEX($B$4:$G$4,MATCH(MAX(B18:G18),B18:G18,0)),"")</f>
        <v>Europe</v>
      </c>
      <c r="K18" s="34" t="n">
        <f aca="false">IFERROR(SUMPRODUCT((B18:G18/H18)^2),0)</f>
        <v>0</v>
      </c>
    </row>
    <row r="19" customFormat="false" ht="15" hidden="false" customHeight="false" outlineLevel="0" collapsed="false">
      <c r="A19" s="17"/>
      <c r="B19" s="4" t="n">
        <f aca="false">IFERROR(COUNTIFS('2. Raw Votes by Country'!B:B,$A19,'2. Raw Votes by Country'!G:G,"Europe"),0)</f>
        <v>0</v>
      </c>
      <c r="C19" s="4" t="n">
        <f aca="false">IFERROR(COUNTIFS('2. Raw Votes by Country'!B:B,$A19,'2. Raw Votes by Country'!G:G,"Asia"),0)</f>
        <v>0</v>
      </c>
      <c r="D19" s="4" t="n">
        <f aca="false">IFERROR(COUNTIFS('2. Raw Votes by Country'!B:B,$A19,'2. Raw Votes by Country'!G:G,"North America"),0)</f>
        <v>0</v>
      </c>
      <c r="E19" s="4" t="n">
        <f aca="false">IFERROR(COUNTIFS('2. Raw Votes by Country'!B:B,$A19,'2. Raw Votes by Country'!G:G,"South America"),0)</f>
        <v>0</v>
      </c>
      <c r="F19" s="4" t="n">
        <f aca="false">IFERROR(COUNTIFS('2. Raw Votes by Country'!B:B,$A19,'2. Raw Votes by Country'!G:G,"Oceania"),0)</f>
        <v>0</v>
      </c>
      <c r="G19" s="4" t="n">
        <f aca="false">IFERROR(COUNTIFS('2. Raw Votes by Country'!B:B,$A19,'2. Raw Votes by Country'!G:G,"Africa"),0)</f>
        <v>0</v>
      </c>
      <c r="H19" s="28" t="n">
        <f aca="false">SUM(B19:G19)</f>
        <v>0</v>
      </c>
      <c r="I19" s="28" t="n">
        <f aca="false">COUNTIF(B19:G19,"&gt;0")</f>
        <v>0</v>
      </c>
      <c r="J19" s="28" t="str">
        <f aca="false">IFERROR(INDEX($B$4:$G$4,MATCH(MAX(B19:G19),B19:G19,0)),"")</f>
        <v>Europe</v>
      </c>
      <c r="K19" s="32" t="n">
        <f aca="false">IFERROR(SUMPRODUCT((B19:G19/H19)^2),0)</f>
        <v>0</v>
      </c>
    </row>
    <row r="20" customFormat="false" ht="15" hidden="false" customHeight="false" outlineLevel="0" collapsed="false">
      <c r="A20" s="16"/>
      <c r="B20" s="15" t="n">
        <f aca="false">IFERROR(COUNTIFS('2. Raw Votes by Country'!B:B,$A20,'2. Raw Votes by Country'!G:G,"Europe"),0)</f>
        <v>0</v>
      </c>
      <c r="C20" s="15" t="n">
        <f aca="false">IFERROR(COUNTIFS('2. Raw Votes by Country'!B:B,$A20,'2. Raw Votes by Country'!G:G,"Asia"),0)</f>
        <v>0</v>
      </c>
      <c r="D20" s="15" t="n">
        <f aca="false">IFERROR(COUNTIFS('2. Raw Votes by Country'!B:B,$A20,'2. Raw Votes by Country'!G:G,"North America"),0)</f>
        <v>0</v>
      </c>
      <c r="E20" s="15" t="n">
        <f aca="false">IFERROR(COUNTIFS('2. Raw Votes by Country'!B:B,$A20,'2. Raw Votes by Country'!G:G,"South America"),0)</f>
        <v>0</v>
      </c>
      <c r="F20" s="15" t="n">
        <f aca="false">IFERROR(COUNTIFS('2. Raw Votes by Country'!B:B,$A20,'2. Raw Votes by Country'!G:G,"Oceania"),0)</f>
        <v>0</v>
      </c>
      <c r="G20" s="15" t="n">
        <f aca="false">IFERROR(COUNTIFS('2. Raw Votes by Country'!B:B,$A20,'2. Raw Votes by Country'!G:G,"Africa"),0)</f>
        <v>0</v>
      </c>
      <c r="H20" s="33" t="n">
        <f aca="false">SUM(B20:G20)</f>
        <v>0</v>
      </c>
      <c r="I20" s="33" t="n">
        <f aca="false">COUNTIF(B20:G20,"&gt;0")</f>
        <v>0</v>
      </c>
      <c r="J20" s="33" t="str">
        <f aca="false">IFERROR(INDEX($B$4:$G$4,MATCH(MAX(B20:G20),B20:G20,0)),"")</f>
        <v>Europe</v>
      </c>
      <c r="K20" s="34" t="n">
        <f aca="false">IFERROR(SUMPRODUCT((B20:G20/H20)^2),0)</f>
        <v>0</v>
      </c>
    </row>
    <row r="21" customFormat="false" ht="15" hidden="false" customHeight="false" outlineLevel="0" collapsed="false">
      <c r="A21" s="17"/>
      <c r="B21" s="4" t="n">
        <f aca="false">IFERROR(COUNTIFS('2. Raw Votes by Country'!B:B,$A21,'2. Raw Votes by Country'!G:G,"Europe"),0)</f>
        <v>0</v>
      </c>
      <c r="C21" s="4" t="n">
        <f aca="false">IFERROR(COUNTIFS('2. Raw Votes by Country'!B:B,$A21,'2. Raw Votes by Country'!G:G,"Asia"),0)</f>
        <v>0</v>
      </c>
      <c r="D21" s="4" t="n">
        <f aca="false">IFERROR(COUNTIFS('2. Raw Votes by Country'!B:B,$A21,'2. Raw Votes by Country'!G:G,"North America"),0)</f>
        <v>0</v>
      </c>
      <c r="E21" s="4" t="n">
        <f aca="false">IFERROR(COUNTIFS('2. Raw Votes by Country'!B:B,$A21,'2. Raw Votes by Country'!G:G,"South America"),0)</f>
        <v>0</v>
      </c>
      <c r="F21" s="4" t="n">
        <f aca="false">IFERROR(COUNTIFS('2. Raw Votes by Country'!B:B,$A21,'2. Raw Votes by Country'!G:G,"Oceania"),0)</f>
        <v>0</v>
      </c>
      <c r="G21" s="4" t="n">
        <f aca="false">IFERROR(COUNTIFS('2. Raw Votes by Country'!B:B,$A21,'2. Raw Votes by Country'!G:G,"Africa"),0)</f>
        <v>0</v>
      </c>
      <c r="H21" s="28" t="n">
        <f aca="false">SUM(B21:G21)</f>
        <v>0</v>
      </c>
      <c r="I21" s="28" t="n">
        <f aca="false">COUNTIF(B21:G21,"&gt;0")</f>
        <v>0</v>
      </c>
      <c r="J21" s="28" t="str">
        <f aca="false">IFERROR(INDEX($B$4:$G$4,MATCH(MAX(B21:G21),B21:G21,0)),"")</f>
        <v>Europe</v>
      </c>
      <c r="K21" s="32" t="n">
        <f aca="false">IFERROR(SUMPRODUCT((B21:G21/H21)^2),0)</f>
        <v>0</v>
      </c>
    </row>
    <row r="22" customFormat="false" ht="15" hidden="false" customHeight="false" outlineLevel="0" collapsed="false">
      <c r="A22" s="16"/>
      <c r="B22" s="15" t="n">
        <f aca="false">IFERROR(COUNTIFS('2. Raw Votes by Country'!B:B,$A22,'2. Raw Votes by Country'!G:G,"Europe"),0)</f>
        <v>0</v>
      </c>
      <c r="C22" s="15" t="n">
        <f aca="false">IFERROR(COUNTIFS('2. Raw Votes by Country'!B:B,$A22,'2. Raw Votes by Country'!G:G,"Asia"),0)</f>
        <v>0</v>
      </c>
      <c r="D22" s="15" t="n">
        <f aca="false">IFERROR(COUNTIFS('2. Raw Votes by Country'!B:B,$A22,'2. Raw Votes by Country'!G:G,"North America"),0)</f>
        <v>0</v>
      </c>
      <c r="E22" s="15" t="n">
        <f aca="false">IFERROR(COUNTIFS('2. Raw Votes by Country'!B:B,$A22,'2. Raw Votes by Country'!G:G,"South America"),0)</f>
        <v>0</v>
      </c>
      <c r="F22" s="15" t="n">
        <f aca="false">IFERROR(COUNTIFS('2. Raw Votes by Country'!B:B,$A22,'2. Raw Votes by Country'!G:G,"Oceania"),0)</f>
        <v>0</v>
      </c>
      <c r="G22" s="15" t="n">
        <f aca="false">IFERROR(COUNTIFS('2. Raw Votes by Country'!B:B,$A22,'2. Raw Votes by Country'!G:G,"Africa"),0)</f>
        <v>0</v>
      </c>
      <c r="H22" s="33" t="n">
        <f aca="false">SUM(B22:G22)</f>
        <v>0</v>
      </c>
      <c r="I22" s="33" t="n">
        <f aca="false">COUNTIF(B22:G22,"&gt;0")</f>
        <v>0</v>
      </c>
      <c r="J22" s="33" t="str">
        <f aca="false">IFERROR(INDEX($B$4:$G$4,MATCH(MAX(B22:G22),B22:G22,0)),"")</f>
        <v>Europe</v>
      </c>
      <c r="K22" s="34" t="n">
        <f aca="false">IFERROR(SUMPRODUCT((B22:G22/H22)^2),0)</f>
        <v>0</v>
      </c>
    </row>
    <row r="23" customFormat="false" ht="15" hidden="false" customHeight="false" outlineLevel="0" collapsed="false">
      <c r="A23" s="17"/>
      <c r="B23" s="4" t="n">
        <f aca="false">IFERROR(COUNTIFS('2. Raw Votes by Country'!B:B,$A23,'2. Raw Votes by Country'!G:G,"Europe"),0)</f>
        <v>0</v>
      </c>
      <c r="C23" s="4" t="n">
        <f aca="false">IFERROR(COUNTIFS('2. Raw Votes by Country'!B:B,$A23,'2. Raw Votes by Country'!G:G,"Asia"),0)</f>
        <v>0</v>
      </c>
      <c r="D23" s="4" t="n">
        <f aca="false">IFERROR(COUNTIFS('2. Raw Votes by Country'!B:B,$A23,'2. Raw Votes by Country'!G:G,"North America"),0)</f>
        <v>0</v>
      </c>
      <c r="E23" s="4" t="n">
        <f aca="false">IFERROR(COUNTIFS('2. Raw Votes by Country'!B:B,$A23,'2. Raw Votes by Country'!G:G,"South America"),0)</f>
        <v>0</v>
      </c>
      <c r="F23" s="4" t="n">
        <f aca="false">IFERROR(COUNTIFS('2. Raw Votes by Country'!B:B,$A23,'2. Raw Votes by Country'!G:G,"Oceania"),0)</f>
        <v>0</v>
      </c>
      <c r="G23" s="4" t="n">
        <f aca="false">IFERROR(COUNTIFS('2. Raw Votes by Country'!B:B,$A23,'2. Raw Votes by Country'!G:G,"Africa"),0)</f>
        <v>0</v>
      </c>
      <c r="H23" s="28" t="n">
        <f aca="false">SUM(B23:G23)</f>
        <v>0</v>
      </c>
      <c r="I23" s="28" t="n">
        <f aca="false">COUNTIF(B23:G23,"&gt;0")</f>
        <v>0</v>
      </c>
      <c r="J23" s="28" t="str">
        <f aca="false">IFERROR(INDEX($B$4:$G$4,MATCH(MAX(B23:G23),B23:G23,0)),"")</f>
        <v>Europe</v>
      </c>
      <c r="K23" s="32" t="n">
        <f aca="false">IFERROR(SUMPRODUCT((B23:G23/H23)^2),0)</f>
        <v>0</v>
      </c>
    </row>
    <row r="24" customFormat="false" ht="15" hidden="false" customHeight="false" outlineLevel="0" collapsed="false">
      <c r="A24" s="16"/>
      <c r="B24" s="15" t="n">
        <f aca="false">IFERROR(COUNTIFS('2. Raw Votes by Country'!B:B,$A24,'2. Raw Votes by Country'!G:G,"Europe"),0)</f>
        <v>0</v>
      </c>
      <c r="C24" s="15" t="n">
        <f aca="false">IFERROR(COUNTIFS('2. Raw Votes by Country'!B:B,$A24,'2. Raw Votes by Country'!G:G,"Asia"),0)</f>
        <v>0</v>
      </c>
      <c r="D24" s="15" t="n">
        <f aca="false">IFERROR(COUNTIFS('2. Raw Votes by Country'!B:B,$A24,'2. Raw Votes by Country'!G:G,"North America"),0)</f>
        <v>0</v>
      </c>
      <c r="E24" s="15" t="n">
        <f aca="false">IFERROR(COUNTIFS('2. Raw Votes by Country'!B:B,$A24,'2. Raw Votes by Country'!G:G,"South America"),0)</f>
        <v>0</v>
      </c>
      <c r="F24" s="15" t="n">
        <f aca="false">IFERROR(COUNTIFS('2. Raw Votes by Country'!B:B,$A24,'2. Raw Votes by Country'!G:G,"Oceania"),0)</f>
        <v>0</v>
      </c>
      <c r="G24" s="15" t="n">
        <f aca="false">IFERROR(COUNTIFS('2. Raw Votes by Country'!B:B,$A24,'2. Raw Votes by Country'!G:G,"Africa"),0)</f>
        <v>0</v>
      </c>
      <c r="H24" s="33" t="n">
        <f aca="false">SUM(B24:G24)</f>
        <v>0</v>
      </c>
      <c r="I24" s="33" t="n">
        <f aca="false">COUNTIF(B24:G24,"&gt;0")</f>
        <v>0</v>
      </c>
      <c r="J24" s="33" t="str">
        <f aca="false">IFERROR(INDEX($B$4:$G$4,MATCH(MAX(B24:G24),B24:G24,0)),"")</f>
        <v>Europe</v>
      </c>
      <c r="K24" s="34" t="n">
        <f aca="false">IFERROR(SUMPRODUCT((B24:G24/H24)^2),0)</f>
        <v>0</v>
      </c>
    </row>
    <row r="25" customFormat="false" ht="15" hidden="false" customHeight="false" outlineLevel="0" collapsed="false">
      <c r="A25" s="17"/>
      <c r="B25" s="4" t="n">
        <f aca="false">IFERROR(COUNTIFS('2. Raw Votes by Country'!B:B,$A25,'2. Raw Votes by Country'!G:G,"Europe"),0)</f>
        <v>0</v>
      </c>
      <c r="C25" s="4" t="n">
        <f aca="false">IFERROR(COUNTIFS('2. Raw Votes by Country'!B:B,$A25,'2. Raw Votes by Country'!G:G,"Asia"),0)</f>
        <v>0</v>
      </c>
      <c r="D25" s="4" t="n">
        <f aca="false">IFERROR(COUNTIFS('2. Raw Votes by Country'!B:B,$A25,'2. Raw Votes by Country'!G:G,"North America"),0)</f>
        <v>0</v>
      </c>
      <c r="E25" s="4" t="n">
        <f aca="false">IFERROR(COUNTIFS('2. Raw Votes by Country'!B:B,$A25,'2. Raw Votes by Country'!G:G,"South America"),0)</f>
        <v>0</v>
      </c>
      <c r="F25" s="4" t="n">
        <f aca="false">IFERROR(COUNTIFS('2. Raw Votes by Country'!B:B,$A25,'2. Raw Votes by Country'!G:G,"Oceania"),0)</f>
        <v>0</v>
      </c>
      <c r="G25" s="4" t="n">
        <f aca="false">IFERROR(COUNTIFS('2. Raw Votes by Country'!B:B,$A25,'2. Raw Votes by Country'!G:G,"Africa"),0)</f>
        <v>0</v>
      </c>
      <c r="H25" s="28" t="n">
        <f aca="false">SUM(B25:G25)</f>
        <v>0</v>
      </c>
      <c r="I25" s="28" t="n">
        <f aca="false">COUNTIF(B25:G25,"&gt;0")</f>
        <v>0</v>
      </c>
      <c r="J25" s="28" t="str">
        <f aca="false">IFERROR(INDEX($B$4:$G$4,MATCH(MAX(B25:G25),B25:G25,0)),"")</f>
        <v>Europe</v>
      </c>
      <c r="K25" s="32" t="n">
        <f aca="false">IFERROR(SUMPRODUCT((B25:G25/H25)^2),0)</f>
        <v>0</v>
      </c>
    </row>
    <row r="26" customFormat="false" ht="15" hidden="false" customHeight="false" outlineLevel="0" collapsed="false">
      <c r="A26" s="16"/>
      <c r="B26" s="15" t="n">
        <f aca="false">IFERROR(COUNTIFS('2. Raw Votes by Country'!B:B,$A26,'2. Raw Votes by Country'!G:G,"Europe"),0)</f>
        <v>0</v>
      </c>
      <c r="C26" s="15" t="n">
        <f aca="false">IFERROR(COUNTIFS('2. Raw Votes by Country'!B:B,$A26,'2. Raw Votes by Country'!G:G,"Asia"),0)</f>
        <v>0</v>
      </c>
      <c r="D26" s="15" t="n">
        <f aca="false">IFERROR(COUNTIFS('2. Raw Votes by Country'!B:B,$A26,'2. Raw Votes by Country'!G:G,"North America"),0)</f>
        <v>0</v>
      </c>
      <c r="E26" s="15" t="n">
        <f aca="false">IFERROR(COUNTIFS('2. Raw Votes by Country'!B:B,$A26,'2. Raw Votes by Country'!G:G,"South America"),0)</f>
        <v>0</v>
      </c>
      <c r="F26" s="15" t="n">
        <f aca="false">IFERROR(COUNTIFS('2. Raw Votes by Country'!B:B,$A26,'2. Raw Votes by Country'!G:G,"Oceania"),0)</f>
        <v>0</v>
      </c>
      <c r="G26" s="15" t="n">
        <f aca="false">IFERROR(COUNTIFS('2. Raw Votes by Country'!B:B,$A26,'2. Raw Votes by Country'!G:G,"Africa"),0)</f>
        <v>0</v>
      </c>
      <c r="H26" s="33" t="n">
        <f aca="false">SUM(B26:G26)</f>
        <v>0</v>
      </c>
      <c r="I26" s="33" t="n">
        <f aca="false">COUNTIF(B26:G26,"&gt;0")</f>
        <v>0</v>
      </c>
      <c r="J26" s="33" t="str">
        <f aca="false">IFERROR(INDEX($B$4:$G$4,MATCH(MAX(B26:G26),B26:G26,0)),"")</f>
        <v>Europe</v>
      </c>
      <c r="K26" s="34" t="n">
        <f aca="false">IFERROR(SUMPRODUCT((B26:G26/H26)^2),0)</f>
        <v>0</v>
      </c>
    </row>
    <row r="27" customFormat="false" ht="15" hidden="false" customHeight="false" outlineLevel="0" collapsed="false">
      <c r="A27" s="17"/>
      <c r="B27" s="4" t="n">
        <f aca="false">IFERROR(COUNTIFS('2. Raw Votes by Country'!B:B,$A27,'2. Raw Votes by Country'!G:G,"Europe"),0)</f>
        <v>0</v>
      </c>
      <c r="C27" s="4" t="n">
        <f aca="false">IFERROR(COUNTIFS('2. Raw Votes by Country'!B:B,$A27,'2. Raw Votes by Country'!G:G,"Asia"),0)</f>
        <v>0</v>
      </c>
      <c r="D27" s="4" t="n">
        <f aca="false">IFERROR(COUNTIFS('2. Raw Votes by Country'!B:B,$A27,'2. Raw Votes by Country'!G:G,"North America"),0)</f>
        <v>0</v>
      </c>
      <c r="E27" s="4" t="n">
        <f aca="false">IFERROR(COUNTIFS('2. Raw Votes by Country'!B:B,$A27,'2. Raw Votes by Country'!G:G,"South America"),0)</f>
        <v>0</v>
      </c>
      <c r="F27" s="4" t="n">
        <f aca="false">IFERROR(COUNTIFS('2. Raw Votes by Country'!B:B,$A27,'2. Raw Votes by Country'!G:G,"Oceania"),0)</f>
        <v>0</v>
      </c>
      <c r="G27" s="4" t="n">
        <f aca="false">IFERROR(COUNTIFS('2. Raw Votes by Country'!B:B,$A27,'2. Raw Votes by Country'!G:G,"Africa"),0)</f>
        <v>0</v>
      </c>
      <c r="H27" s="28" t="n">
        <f aca="false">SUM(B27:G27)</f>
        <v>0</v>
      </c>
      <c r="I27" s="28" t="n">
        <f aca="false">COUNTIF(B27:G27,"&gt;0")</f>
        <v>0</v>
      </c>
      <c r="J27" s="28" t="str">
        <f aca="false">IFERROR(INDEX($B$4:$G$4,MATCH(MAX(B27:G27),B27:G27,0)),"")</f>
        <v>Europe</v>
      </c>
      <c r="K27" s="32" t="n">
        <f aca="false">IFERROR(SUMPRODUCT((B27:G27/H27)^2),0)</f>
        <v>0</v>
      </c>
    </row>
    <row r="28" customFormat="false" ht="15" hidden="false" customHeight="false" outlineLevel="0" collapsed="false">
      <c r="A28" s="16"/>
      <c r="B28" s="15" t="n">
        <f aca="false">IFERROR(COUNTIFS('2. Raw Votes by Country'!B:B,$A28,'2. Raw Votes by Country'!G:G,"Europe"),0)</f>
        <v>0</v>
      </c>
      <c r="C28" s="15" t="n">
        <f aca="false">IFERROR(COUNTIFS('2. Raw Votes by Country'!B:B,$A28,'2. Raw Votes by Country'!G:G,"Asia"),0)</f>
        <v>0</v>
      </c>
      <c r="D28" s="15" t="n">
        <f aca="false">IFERROR(COUNTIFS('2. Raw Votes by Country'!B:B,$A28,'2. Raw Votes by Country'!G:G,"North America"),0)</f>
        <v>0</v>
      </c>
      <c r="E28" s="15" t="n">
        <f aca="false">IFERROR(COUNTIFS('2. Raw Votes by Country'!B:B,$A28,'2. Raw Votes by Country'!G:G,"South America"),0)</f>
        <v>0</v>
      </c>
      <c r="F28" s="15" t="n">
        <f aca="false">IFERROR(COUNTIFS('2. Raw Votes by Country'!B:B,$A28,'2. Raw Votes by Country'!G:G,"Oceania"),0)</f>
        <v>0</v>
      </c>
      <c r="G28" s="15" t="n">
        <f aca="false">IFERROR(COUNTIFS('2. Raw Votes by Country'!B:B,$A28,'2. Raw Votes by Country'!G:G,"Africa"),0)</f>
        <v>0</v>
      </c>
      <c r="H28" s="33" t="n">
        <f aca="false">SUM(B28:G28)</f>
        <v>0</v>
      </c>
      <c r="I28" s="33" t="n">
        <f aca="false">COUNTIF(B28:G28,"&gt;0")</f>
        <v>0</v>
      </c>
      <c r="J28" s="33" t="str">
        <f aca="false">IFERROR(INDEX($B$4:$G$4,MATCH(MAX(B28:G28),B28:G28,0)),"")</f>
        <v>Europe</v>
      </c>
      <c r="K28" s="34" t="n">
        <f aca="false">IFERROR(SUMPRODUCT((B28:G28/H28)^2),0)</f>
        <v>0</v>
      </c>
    </row>
    <row r="29" customFormat="false" ht="15" hidden="false" customHeight="false" outlineLevel="0" collapsed="false">
      <c r="A29" s="17"/>
      <c r="B29" s="4" t="n">
        <f aca="false">IFERROR(COUNTIFS('2. Raw Votes by Country'!B:B,$A29,'2. Raw Votes by Country'!G:G,"Europe"),0)</f>
        <v>0</v>
      </c>
      <c r="C29" s="4" t="n">
        <f aca="false">IFERROR(COUNTIFS('2. Raw Votes by Country'!B:B,$A29,'2. Raw Votes by Country'!G:G,"Asia"),0)</f>
        <v>0</v>
      </c>
      <c r="D29" s="4" t="n">
        <f aca="false">IFERROR(COUNTIFS('2. Raw Votes by Country'!B:B,$A29,'2. Raw Votes by Country'!G:G,"North America"),0)</f>
        <v>0</v>
      </c>
      <c r="E29" s="4" t="n">
        <f aca="false">IFERROR(COUNTIFS('2. Raw Votes by Country'!B:B,$A29,'2. Raw Votes by Country'!G:G,"South America"),0)</f>
        <v>0</v>
      </c>
      <c r="F29" s="4" t="n">
        <f aca="false">IFERROR(COUNTIFS('2. Raw Votes by Country'!B:B,$A29,'2. Raw Votes by Country'!G:G,"Oceania"),0)</f>
        <v>0</v>
      </c>
      <c r="G29" s="4" t="n">
        <f aca="false">IFERROR(COUNTIFS('2. Raw Votes by Country'!B:B,$A29,'2. Raw Votes by Country'!G:G,"Africa"),0)</f>
        <v>0</v>
      </c>
      <c r="H29" s="28" t="n">
        <f aca="false">SUM(B29:G29)</f>
        <v>0</v>
      </c>
      <c r="I29" s="28" t="n">
        <f aca="false">COUNTIF(B29:G29,"&gt;0")</f>
        <v>0</v>
      </c>
      <c r="J29" s="28" t="str">
        <f aca="false">IFERROR(INDEX($B$4:$G$4,MATCH(MAX(B29:G29),B29:G29,0)),"")</f>
        <v>Europe</v>
      </c>
      <c r="K29" s="32" t="n">
        <f aca="false">IFERROR(SUMPRODUCT((B29:G29/H29)^2),0)</f>
        <v>0</v>
      </c>
    </row>
    <row r="30" customFormat="false" ht="15" hidden="false" customHeight="false" outlineLevel="0" collapsed="false">
      <c r="A30" s="16"/>
      <c r="B30" s="15" t="n">
        <f aca="false">IFERROR(COUNTIFS('2. Raw Votes by Country'!B:B,$A30,'2. Raw Votes by Country'!G:G,"Europe"),0)</f>
        <v>0</v>
      </c>
      <c r="C30" s="15" t="n">
        <f aca="false">IFERROR(COUNTIFS('2. Raw Votes by Country'!B:B,$A30,'2. Raw Votes by Country'!G:G,"Asia"),0)</f>
        <v>0</v>
      </c>
      <c r="D30" s="15" t="n">
        <f aca="false">IFERROR(COUNTIFS('2. Raw Votes by Country'!B:B,$A30,'2. Raw Votes by Country'!G:G,"North America"),0)</f>
        <v>0</v>
      </c>
      <c r="E30" s="15" t="n">
        <f aca="false">IFERROR(COUNTIFS('2. Raw Votes by Country'!B:B,$A30,'2. Raw Votes by Country'!G:G,"South America"),0)</f>
        <v>0</v>
      </c>
      <c r="F30" s="15" t="n">
        <f aca="false">IFERROR(COUNTIFS('2. Raw Votes by Country'!B:B,$A30,'2. Raw Votes by Country'!G:G,"Oceania"),0)</f>
        <v>0</v>
      </c>
      <c r="G30" s="15" t="n">
        <f aca="false">IFERROR(COUNTIFS('2. Raw Votes by Country'!B:B,$A30,'2. Raw Votes by Country'!G:G,"Africa"),0)</f>
        <v>0</v>
      </c>
      <c r="H30" s="33" t="n">
        <f aca="false">SUM(B30:G30)</f>
        <v>0</v>
      </c>
      <c r="I30" s="33" t="n">
        <f aca="false">COUNTIF(B30:G30,"&gt;0")</f>
        <v>0</v>
      </c>
      <c r="J30" s="33" t="str">
        <f aca="false">IFERROR(INDEX($B$4:$G$4,MATCH(MAX(B30:G30),B30:G30,0)),"")</f>
        <v>Europe</v>
      </c>
      <c r="K30" s="34" t="n">
        <f aca="false">IFERROR(SUMPRODUCT((B30:G30/H30)^2),0)</f>
        <v>0</v>
      </c>
    </row>
    <row r="31" customFormat="false" ht="15" hidden="false" customHeight="false" outlineLevel="0" collapsed="false">
      <c r="A31" s="17"/>
      <c r="B31" s="4" t="n">
        <f aca="false">IFERROR(COUNTIFS('2. Raw Votes by Country'!B:B,$A31,'2. Raw Votes by Country'!G:G,"Europe"),0)</f>
        <v>0</v>
      </c>
      <c r="C31" s="4" t="n">
        <f aca="false">IFERROR(COUNTIFS('2. Raw Votes by Country'!B:B,$A31,'2. Raw Votes by Country'!G:G,"Asia"),0)</f>
        <v>0</v>
      </c>
      <c r="D31" s="4" t="n">
        <f aca="false">IFERROR(COUNTIFS('2. Raw Votes by Country'!B:B,$A31,'2. Raw Votes by Country'!G:G,"North America"),0)</f>
        <v>0</v>
      </c>
      <c r="E31" s="4" t="n">
        <f aca="false">IFERROR(COUNTIFS('2. Raw Votes by Country'!B:B,$A31,'2. Raw Votes by Country'!G:G,"South America"),0)</f>
        <v>0</v>
      </c>
      <c r="F31" s="4" t="n">
        <f aca="false">IFERROR(COUNTIFS('2. Raw Votes by Country'!B:B,$A31,'2. Raw Votes by Country'!G:G,"Oceania"),0)</f>
        <v>0</v>
      </c>
      <c r="G31" s="4" t="n">
        <f aca="false">IFERROR(COUNTIFS('2. Raw Votes by Country'!B:B,$A31,'2. Raw Votes by Country'!G:G,"Africa"),0)</f>
        <v>0</v>
      </c>
      <c r="H31" s="28" t="n">
        <f aca="false">SUM(B31:G31)</f>
        <v>0</v>
      </c>
      <c r="I31" s="28" t="n">
        <f aca="false">COUNTIF(B31:G31,"&gt;0")</f>
        <v>0</v>
      </c>
      <c r="J31" s="28" t="str">
        <f aca="false">IFERROR(INDEX($B$4:$G$4,MATCH(MAX(B31:G31),B31:G31,0)),"")</f>
        <v>Europe</v>
      </c>
      <c r="K31" s="32" t="n">
        <f aca="false">IFERROR(SUMPRODUCT((B31:G31/H31)^2),0)</f>
        <v>0</v>
      </c>
    </row>
    <row r="32" customFormat="false" ht="15" hidden="false" customHeight="false" outlineLevel="0" collapsed="false">
      <c r="A32" s="16"/>
      <c r="B32" s="15" t="n">
        <f aca="false">IFERROR(COUNTIFS('2. Raw Votes by Country'!B:B,$A32,'2. Raw Votes by Country'!G:G,"Europe"),0)</f>
        <v>0</v>
      </c>
      <c r="C32" s="15" t="n">
        <f aca="false">IFERROR(COUNTIFS('2. Raw Votes by Country'!B:B,$A32,'2. Raw Votes by Country'!G:G,"Asia"),0)</f>
        <v>0</v>
      </c>
      <c r="D32" s="15" t="n">
        <f aca="false">IFERROR(COUNTIFS('2. Raw Votes by Country'!B:B,$A32,'2. Raw Votes by Country'!G:G,"North America"),0)</f>
        <v>0</v>
      </c>
      <c r="E32" s="15" t="n">
        <f aca="false">IFERROR(COUNTIFS('2. Raw Votes by Country'!B:B,$A32,'2. Raw Votes by Country'!G:G,"South America"),0)</f>
        <v>0</v>
      </c>
      <c r="F32" s="15" t="n">
        <f aca="false">IFERROR(COUNTIFS('2. Raw Votes by Country'!B:B,$A32,'2. Raw Votes by Country'!G:G,"Oceania"),0)</f>
        <v>0</v>
      </c>
      <c r="G32" s="15" t="n">
        <f aca="false">IFERROR(COUNTIFS('2. Raw Votes by Country'!B:B,$A32,'2. Raw Votes by Country'!G:G,"Africa"),0)</f>
        <v>0</v>
      </c>
      <c r="H32" s="33" t="n">
        <f aca="false">SUM(B32:G32)</f>
        <v>0</v>
      </c>
      <c r="I32" s="33" t="n">
        <f aca="false">COUNTIF(B32:G32,"&gt;0")</f>
        <v>0</v>
      </c>
      <c r="J32" s="33" t="str">
        <f aca="false">IFERROR(INDEX($B$4:$G$4,MATCH(MAX(B32:G32),B32:G32,0)),"")</f>
        <v>Europe</v>
      </c>
      <c r="K32" s="34" t="n">
        <f aca="false">IFERROR(SUMPRODUCT((B32:G32/H32)^2),0)</f>
        <v>0</v>
      </c>
    </row>
    <row r="33" customFormat="false" ht="15" hidden="false" customHeight="false" outlineLevel="0" collapsed="false">
      <c r="A33" s="17"/>
      <c r="B33" s="4" t="n">
        <f aca="false">IFERROR(COUNTIFS('2. Raw Votes by Country'!B:B,$A33,'2. Raw Votes by Country'!G:G,"Europe"),0)</f>
        <v>0</v>
      </c>
      <c r="C33" s="4" t="n">
        <f aca="false">IFERROR(COUNTIFS('2. Raw Votes by Country'!B:B,$A33,'2. Raw Votes by Country'!G:G,"Asia"),0)</f>
        <v>0</v>
      </c>
      <c r="D33" s="4" t="n">
        <f aca="false">IFERROR(COUNTIFS('2. Raw Votes by Country'!B:B,$A33,'2. Raw Votes by Country'!G:G,"North America"),0)</f>
        <v>0</v>
      </c>
      <c r="E33" s="4" t="n">
        <f aca="false">IFERROR(COUNTIFS('2. Raw Votes by Country'!B:B,$A33,'2. Raw Votes by Country'!G:G,"South America"),0)</f>
        <v>0</v>
      </c>
      <c r="F33" s="4" t="n">
        <f aca="false">IFERROR(COUNTIFS('2. Raw Votes by Country'!B:B,$A33,'2. Raw Votes by Country'!G:G,"Oceania"),0)</f>
        <v>0</v>
      </c>
      <c r="G33" s="4" t="n">
        <f aca="false">IFERROR(COUNTIFS('2. Raw Votes by Country'!B:B,$A33,'2. Raw Votes by Country'!G:G,"Africa"),0)</f>
        <v>0</v>
      </c>
      <c r="H33" s="28" t="n">
        <f aca="false">SUM(B33:G33)</f>
        <v>0</v>
      </c>
      <c r="I33" s="28" t="n">
        <f aca="false">COUNTIF(B33:G33,"&gt;0")</f>
        <v>0</v>
      </c>
      <c r="J33" s="28" t="str">
        <f aca="false">IFERROR(INDEX($B$4:$G$4,MATCH(MAX(B33:G33),B33:G33,0)),"")</f>
        <v>Europe</v>
      </c>
      <c r="K33" s="32" t="n">
        <f aca="false">IFERROR(SUMPRODUCT((B33:G33/H33)^2),0)</f>
        <v>0</v>
      </c>
    </row>
    <row r="34" customFormat="false" ht="15" hidden="false" customHeight="false" outlineLevel="0" collapsed="false">
      <c r="A34" s="16"/>
      <c r="B34" s="15" t="n">
        <f aca="false">IFERROR(COUNTIFS('2. Raw Votes by Country'!B:B,$A34,'2. Raw Votes by Country'!G:G,"Europe"),0)</f>
        <v>0</v>
      </c>
      <c r="C34" s="15" t="n">
        <f aca="false">IFERROR(COUNTIFS('2. Raw Votes by Country'!B:B,$A34,'2. Raw Votes by Country'!G:G,"Asia"),0)</f>
        <v>0</v>
      </c>
      <c r="D34" s="15" t="n">
        <f aca="false">IFERROR(COUNTIFS('2. Raw Votes by Country'!B:B,$A34,'2. Raw Votes by Country'!G:G,"North America"),0)</f>
        <v>0</v>
      </c>
      <c r="E34" s="15" t="n">
        <f aca="false">IFERROR(COUNTIFS('2. Raw Votes by Country'!B:B,$A34,'2. Raw Votes by Country'!G:G,"South America"),0)</f>
        <v>0</v>
      </c>
      <c r="F34" s="15" t="n">
        <f aca="false">IFERROR(COUNTIFS('2. Raw Votes by Country'!B:B,$A34,'2. Raw Votes by Country'!G:G,"Oceania"),0)</f>
        <v>0</v>
      </c>
      <c r="G34" s="15" t="n">
        <f aca="false">IFERROR(COUNTIFS('2. Raw Votes by Country'!B:B,$A34,'2. Raw Votes by Country'!G:G,"Africa"),0)</f>
        <v>0</v>
      </c>
      <c r="H34" s="33" t="n">
        <f aca="false">SUM(B34:G34)</f>
        <v>0</v>
      </c>
      <c r="I34" s="33" t="n">
        <f aca="false">COUNTIF(B34:G34,"&gt;0")</f>
        <v>0</v>
      </c>
      <c r="J34" s="33" t="str">
        <f aca="false">IFERROR(INDEX($B$4:$G$4,MATCH(MAX(B34:G34),B34:G34,0)),"")</f>
        <v>Europe</v>
      </c>
      <c r="K34" s="34" t="n">
        <f aca="false">IFERROR(SUMPRODUCT((B34:G34/H34)^2),0)</f>
        <v>0</v>
      </c>
    </row>
    <row r="35" customFormat="false" ht="15" hidden="false" customHeight="false" outlineLevel="0" collapsed="false">
      <c r="A35" s="17"/>
      <c r="B35" s="4" t="n">
        <f aca="false">IFERROR(COUNTIFS('2. Raw Votes by Country'!B:B,$A35,'2. Raw Votes by Country'!G:G,"Europe"),0)</f>
        <v>0</v>
      </c>
      <c r="C35" s="4" t="n">
        <f aca="false">IFERROR(COUNTIFS('2. Raw Votes by Country'!B:B,$A35,'2. Raw Votes by Country'!G:G,"Asia"),0)</f>
        <v>0</v>
      </c>
      <c r="D35" s="4" t="n">
        <f aca="false">IFERROR(COUNTIFS('2. Raw Votes by Country'!B:B,$A35,'2. Raw Votes by Country'!G:G,"North America"),0)</f>
        <v>0</v>
      </c>
      <c r="E35" s="4" t="n">
        <f aca="false">IFERROR(COUNTIFS('2. Raw Votes by Country'!B:B,$A35,'2. Raw Votes by Country'!G:G,"South America"),0)</f>
        <v>0</v>
      </c>
      <c r="F35" s="4" t="n">
        <f aca="false">IFERROR(COUNTIFS('2. Raw Votes by Country'!B:B,$A35,'2. Raw Votes by Country'!G:G,"Oceania"),0)</f>
        <v>0</v>
      </c>
      <c r="G35" s="4" t="n">
        <f aca="false">IFERROR(COUNTIFS('2. Raw Votes by Country'!B:B,$A35,'2. Raw Votes by Country'!G:G,"Africa"),0)</f>
        <v>0</v>
      </c>
      <c r="H35" s="28" t="n">
        <f aca="false">SUM(B35:G35)</f>
        <v>0</v>
      </c>
      <c r="I35" s="28" t="n">
        <f aca="false">COUNTIF(B35:G35,"&gt;0")</f>
        <v>0</v>
      </c>
      <c r="J35" s="28" t="str">
        <f aca="false">IFERROR(INDEX($B$4:$G$4,MATCH(MAX(B35:G35),B35:G35,0)),"")</f>
        <v>Europe</v>
      </c>
      <c r="K35" s="32" t="n">
        <f aca="false">IFERROR(SUMPRODUCT((B35:G35/H35)^2),0)</f>
        <v>0</v>
      </c>
    </row>
    <row r="36" customFormat="false" ht="15" hidden="false" customHeight="false" outlineLevel="0" collapsed="false">
      <c r="A36" s="16"/>
      <c r="B36" s="15" t="n">
        <f aca="false">IFERROR(COUNTIFS('2. Raw Votes by Country'!B:B,$A36,'2. Raw Votes by Country'!G:G,"Europe"),0)</f>
        <v>0</v>
      </c>
      <c r="C36" s="15" t="n">
        <f aca="false">IFERROR(COUNTIFS('2. Raw Votes by Country'!B:B,$A36,'2. Raw Votes by Country'!G:G,"Asia"),0)</f>
        <v>0</v>
      </c>
      <c r="D36" s="15" t="n">
        <f aca="false">IFERROR(COUNTIFS('2. Raw Votes by Country'!B:B,$A36,'2. Raw Votes by Country'!G:G,"North America"),0)</f>
        <v>0</v>
      </c>
      <c r="E36" s="15" t="n">
        <f aca="false">IFERROR(COUNTIFS('2. Raw Votes by Country'!B:B,$A36,'2. Raw Votes by Country'!G:G,"South America"),0)</f>
        <v>0</v>
      </c>
      <c r="F36" s="15" t="n">
        <f aca="false">IFERROR(COUNTIFS('2. Raw Votes by Country'!B:B,$A36,'2. Raw Votes by Country'!G:G,"Oceania"),0)</f>
        <v>0</v>
      </c>
      <c r="G36" s="15" t="n">
        <f aca="false">IFERROR(COUNTIFS('2. Raw Votes by Country'!B:B,$A36,'2. Raw Votes by Country'!G:G,"Africa"),0)</f>
        <v>0</v>
      </c>
      <c r="H36" s="33" t="n">
        <f aca="false">SUM(B36:G36)</f>
        <v>0</v>
      </c>
      <c r="I36" s="33" t="n">
        <f aca="false">COUNTIF(B36:G36,"&gt;0")</f>
        <v>0</v>
      </c>
      <c r="J36" s="33" t="str">
        <f aca="false">IFERROR(INDEX($B$4:$G$4,MATCH(MAX(B36:G36),B36:G36,0)),"")</f>
        <v>Europe</v>
      </c>
      <c r="K36" s="34" t="n">
        <f aca="false">IFERROR(SUMPRODUCT((B36:G36/H36)^2),0)</f>
        <v>0</v>
      </c>
    </row>
    <row r="37" customFormat="false" ht="15" hidden="false" customHeight="false" outlineLevel="0" collapsed="false">
      <c r="A37" s="17"/>
      <c r="B37" s="4" t="n">
        <f aca="false">IFERROR(COUNTIFS('2. Raw Votes by Country'!B:B,$A37,'2. Raw Votes by Country'!G:G,"Europe"),0)</f>
        <v>0</v>
      </c>
      <c r="C37" s="4" t="n">
        <f aca="false">IFERROR(COUNTIFS('2. Raw Votes by Country'!B:B,$A37,'2. Raw Votes by Country'!G:G,"Asia"),0)</f>
        <v>0</v>
      </c>
      <c r="D37" s="4" t="n">
        <f aca="false">IFERROR(COUNTIFS('2. Raw Votes by Country'!B:B,$A37,'2. Raw Votes by Country'!G:G,"North America"),0)</f>
        <v>0</v>
      </c>
      <c r="E37" s="4" t="n">
        <f aca="false">IFERROR(COUNTIFS('2. Raw Votes by Country'!B:B,$A37,'2. Raw Votes by Country'!G:G,"South America"),0)</f>
        <v>0</v>
      </c>
      <c r="F37" s="4" t="n">
        <f aca="false">IFERROR(COUNTIFS('2. Raw Votes by Country'!B:B,$A37,'2. Raw Votes by Country'!G:G,"Oceania"),0)</f>
        <v>0</v>
      </c>
      <c r="G37" s="4" t="n">
        <f aca="false">IFERROR(COUNTIFS('2. Raw Votes by Country'!B:B,$A37,'2. Raw Votes by Country'!G:G,"Africa"),0)</f>
        <v>0</v>
      </c>
      <c r="H37" s="28" t="n">
        <f aca="false">SUM(B37:G37)</f>
        <v>0</v>
      </c>
      <c r="I37" s="28" t="n">
        <f aca="false">COUNTIF(B37:G37,"&gt;0")</f>
        <v>0</v>
      </c>
      <c r="J37" s="28" t="str">
        <f aca="false">IFERROR(INDEX($B$4:$G$4,MATCH(MAX(B37:G37),B37:G37,0)),"")</f>
        <v>Europe</v>
      </c>
      <c r="K37" s="32" t="n">
        <f aca="false">IFERROR(SUMPRODUCT((B37:G37/H37)^2),0)</f>
        <v>0</v>
      </c>
    </row>
    <row r="38" customFormat="false" ht="15" hidden="false" customHeight="false" outlineLevel="0" collapsed="false">
      <c r="A38" s="16"/>
      <c r="B38" s="15" t="n">
        <f aca="false">IFERROR(COUNTIFS('2. Raw Votes by Country'!B:B,$A38,'2. Raw Votes by Country'!G:G,"Europe"),0)</f>
        <v>0</v>
      </c>
      <c r="C38" s="15" t="n">
        <f aca="false">IFERROR(COUNTIFS('2. Raw Votes by Country'!B:B,$A38,'2. Raw Votes by Country'!G:G,"Asia"),0)</f>
        <v>0</v>
      </c>
      <c r="D38" s="15" t="n">
        <f aca="false">IFERROR(COUNTIFS('2. Raw Votes by Country'!B:B,$A38,'2. Raw Votes by Country'!G:G,"North America"),0)</f>
        <v>0</v>
      </c>
      <c r="E38" s="15" t="n">
        <f aca="false">IFERROR(COUNTIFS('2. Raw Votes by Country'!B:B,$A38,'2. Raw Votes by Country'!G:G,"South America"),0)</f>
        <v>0</v>
      </c>
      <c r="F38" s="15" t="n">
        <f aca="false">IFERROR(COUNTIFS('2. Raw Votes by Country'!B:B,$A38,'2. Raw Votes by Country'!G:G,"Oceania"),0)</f>
        <v>0</v>
      </c>
      <c r="G38" s="15" t="n">
        <f aca="false">IFERROR(COUNTIFS('2. Raw Votes by Country'!B:B,$A38,'2. Raw Votes by Country'!G:G,"Africa"),0)</f>
        <v>0</v>
      </c>
      <c r="H38" s="33" t="n">
        <f aca="false">SUM(B38:G38)</f>
        <v>0</v>
      </c>
      <c r="I38" s="33" t="n">
        <f aca="false">COUNTIF(B38:G38,"&gt;0")</f>
        <v>0</v>
      </c>
      <c r="J38" s="33" t="str">
        <f aca="false">IFERROR(INDEX($B$4:$G$4,MATCH(MAX(B38:G38),B38:G38,0)),"")</f>
        <v>Europe</v>
      </c>
      <c r="K38" s="34" t="n">
        <f aca="false">IFERROR(SUMPRODUCT((B38:G38/H38)^2),0)</f>
        <v>0</v>
      </c>
    </row>
    <row r="39" customFormat="false" ht="15" hidden="false" customHeight="false" outlineLevel="0" collapsed="false">
      <c r="A39" s="17"/>
      <c r="B39" s="4" t="n">
        <f aca="false">IFERROR(COUNTIFS('2. Raw Votes by Country'!B:B,$A39,'2. Raw Votes by Country'!G:G,"Europe"),0)</f>
        <v>0</v>
      </c>
      <c r="C39" s="4" t="n">
        <f aca="false">IFERROR(COUNTIFS('2. Raw Votes by Country'!B:B,$A39,'2. Raw Votes by Country'!G:G,"Asia"),0)</f>
        <v>0</v>
      </c>
      <c r="D39" s="4" t="n">
        <f aca="false">IFERROR(COUNTIFS('2. Raw Votes by Country'!B:B,$A39,'2. Raw Votes by Country'!G:G,"North America"),0)</f>
        <v>0</v>
      </c>
      <c r="E39" s="4" t="n">
        <f aca="false">IFERROR(COUNTIFS('2. Raw Votes by Country'!B:B,$A39,'2. Raw Votes by Country'!G:G,"South America"),0)</f>
        <v>0</v>
      </c>
      <c r="F39" s="4" t="n">
        <f aca="false">IFERROR(COUNTIFS('2. Raw Votes by Country'!B:B,$A39,'2. Raw Votes by Country'!G:G,"Oceania"),0)</f>
        <v>0</v>
      </c>
      <c r="G39" s="4" t="n">
        <f aca="false">IFERROR(COUNTIFS('2. Raw Votes by Country'!B:B,$A39,'2. Raw Votes by Country'!G:G,"Africa"),0)</f>
        <v>0</v>
      </c>
      <c r="H39" s="28" t="n">
        <f aca="false">SUM(B39:G39)</f>
        <v>0</v>
      </c>
      <c r="I39" s="28" t="n">
        <f aca="false">COUNTIF(B39:G39,"&gt;0")</f>
        <v>0</v>
      </c>
      <c r="J39" s="28" t="str">
        <f aca="false">IFERROR(INDEX($B$4:$G$4,MATCH(MAX(B39:G39),B39:G39,0)),"")</f>
        <v>Europe</v>
      </c>
      <c r="K39" s="32" t="n">
        <f aca="false">IFERROR(SUMPRODUCT((B39:G39/H39)^2),0)</f>
        <v>0</v>
      </c>
    </row>
    <row r="40" customFormat="false" ht="15" hidden="false" customHeight="false" outlineLevel="0" collapsed="false">
      <c r="A40" s="16"/>
      <c r="B40" s="15" t="n">
        <f aca="false">IFERROR(COUNTIFS('2. Raw Votes by Country'!B:B,$A40,'2. Raw Votes by Country'!G:G,"Europe"),0)</f>
        <v>0</v>
      </c>
      <c r="C40" s="15" t="n">
        <f aca="false">IFERROR(COUNTIFS('2. Raw Votes by Country'!B:B,$A40,'2. Raw Votes by Country'!G:G,"Asia"),0)</f>
        <v>0</v>
      </c>
      <c r="D40" s="15" t="n">
        <f aca="false">IFERROR(COUNTIFS('2. Raw Votes by Country'!B:B,$A40,'2. Raw Votes by Country'!G:G,"North America"),0)</f>
        <v>0</v>
      </c>
      <c r="E40" s="15" t="n">
        <f aca="false">IFERROR(COUNTIFS('2. Raw Votes by Country'!B:B,$A40,'2. Raw Votes by Country'!G:G,"South America"),0)</f>
        <v>0</v>
      </c>
      <c r="F40" s="15" t="n">
        <f aca="false">IFERROR(COUNTIFS('2. Raw Votes by Country'!B:B,$A40,'2. Raw Votes by Country'!G:G,"Oceania"),0)</f>
        <v>0</v>
      </c>
      <c r="G40" s="15" t="n">
        <f aca="false">IFERROR(COUNTIFS('2. Raw Votes by Country'!B:B,$A40,'2. Raw Votes by Country'!G:G,"Africa"),0)</f>
        <v>0</v>
      </c>
      <c r="H40" s="33" t="n">
        <f aca="false">SUM(B40:G40)</f>
        <v>0</v>
      </c>
      <c r="I40" s="33" t="n">
        <f aca="false">COUNTIF(B40:G40,"&gt;0")</f>
        <v>0</v>
      </c>
      <c r="J40" s="33" t="str">
        <f aca="false">IFERROR(INDEX($B$4:$G$4,MATCH(MAX(B40:G40),B40:G40,0)),"")</f>
        <v>Europe</v>
      </c>
      <c r="K40" s="34" t="n">
        <f aca="false">IFERROR(SUMPRODUCT((B40:G40/H40)^2),0)</f>
        <v>0</v>
      </c>
    </row>
    <row r="41" customFormat="false" ht="15" hidden="false" customHeight="false" outlineLevel="0" collapsed="false">
      <c r="A41" s="17"/>
      <c r="B41" s="4" t="n">
        <f aca="false">IFERROR(COUNTIFS('2. Raw Votes by Country'!B:B,$A41,'2. Raw Votes by Country'!G:G,"Europe"),0)</f>
        <v>0</v>
      </c>
      <c r="C41" s="4" t="n">
        <f aca="false">IFERROR(COUNTIFS('2. Raw Votes by Country'!B:B,$A41,'2. Raw Votes by Country'!G:G,"Asia"),0)</f>
        <v>0</v>
      </c>
      <c r="D41" s="4" t="n">
        <f aca="false">IFERROR(COUNTIFS('2. Raw Votes by Country'!B:B,$A41,'2. Raw Votes by Country'!G:G,"North America"),0)</f>
        <v>0</v>
      </c>
      <c r="E41" s="4" t="n">
        <f aca="false">IFERROR(COUNTIFS('2. Raw Votes by Country'!B:B,$A41,'2. Raw Votes by Country'!G:G,"South America"),0)</f>
        <v>0</v>
      </c>
      <c r="F41" s="4" t="n">
        <f aca="false">IFERROR(COUNTIFS('2. Raw Votes by Country'!B:B,$A41,'2. Raw Votes by Country'!G:G,"Oceania"),0)</f>
        <v>0</v>
      </c>
      <c r="G41" s="4" t="n">
        <f aca="false">IFERROR(COUNTIFS('2. Raw Votes by Country'!B:B,$A41,'2. Raw Votes by Country'!G:G,"Africa"),0)</f>
        <v>0</v>
      </c>
      <c r="H41" s="28" t="n">
        <f aca="false">SUM(B41:G41)</f>
        <v>0</v>
      </c>
      <c r="I41" s="28" t="n">
        <f aca="false">COUNTIF(B41:G41,"&gt;0")</f>
        <v>0</v>
      </c>
      <c r="J41" s="28" t="str">
        <f aca="false">IFERROR(INDEX($B$4:$G$4,MATCH(MAX(B41:G41),B41:G41,0)),"")</f>
        <v>Europe</v>
      </c>
      <c r="K41" s="32" t="n">
        <f aca="false">IFERROR(SUMPRODUCT((B41:G41/H41)^2),0)</f>
        <v>0</v>
      </c>
    </row>
    <row r="42" customFormat="false" ht="15" hidden="false" customHeight="false" outlineLevel="0" collapsed="false">
      <c r="A42" s="16"/>
      <c r="B42" s="15" t="n">
        <f aca="false">IFERROR(COUNTIFS('2. Raw Votes by Country'!B:B,$A42,'2. Raw Votes by Country'!G:G,"Europe"),0)</f>
        <v>0</v>
      </c>
      <c r="C42" s="15" t="n">
        <f aca="false">IFERROR(COUNTIFS('2. Raw Votes by Country'!B:B,$A42,'2. Raw Votes by Country'!G:G,"Asia"),0)</f>
        <v>0</v>
      </c>
      <c r="D42" s="15" t="n">
        <f aca="false">IFERROR(COUNTIFS('2. Raw Votes by Country'!B:B,$A42,'2. Raw Votes by Country'!G:G,"North America"),0)</f>
        <v>0</v>
      </c>
      <c r="E42" s="15" t="n">
        <f aca="false">IFERROR(COUNTIFS('2. Raw Votes by Country'!B:B,$A42,'2. Raw Votes by Country'!G:G,"South America"),0)</f>
        <v>0</v>
      </c>
      <c r="F42" s="15" t="n">
        <f aca="false">IFERROR(COUNTIFS('2. Raw Votes by Country'!B:B,$A42,'2. Raw Votes by Country'!G:G,"Oceania"),0)</f>
        <v>0</v>
      </c>
      <c r="G42" s="15" t="n">
        <f aca="false">IFERROR(COUNTIFS('2. Raw Votes by Country'!B:B,$A42,'2. Raw Votes by Country'!G:G,"Africa"),0)</f>
        <v>0</v>
      </c>
      <c r="H42" s="33" t="n">
        <f aca="false">SUM(B42:G42)</f>
        <v>0</v>
      </c>
      <c r="I42" s="33" t="n">
        <f aca="false">COUNTIF(B42:G42,"&gt;0")</f>
        <v>0</v>
      </c>
      <c r="J42" s="33" t="str">
        <f aca="false">IFERROR(INDEX($B$4:$G$4,MATCH(MAX(B42:G42),B42:G42,0)),"")</f>
        <v>Europe</v>
      </c>
      <c r="K42" s="34" t="n">
        <f aca="false">IFERROR(SUMPRODUCT((B42:G42/H42)^2),0)</f>
        <v>0</v>
      </c>
    </row>
    <row r="43" customFormat="false" ht="15" hidden="false" customHeight="false" outlineLevel="0" collapsed="false">
      <c r="A43" s="17"/>
      <c r="B43" s="4" t="n">
        <f aca="false">IFERROR(COUNTIFS('2. Raw Votes by Country'!B:B,$A43,'2. Raw Votes by Country'!G:G,"Europe"),0)</f>
        <v>0</v>
      </c>
      <c r="C43" s="4" t="n">
        <f aca="false">IFERROR(COUNTIFS('2. Raw Votes by Country'!B:B,$A43,'2. Raw Votes by Country'!G:G,"Asia"),0)</f>
        <v>0</v>
      </c>
      <c r="D43" s="4" t="n">
        <f aca="false">IFERROR(COUNTIFS('2. Raw Votes by Country'!B:B,$A43,'2. Raw Votes by Country'!G:G,"North America"),0)</f>
        <v>0</v>
      </c>
      <c r="E43" s="4" t="n">
        <f aca="false">IFERROR(COUNTIFS('2. Raw Votes by Country'!B:B,$A43,'2. Raw Votes by Country'!G:G,"South America"),0)</f>
        <v>0</v>
      </c>
      <c r="F43" s="4" t="n">
        <f aca="false">IFERROR(COUNTIFS('2. Raw Votes by Country'!B:B,$A43,'2. Raw Votes by Country'!G:G,"Oceania"),0)</f>
        <v>0</v>
      </c>
      <c r="G43" s="4" t="n">
        <f aca="false">IFERROR(COUNTIFS('2. Raw Votes by Country'!B:B,$A43,'2. Raw Votes by Country'!G:G,"Africa"),0)</f>
        <v>0</v>
      </c>
      <c r="H43" s="28" t="n">
        <f aca="false">SUM(B43:G43)</f>
        <v>0</v>
      </c>
      <c r="I43" s="28" t="n">
        <f aca="false">COUNTIF(B43:G43,"&gt;0")</f>
        <v>0</v>
      </c>
      <c r="J43" s="28" t="str">
        <f aca="false">IFERROR(INDEX($B$4:$G$4,MATCH(MAX(B43:G43),B43:G43,0)),"")</f>
        <v>Europe</v>
      </c>
      <c r="K43" s="32" t="n">
        <f aca="false">IFERROR(SUMPRODUCT((B43:G43/H43)^2),0)</f>
        <v>0</v>
      </c>
    </row>
    <row r="44" customFormat="false" ht="15" hidden="false" customHeight="false" outlineLevel="0" collapsed="false">
      <c r="A44" s="16"/>
      <c r="B44" s="15" t="n">
        <f aca="false">IFERROR(COUNTIFS('2. Raw Votes by Country'!B:B,$A44,'2. Raw Votes by Country'!G:G,"Europe"),0)</f>
        <v>0</v>
      </c>
      <c r="C44" s="15" t="n">
        <f aca="false">IFERROR(COUNTIFS('2. Raw Votes by Country'!B:B,$A44,'2. Raw Votes by Country'!G:G,"Asia"),0)</f>
        <v>0</v>
      </c>
      <c r="D44" s="15" t="n">
        <f aca="false">IFERROR(COUNTIFS('2. Raw Votes by Country'!B:B,$A44,'2. Raw Votes by Country'!G:G,"North America"),0)</f>
        <v>0</v>
      </c>
      <c r="E44" s="15" t="n">
        <f aca="false">IFERROR(COUNTIFS('2. Raw Votes by Country'!B:B,$A44,'2. Raw Votes by Country'!G:G,"South America"),0)</f>
        <v>0</v>
      </c>
      <c r="F44" s="15" t="n">
        <f aca="false">IFERROR(COUNTIFS('2. Raw Votes by Country'!B:B,$A44,'2. Raw Votes by Country'!G:G,"Oceania"),0)</f>
        <v>0</v>
      </c>
      <c r="G44" s="15" t="n">
        <f aca="false">IFERROR(COUNTIFS('2. Raw Votes by Country'!B:B,$A44,'2. Raw Votes by Country'!G:G,"Africa"),0)</f>
        <v>0</v>
      </c>
      <c r="H44" s="33" t="n">
        <f aca="false">SUM(B44:G44)</f>
        <v>0</v>
      </c>
      <c r="I44" s="33" t="n">
        <f aca="false">COUNTIF(B44:G44,"&gt;0")</f>
        <v>0</v>
      </c>
      <c r="J44" s="33" t="str">
        <f aca="false">IFERROR(INDEX($B$4:$G$4,MATCH(MAX(B44:G44),B44:G44,0)),"")</f>
        <v>Europe</v>
      </c>
      <c r="K44" s="34" t="n">
        <f aca="false">IFERROR(SUMPRODUCT((B44:G44/H44)^2),0)</f>
        <v>0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6"/>
    <col collapsed="false" customWidth="true" hidden="false" outlineLevel="0" max="8" min="8" style="0" width="14"/>
    <col collapsed="false" customWidth="true" hidden="false" outlineLevel="0" max="10" min="9" style="0" width="16"/>
  </cols>
  <sheetData>
    <row r="1" customFormat="false" ht="33.75" hidden="false" customHeight="true" outlineLevel="0" collapsed="false">
      <c r="A1" s="35" t="s">
        <v>430</v>
      </c>
      <c r="B1" s="35"/>
      <c r="C1" s="35"/>
      <c r="D1" s="35"/>
      <c r="E1" s="35"/>
      <c r="F1" s="35"/>
      <c r="G1" s="35"/>
      <c r="H1" s="35"/>
      <c r="I1" s="35"/>
      <c r="J1" s="35"/>
    </row>
    <row r="2" customFormat="false" ht="25.5" hidden="false" customHeight="true" outlineLevel="0" collapsed="false">
      <c r="A2" s="36" t="s">
        <v>431</v>
      </c>
      <c r="B2" s="36"/>
      <c r="C2" s="36"/>
      <c r="D2" s="36"/>
      <c r="E2" s="36"/>
      <c r="F2" s="36"/>
      <c r="G2" s="36"/>
      <c r="H2" s="36"/>
      <c r="I2" s="36"/>
      <c r="J2" s="36"/>
    </row>
    <row r="4" customFormat="false" ht="23.85" hidden="false" customHeight="false" outlineLevel="0" collapsed="false">
      <c r="A4" s="37" t="s">
        <v>427</v>
      </c>
      <c r="B4" s="37" t="s">
        <v>43</v>
      </c>
      <c r="C4" s="37" t="s">
        <v>47</v>
      </c>
      <c r="D4" s="37" t="s">
        <v>51</v>
      </c>
      <c r="E4" s="37" t="s">
        <v>100</v>
      </c>
      <c r="F4" s="37" t="s">
        <v>88</v>
      </c>
      <c r="G4" s="37" t="s">
        <v>108</v>
      </c>
      <c r="H4" s="37" t="s">
        <v>432</v>
      </c>
      <c r="I4" s="37" t="s">
        <v>433</v>
      </c>
      <c r="J4" s="37" t="s">
        <v>434</v>
      </c>
    </row>
    <row r="5" customFormat="false" ht="15" hidden="false" customHeight="false" outlineLevel="0" collapsed="false">
      <c r="A5" s="17"/>
      <c r="B5" s="4" t="n">
        <f aca="false">IFERROR(COUNTIFS('2. Raw Votes by Country'!B:B,$A5,'2. Raw Votes by Country'!F:F,"Americas"),0)</f>
        <v>0</v>
      </c>
      <c r="C5" s="4" t="n">
        <f aca="false">IFERROR(COUNTIFS('2. Raw Votes by Country'!B:B,$A5,'2. Raw Votes by Country'!F:F,"Europe &amp; Central Asia"),0)</f>
        <v>0</v>
      </c>
      <c r="D5" s="4" t="n">
        <f aca="false">IFERROR(COUNTIFS('2. Raw Votes by Country'!B:B,$A5,'2. Raw Votes by Country'!F:F,"East Asia &amp; Pacific"),0)</f>
        <v>0</v>
      </c>
      <c r="E5" s="4" t="n">
        <f aca="false">IFERROR(COUNTIFS('2. Raw Votes by Country'!B:B,$A5,'2. Raw Votes by Country'!F:F,"South Asia"),0)</f>
        <v>0</v>
      </c>
      <c r="F5" s="4" t="n">
        <f aca="false">IFERROR(COUNTIFS('2. Raw Votes by Country'!B:B,$A5,'2. Raw Votes by Country'!F:F,"Middle East &amp; North Africa"),0)</f>
        <v>0</v>
      </c>
      <c r="G5" s="4" t="n">
        <f aca="false">IFERROR(COUNTIFS('2. Raw Votes by Country'!B:B,$A5,'2. Raw Votes by Country'!F:F,"Sub-Saharan Africa"),0)</f>
        <v>0</v>
      </c>
      <c r="H5" s="28" t="n">
        <f aca="false">SUM(B5:G5)</f>
        <v>0</v>
      </c>
      <c r="I5" s="28" t="n">
        <f aca="false">COUNTIF(B5:G5,"&gt;0")</f>
        <v>0</v>
      </c>
      <c r="J5" s="32" t="n">
        <f aca="false">IFERROR(SUMPRODUCT((B5:G5/H5)^2),0)</f>
        <v>0</v>
      </c>
    </row>
    <row r="6" customFormat="false" ht="15" hidden="false" customHeight="false" outlineLevel="0" collapsed="false">
      <c r="A6" s="38"/>
      <c r="B6" s="39" t="n">
        <f aca="false">IFERROR(COUNTIFS('2. Raw Votes by Country'!B:B,$A6,'2. Raw Votes by Country'!F:F,"Americas"),0)</f>
        <v>0</v>
      </c>
      <c r="C6" s="39" t="n">
        <f aca="false">IFERROR(COUNTIFS('2. Raw Votes by Country'!B:B,$A6,'2. Raw Votes by Country'!F:F,"Europe &amp; Central Asia"),0)</f>
        <v>0</v>
      </c>
      <c r="D6" s="39" t="n">
        <f aca="false">IFERROR(COUNTIFS('2. Raw Votes by Country'!B:B,$A6,'2. Raw Votes by Country'!F:F,"East Asia &amp; Pacific"),0)</f>
        <v>0</v>
      </c>
      <c r="E6" s="39" t="n">
        <f aca="false">IFERROR(COUNTIFS('2. Raw Votes by Country'!B:B,$A6,'2. Raw Votes by Country'!F:F,"South Asia"),0)</f>
        <v>0</v>
      </c>
      <c r="F6" s="39" t="n">
        <f aca="false">IFERROR(COUNTIFS('2. Raw Votes by Country'!B:B,$A6,'2. Raw Votes by Country'!F:F,"Middle East &amp; North Africa"),0)</f>
        <v>0</v>
      </c>
      <c r="G6" s="39" t="n">
        <f aca="false">IFERROR(COUNTIFS('2. Raw Votes by Country'!B:B,$A6,'2. Raw Votes by Country'!F:F,"Sub-Saharan Africa"),0)</f>
        <v>0</v>
      </c>
      <c r="H6" s="40" t="n">
        <f aca="false">SUM(B6:G6)</f>
        <v>0</v>
      </c>
      <c r="I6" s="40" t="n">
        <f aca="false">COUNTIF(B6:G6,"&gt;0")</f>
        <v>0</v>
      </c>
      <c r="J6" s="41" t="n">
        <f aca="false">IFERROR(SUMPRODUCT((B6:G6/H6)^2),0)</f>
        <v>0</v>
      </c>
    </row>
    <row r="7" customFormat="false" ht="15" hidden="false" customHeight="false" outlineLevel="0" collapsed="false">
      <c r="A7" s="17"/>
      <c r="B7" s="4" t="n">
        <f aca="false">IFERROR(COUNTIFS('2. Raw Votes by Country'!B:B,$A7,'2. Raw Votes by Country'!F:F,"Americas"),0)</f>
        <v>0</v>
      </c>
      <c r="C7" s="4" t="n">
        <f aca="false">IFERROR(COUNTIFS('2. Raw Votes by Country'!B:B,$A7,'2. Raw Votes by Country'!F:F,"Europe &amp; Central Asia"),0)</f>
        <v>0</v>
      </c>
      <c r="D7" s="4" t="n">
        <f aca="false">IFERROR(COUNTIFS('2. Raw Votes by Country'!B:B,$A7,'2. Raw Votes by Country'!F:F,"East Asia &amp; Pacific"),0)</f>
        <v>0</v>
      </c>
      <c r="E7" s="4" t="n">
        <f aca="false">IFERROR(COUNTIFS('2. Raw Votes by Country'!B:B,$A7,'2. Raw Votes by Country'!F:F,"South Asia"),0)</f>
        <v>0</v>
      </c>
      <c r="F7" s="4" t="n">
        <f aca="false">IFERROR(COUNTIFS('2. Raw Votes by Country'!B:B,$A7,'2. Raw Votes by Country'!F:F,"Middle East &amp; North Africa"),0)</f>
        <v>0</v>
      </c>
      <c r="G7" s="4" t="n">
        <f aca="false">IFERROR(COUNTIFS('2. Raw Votes by Country'!B:B,$A7,'2. Raw Votes by Country'!F:F,"Sub-Saharan Africa"),0)</f>
        <v>0</v>
      </c>
      <c r="H7" s="28" t="n">
        <f aca="false">SUM(B7:G7)</f>
        <v>0</v>
      </c>
      <c r="I7" s="28" t="n">
        <f aca="false">COUNTIF(B7:G7,"&gt;0")</f>
        <v>0</v>
      </c>
      <c r="J7" s="32" t="n">
        <f aca="false">IFERROR(SUMPRODUCT((B7:G7/H7)^2),0)</f>
        <v>0</v>
      </c>
    </row>
    <row r="8" customFormat="false" ht="15" hidden="false" customHeight="false" outlineLevel="0" collapsed="false">
      <c r="A8" s="38"/>
      <c r="B8" s="39" t="n">
        <f aca="false">IFERROR(COUNTIFS('2. Raw Votes by Country'!B:B,$A8,'2. Raw Votes by Country'!F:F,"Americas"),0)</f>
        <v>0</v>
      </c>
      <c r="C8" s="39" t="n">
        <f aca="false">IFERROR(COUNTIFS('2. Raw Votes by Country'!B:B,$A8,'2. Raw Votes by Country'!F:F,"Europe &amp; Central Asia"),0)</f>
        <v>0</v>
      </c>
      <c r="D8" s="39" t="n">
        <f aca="false">IFERROR(COUNTIFS('2. Raw Votes by Country'!B:B,$A8,'2. Raw Votes by Country'!F:F,"East Asia &amp; Pacific"),0)</f>
        <v>0</v>
      </c>
      <c r="E8" s="39" t="n">
        <f aca="false">IFERROR(COUNTIFS('2. Raw Votes by Country'!B:B,$A8,'2. Raw Votes by Country'!F:F,"South Asia"),0)</f>
        <v>0</v>
      </c>
      <c r="F8" s="39" t="n">
        <f aca="false">IFERROR(COUNTIFS('2. Raw Votes by Country'!B:B,$A8,'2. Raw Votes by Country'!F:F,"Middle East &amp; North Africa"),0)</f>
        <v>0</v>
      </c>
      <c r="G8" s="39" t="n">
        <f aca="false">IFERROR(COUNTIFS('2. Raw Votes by Country'!B:B,$A8,'2. Raw Votes by Country'!F:F,"Sub-Saharan Africa"),0)</f>
        <v>0</v>
      </c>
      <c r="H8" s="40" t="n">
        <f aca="false">SUM(B8:G8)</f>
        <v>0</v>
      </c>
      <c r="I8" s="40" t="n">
        <f aca="false">COUNTIF(B8:G8,"&gt;0")</f>
        <v>0</v>
      </c>
      <c r="J8" s="41" t="n">
        <f aca="false">IFERROR(SUMPRODUCT((B8:G8/H8)^2),0)</f>
        <v>0</v>
      </c>
    </row>
    <row r="9" customFormat="false" ht="15" hidden="false" customHeight="false" outlineLevel="0" collapsed="false">
      <c r="A9" s="17"/>
      <c r="B9" s="4" t="n">
        <f aca="false">IFERROR(COUNTIFS('2. Raw Votes by Country'!B:B,$A9,'2. Raw Votes by Country'!F:F,"Americas"),0)</f>
        <v>0</v>
      </c>
      <c r="C9" s="4" t="n">
        <f aca="false">IFERROR(COUNTIFS('2. Raw Votes by Country'!B:B,$A9,'2. Raw Votes by Country'!F:F,"Europe &amp; Central Asia"),0)</f>
        <v>0</v>
      </c>
      <c r="D9" s="4" t="n">
        <f aca="false">IFERROR(COUNTIFS('2. Raw Votes by Country'!B:B,$A9,'2. Raw Votes by Country'!F:F,"East Asia &amp; Pacific"),0)</f>
        <v>0</v>
      </c>
      <c r="E9" s="4" t="n">
        <f aca="false">IFERROR(COUNTIFS('2. Raw Votes by Country'!B:B,$A9,'2. Raw Votes by Country'!F:F,"South Asia"),0)</f>
        <v>0</v>
      </c>
      <c r="F9" s="4" t="n">
        <f aca="false">IFERROR(COUNTIFS('2. Raw Votes by Country'!B:B,$A9,'2. Raw Votes by Country'!F:F,"Middle East &amp; North Africa"),0)</f>
        <v>0</v>
      </c>
      <c r="G9" s="4" t="n">
        <f aca="false">IFERROR(COUNTIFS('2. Raw Votes by Country'!B:B,$A9,'2. Raw Votes by Country'!F:F,"Sub-Saharan Africa"),0)</f>
        <v>0</v>
      </c>
      <c r="H9" s="28" t="n">
        <f aca="false">SUM(B9:G9)</f>
        <v>0</v>
      </c>
      <c r="I9" s="28" t="n">
        <f aca="false">COUNTIF(B9:G9,"&gt;0")</f>
        <v>0</v>
      </c>
      <c r="J9" s="32" t="n">
        <f aca="false">IFERROR(SUMPRODUCT((B9:G9/H9)^2),0)</f>
        <v>0</v>
      </c>
    </row>
    <row r="10" customFormat="false" ht="15" hidden="false" customHeight="false" outlineLevel="0" collapsed="false">
      <c r="A10" s="38"/>
      <c r="B10" s="39" t="n">
        <f aca="false">IFERROR(COUNTIFS('2. Raw Votes by Country'!B:B,$A10,'2. Raw Votes by Country'!F:F,"Americas"),0)</f>
        <v>0</v>
      </c>
      <c r="C10" s="39" t="n">
        <f aca="false">IFERROR(COUNTIFS('2. Raw Votes by Country'!B:B,$A10,'2. Raw Votes by Country'!F:F,"Europe &amp; Central Asia"),0)</f>
        <v>0</v>
      </c>
      <c r="D10" s="39" t="n">
        <f aca="false">IFERROR(COUNTIFS('2. Raw Votes by Country'!B:B,$A10,'2. Raw Votes by Country'!F:F,"East Asia &amp; Pacific"),0)</f>
        <v>0</v>
      </c>
      <c r="E10" s="39" t="n">
        <f aca="false">IFERROR(COUNTIFS('2. Raw Votes by Country'!B:B,$A10,'2. Raw Votes by Country'!F:F,"South Asia"),0)</f>
        <v>0</v>
      </c>
      <c r="F10" s="39" t="n">
        <f aca="false">IFERROR(COUNTIFS('2. Raw Votes by Country'!B:B,$A10,'2. Raw Votes by Country'!F:F,"Middle East &amp; North Africa"),0)</f>
        <v>0</v>
      </c>
      <c r="G10" s="39" t="n">
        <f aca="false">IFERROR(COUNTIFS('2. Raw Votes by Country'!B:B,$A10,'2. Raw Votes by Country'!F:F,"Sub-Saharan Africa"),0)</f>
        <v>0</v>
      </c>
      <c r="H10" s="40" t="n">
        <f aca="false">SUM(B10:G10)</f>
        <v>0</v>
      </c>
      <c r="I10" s="40" t="n">
        <f aca="false">COUNTIF(B10:G10,"&gt;0")</f>
        <v>0</v>
      </c>
      <c r="J10" s="41" t="n">
        <f aca="false">IFERROR(SUMPRODUCT((B10:G10/H10)^2),0)</f>
        <v>0</v>
      </c>
    </row>
    <row r="11" customFormat="false" ht="15" hidden="false" customHeight="false" outlineLevel="0" collapsed="false">
      <c r="A11" s="17"/>
      <c r="B11" s="4" t="n">
        <f aca="false">IFERROR(COUNTIFS('2. Raw Votes by Country'!B:B,$A11,'2. Raw Votes by Country'!F:F,"Americas"),0)</f>
        <v>0</v>
      </c>
      <c r="C11" s="4" t="n">
        <f aca="false">IFERROR(COUNTIFS('2. Raw Votes by Country'!B:B,$A11,'2. Raw Votes by Country'!F:F,"Europe &amp; Central Asia"),0)</f>
        <v>0</v>
      </c>
      <c r="D11" s="4" t="n">
        <f aca="false">IFERROR(COUNTIFS('2. Raw Votes by Country'!B:B,$A11,'2. Raw Votes by Country'!F:F,"East Asia &amp; Pacific"),0)</f>
        <v>0</v>
      </c>
      <c r="E11" s="4" t="n">
        <f aca="false">IFERROR(COUNTIFS('2. Raw Votes by Country'!B:B,$A11,'2. Raw Votes by Country'!F:F,"South Asia"),0)</f>
        <v>0</v>
      </c>
      <c r="F11" s="4" t="n">
        <f aca="false">IFERROR(COUNTIFS('2. Raw Votes by Country'!B:B,$A11,'2. Raw Votes by Country'!F:F,"Middle East &amp; North Africa"),0)</f>
        <v>0</v>
      </c>
      <c r="G11" s="4" t="n">
        <f aca="false">IFERROR(COUNTIFS('2. Raw Votes by Country'!B:B,$A11,'2. Raw Votes by Country'!F:F,"Sub-Saharan Africa"),0)</f>
        <v>0</v>
      </c>
      <c r="H11" s="28" t="n">
        <f aca="false">SUM(B11:G11)</f>
        <v>0</v>
      </c>
      <c r="I11" s="28" t="n">
        <f aca="false">COUNTIF(B11:G11,"&gt;0")</f>
        <v>0</v>
      </c>
      <c r="J11" s="32" t="n">
        <f aca="false">IFERROR(SUMPRODUCT((B11:G11/H11)^2),0)</f>
        <v>0</v>
      </c>
    </row>
    <row r="12" customFormat="false" ht="15" hidden="false" customHeight="false" outlineLevel="0" collapsed="false">
      <c r="A12" s="38"/>
      <c r="B12" s="39" t="n">
        <f aca="false">IFERROR(COUNTIFS('2. Raw Votes by Country'!B:B,$A12,'2. Raw Votes by Country'!F:F,"Americas"),0)</f>
        <v>0</v>
      </c>
      <c r="C12" s="39" t="n">
        <f aca="false">IFERROR(COUNTIFS('2. Raw Votes by Country'!B:B,$A12,'2. Raw Votes by Country'!F:F,"Europe &amp; Central Asia"),0)</f>
        <v>0</v>
      </c>
      <c r="D12" s="39" t="n">
        <f aca="false">IFERROR(COUNTIFS('2. Raw Votes by Country'!B:B,$A12,'2. Raw Votes by Country'!F:F,"East Asia &amp; Pacific"),0)</f>
        <v>0</v>
      </c>
      <c r="E12" s="39" t="n">
        <f aca="false">IFERROR(COUNTIFS('2. Raw Votes by Country'!B:B,$A12,'2. Raw Votes by Country'!F:F,"South Asia"),0)</f>
        <v>0</v>
      </c>
      <c r="F12" s="39" t="n">
        <f aca="false">IFERROR(COUNTIFS('2. Raw Votes by Country'!B:B,$A12,'2. Raw Votes by Country'!F:F,"Middle East &amp; North Africa"),0)</f>
        <v>0</v>
      </c>
      <c r="G12" s="39" t="n">
        <f aca="false">IFERROR(COUNTIFS('2. Raw Votes by Country'!B:B,$A12,'2. Raw Votes by Country'!F:F,"Sub-Saharan Africa"),0)</f>
        <v>0</v>
      </c>
      <c r="H12" s="40" t="n">
        <f aca="false">SUM(B12:G12)</f>
        <v>0</v>
      </c>
      <c r="I12" s="40" t="n">
        <f aca="false">COUNTIF(B12:G12,"&gt;0")</f>
        <v>0</v>
      </c>
      <c r="J12" s="41" t="n">
        <f aca="false">IFERROR(SUMPRODUCT((B12:G12/H12)^2),0)</f>
        <v>0</v>
      </c>
    </row>
    <row r="13" customFormat="false" ht="15" hidden="false" customHeight="false" outlineLevel="0" collapsed="false">
      <c r="A13" s="17"/>
      <c r="B13" s="4" t="n">
        <f aca="false">IFERROR(COUNTIFS('2. Raw Votes by Country'!B:B,$A13,'2. Raw Votes by Country'!F:F,"Americas"),0)</f>
        <v>0</v>
      </c>
      <c r="C13" s="4" t="n">
        <f aca="false">IFERROR(COUNTIFS('2. Raw Votes by Country'!B:B,$A13,'2. Raw Votes by Country'!F:F,"Europe &amp; Central Asia"),0)</f>
        <v>0</v>
      </c>
      <c r="D13" s="4" t="n">
        <f aca="false">IFERROR(COUNTIFS('2. Raw Votes by Country'!B:B,$A13,'2. Raw Votes by Country'!F:F,"East Asia &amp; Pacific"),0)</f>
        <v>0</v>
      </c>
      <c r="E13" s="4" t="n">
        <f aca="false">IFERROR(COUNTIFS('2. Raw Votes by Country'!B:B,$A13,'2. Raw Votes by Country'!F:F,"South Asia"),0)</f>
        <v>0</v>
      </c>
      <c r="F13" s="4" t="n">
        <f aca="false">IFERROR(COUNTIFS('2. Raw Votes by Country'!B:B,$A13,'2. Raw Votes by Country'!F:F,"Middle East &amp; North Africa"),0)</f>
        <v>0</v>
      </c>
      <c r="G13" s="4" t="n">
        <f aca="false">IFERROR(COUNTIFS('2. Raw Votes by Country'!B:B,$A13,'2. Raw Votes by Country'!F:F,"Sub-Saharan Africa"),0)</f>
        <v>0</v>
      </c>
      <c r="H13" s="28" t="n">
        <f aca="false">SUM(B13:G13)</f>
        <v>0</v>
      </c>
      <c r="I13" s="28" t="n">
        <f aca="false">COUNTIF(B13:G13,"&gt;0")</f>
        <v>0</v>
      </c>
      <c r="J13" s="32" t="n">
        <f aca="false">IFERROR(SUMPRODUCT((B13:G13/H13)^2),0)</f>
        <v>0</v>
      </c>
    </row>
    <row r="14" customFormat="false" ht="15" hidden="false" customHeight="false" outlineLevel="0" collapsed="false">
      <c r="A14" s="38"/>
      <c r="B14" s="39" t="n">
        <f aca="false">IFERROR(COUNTIFS('2. Raw Votes by Country'!B:B,$A14,'2. Raw Votes by Country'!F:F,"Americas"),0)</f>
        <v>0</v>
      </c>
      <c r="C14" s="39" t="n">
        <f aca="false">IFERROR(COUNTIFS('2. Raw Votes by Country'!B:B,$A14,'2. Raw Votes by Country'!F:F,"Europe &amp; Central Asia"),0)</f>
        <v>0</v>
      </c>
      <c r="D14" s="39" t="n">
        <f aca="false">IFERROR(COUNTIFS('2. Raw Votes by Country'!B:B,$A14,'2. Raw Votes by Country'!F:F,"East Asia &amp; Pacific"),0)</f>
        <v>0</v>
      </c>
      <c r="E14" s="39" t="n">
        <f aca="false">IFERROR(COUNTIFS('2. Raw Votes by Country'!B:B,$A14,'2. Raw Votes by Country'!F:F,"South Asia"),0)</f>
        <v>0</v>
      </c>
      <c r="F14" s="39" t="n">
        <f aca="false">IFERROR(COUNTIFS('2. Raw Votes by Country'!B:B,$A14,'2. Raw Votes by Country'!F:F,"Middle East &amp; North Africa"),0)</f>
        <v>0</v>
      </c>
      <c r="G14" s="39" t="n">
        <f aca="false">IFERROR(COUNTIFS('2. Raw Votes by Country'!B:B,$A14,'2. Raw Votes by Country'!F:F,"Sub-Saharan Africa"),0)</f>
        <v>0</v>
      </c>
      <c r="H14" s="40" t="n">
        <f aca="false">SUM(B14:G14)</f>
        <v>0</v>
      </c>
      <c r="I14" s="40" t="n">
        <f aca="false">COUNTIF(B14:G14,"&gt;0")</f>
        <v>0</v>
      </c>
      <c r="J14" s="41" t="n">
        <f aca="false">IFERROR(SUMPRODUCT((B14:G14/H14)^2),0)</f>
        <v>0</v>
      </c>
    </row>
    <row r="15" customFormat="false" ht="15" hidden="false" customHeight="false" outlineLevel="0" collapsed="false">
      <c r="A15" s="17"/>
      <c r="B15" s="4" t="n">
        <f aca="false">IFERROR(COUNTIFS('2. Raw Votes by Country'!B:B,$A15,'2. Raw Votes by Country'!F:F,"Americas"),0)</f>
        <v>0</v>
      </c>
      <c r="C15" s="4" t="n">
        <f aca="false">IFERROR(COUNTIFS('2. Raw Votes by Country'!B:B,$A15,'2. Raw Votes by Country'!F:F,"Europe &amp; Central Asia"),0)</f>
        <v>0</v>
      </c>
      <c r="D15" s="4" t="n">
        <f aca="false">IFERROR(COUNTIFS('2. Raw Votes by Country'!B:B,$A15,'2. Raw Votes by Country'!F:F,"East Asia &amp; Pacific"),0)</f>
        <v>0</v>
      </c>
      <c r="E15" s="4" t="n">
        <f aca="false">IFERROR(COUNTIFS('2. Raw Votes by Country'!B:B,$A15,'2. Raw Votes by Country'!F:F,"South Asia"),0)</f>
        <v>0</v>
      </c>
      <c r="F15" s="4" t="n">
        <f aca="false">IFERROR(COUNTIFS('2. Raw Votes by Country'!B:B,$A15,'2. Raw Votes by Country'!F:F,"Middle East &amp; North Africa"),0)</f>
        <v>0</v>
      </c>
      <c r="G15" s="4" t="n">
        <f aca="false">IFERROR(COUNTIFS('2. Raw Votes by Country'!B:B,$A15,'2. Raw Votes by Country'!F:F,"Sub-Saharan Africa"),0)</f>
        <v>0</v>
      </c>
      <c r="H15" s="28" t="n">
        <f aca="false">SUM(B15:G15)</f>
        <v>0</v>
      </c>
      <c r="I15" s="28" t="n">
        <f aca="false">COUNTIF(B15:G15,"&gt;0")</f>
        <v>0</v>
      </c>
      <c r="J15" s="32" t="n">
        <f aca="false">IFERROR(SUMPRODUCT((B15:G15/H15)^2),0)</f>
        <v>0</v>
      </c>
    </row>
    <row r="16" customFormat="false" ht="15" hidden="false" customHeight="false" outlineLevel="0" collapsed="false">
      <c r="A16" s="38"/>
      <c r="B16" s="39" t="n">
        <f aca="false">IFERROR(COUNTIFS('2. Raw Votes by Country'!B:B,$A16,'2. Raw Votes by Country'!F:F,"Americas"),0)</f>
        <v>0</v>
      </c>
      <c r="C16" s="39" t="n">
        <f aca="false">IFERROR(COUNTIFS('2. Raw Votes by Country'!B:B,$A16,'2. Raw Votes by Country'!F:F,"Europe &amp; Central Asia"),0)</f>
        <v>0</v>
      </c>
      <c r="D16" s="39" t="n">
        <f aca="false">IFERROR(COUNTIFS('2. Raw Votes by Country'!B:B,$A16,'2. Raw Votes by Country'!F:F,"East Asia &amp; Pacific"),0)</f>
        <v>0</v>
      </c>
      <c r="E16" s="39" t="n">
        <f aca="false">IFERROR(COUNTIFS('2. Raw Votes by Country'!B:B,$A16,'2. Raw Votes by Country'!F:F,"South Asia"),0)</f>
        <v>0</v>
      </c>
      <c r="F16" s="39" t="n">
        <f aca="false">IFERROR(COUNTIFS('2. Raw Votes by Country'!B:B,$A16,'2. Raw Votes by Country'!F:F,"Middle East &amp; North Africa"),0)</f>
        <v>0</v>
      </c>
      <c r="G16" s="39" t="n">
        <f aca="false">IFERROR(COUNTIFS('2. Raw Votes by Country'!B:B,$A16,'2. Raw Votes by Country'!F:F,"Sub-Saharan Africa"),0)</f>
        <v>0</v>
      </c>
      <c r="H16" s="40" t="n">
        <f aca="false">SUM(B16:G16)</f>
        <v>0</v>
      </c>
      <c r="I16" s="40" t="n">
        <f aca="false">COUNTIF(B16:G16,"&gt;0")</f>
        <v>0</v>
      </c>
      <c r="J16" s="41" t="n">
        <f aca="false">IFERROR(SUMPRODUCT((B16:G16/H16)^2),0)</f>
        <v>0</v>
      </c>
    </row>
    <row r="17" customFormat="false" ht="15" hidden="false" customHeight="false" outlineLevel="0" collapsed="false">
      <c r="A17" s="17"/>
      <c r="B17" s="4" t="n">
        <f aca="false">IFERROR(COUNTIFS('2. Raw Votes by Country'!B:B,$A17,'2. Raw Votes by Country'!F:F,"Americas"),0)</f>
        <v>0</v>
      </c>
      <c r="C17" s="4" t="n">
        <f aca="false">IFERROR(COUNTIFS('2. Raw Votes by Country'!B:B,$A17,'2. Raw Votes by Country'!F:F,"Europe &amp; Central Asia"),0)</f>
        <v>0</v>
      </c>
      <c r="D17" s="4" t="n">
        <f aca="false">IFERROR(COUNTIFS('2. Raw Votes by Country'!B:B,$A17,'2. Raw Votes by Country'!F:F,"East Asia &amp; Pacific"),0)</f>
        <v>0</v>
      </c>
      <c r="E17" s="4" t="n">
        <f aca="false">IFERROR(COUNTIFS('2. Raw Votes by Country'!B:B,$A17,'2. Raw Votes by Country'!F:F,"South Asia"),0)</f>
        <v>0</v>
      </c>
      <c r="F17" s="4" t="n">
        <f aca="false">IFERROR(COUNTIFS('2. Raw Votes by Country'!B:B,$A17,'2. Raw Votes by Country'!F:F,"Middle East &amp; North Africa"),0)</f>
        <v>0</v>
      </c>
      <c r="G17" s="4" t="n">
        <f aca="false">IFERROR(COUNTIFS('2. Raw Votes by Country'!B:B,$A17,'2. Raw Votes by Country'!F:F,"Sub-Saharan Africa"),0)</f>
        <v>0</v>
      </c>
      <c r="H17" s="28" t="n">
        <f aca="false">SUM(B17:G17)</f>
        <v>0</v>
      </c>
      <c r="I17" s="28" t="n">
        <f aca="false">COUNTIF(B17:G17,"&gt;0")</f>
        <v>0</v>
      </c>
      <c r="J17" s="32" t="n">
        <f aca="false">IFERROR(SUMPRODUCT((B17:G17/H17)^2),0)</f>
        <v>0</v>
      </c>
    </row>
    <row r="18" customFormat="false" ht="15" hidden="false" customHeight="false" outlineLevel="0" collapsed="false">
      <c r="A18" s="38"/>
      <c r="B18" s="39" t="n">
        <f aca="false">IFERROR(COUNTIFS('2. Raw Votes by Country'!B:B,$A18,'2. Raw Votes by Country'!F:F,"Americas"),0)</f>
        <v>0</v>
      </c>
      <c r="C18" s="39" t="n">
        <f aca="false">IFERROR(COUNTIFS('2. Raw Votes by Country'!B:B,$A18,'2. Raw Votes by Country'!F:F,"Europe &amp; Central Asia"),0)</f>
        <v>0</v>
      </c>
      <c r="D18" s="39" t="n">
        <f aca="false">IFERROR(COUNTIFS('2. Raw Votes by Country'!B:B,$A18,'2. Raw Votes by Country'!F:F,"East Asia &amp; Pacific"),0)</f>
        <v>0</v>
      </c>
      <c r="E18" s="39" t="n">
        <f aca="false">IFERROR(COUNTIFS('2. Raw Votes by Country'!B:B,$A18,'2. Raw Votes by Country'!F:F,"South Asia"),0)</f>
        <v>0</v>
      </c>
      <c r="F18" s="39" t="n">
        <f aca="false">IFERROR(COUNTIFS('2. Raw Votes by Country'!B:B,$A18,'2. Raw Votes by Country'!F:F,"Middle East &amp; North Africa"),0)</f>
        <v>0</v>
      </c>
      <c r="G18" s="39" t="n">
        <f aca="false">IFERROR(COUNTIFS('2. Raw Votes by Country'!B:B,$A18,'2. Raw Votes by Country'!F:F,"Sub-Saharan Africa"),0)</f>
        <v>0</v>
      </c>
      <c r="H18" s="40" t="n">
        <f aca="false">SUM(B18:G18)</f>
        <v>0</v>
      </c>
      <c r="I18" s="40" t="n">
        <f aca="false">COUNTIF(B18:G18,"&gt;0")</f>
        <v>0</v>
      </c>
      <c r="J18" s="41" t="n">
        <f aca="false">IFERROR(SUMPRODUCT((B18:G18/H18)^2),0)</f>
        <v>0</v>
      </c>
    </row>
    <row r="19" customFormat="false" ht="15" hidden="false" customHeight="false" outlineLevel="0" collapsed="false">
      <c r="A19" s="17"/>
      <c r="B19" s="4" t="n">
        <f aca="false">IFERROR(COUNTIFS('2. Raw Votes by Country'!B:B,$A19,'2. Raw Votes by Country'!F:F,"Americas"),0)</f>
        <v>0</v>
      </c>
      <c r="C19" s="4" t="n">
        <f aca="false">IFERROR(COUNTIFS('2. Raw Votes by Country'!B:B,$A19,'2. Raw Votes by Country'!F:F,"Europe &amp; Central Asia"),0)</f>
        <v>0</v>
      </c>
      <c r="D19" s="4" t="n">
        <f aca="false">IFERROR(COUNTIFS('2. Raw Votes by Country'!B:B,$A19,'2. Raw Votes by Country'!F:F,"East Asia &amp; Pacific"),0)</f>
        <v>0</v>
      </c>
      <c r="E19" s="4" t="n">
        <f aca="false">IFERROR(COUNTIFS('2. Raw Votes by Country'!B:B,$A19,'2. Raw Votes by Country'!F:F,"South Asia"),0)</f>
        <v>0</v>
      </c>
      <c r="F19" s="4" t="n">
        <f aca="false">IFERROR(COUNTIFS('2. Raw Votes by Country'!B:B,$A19,'2. Raw Votes by Country'!F:F,"Middle East &amp; North Africa"),0)</f>
        <v>0</v>
      </c>
      <c r="G19" s="4" t="n">
        <f aca="false">IFERROR(COUNTIFS('2. Raw Votes by Country'!B:B,$A19,'2. Raw Votes by Country'!F:F,"Sub-Saharan Africa"),0)</f>
        <v>0</v>
      </c>
      <c r="H19" s="28" t="n">
        <f aca="false">SUM(B19:G19)</f>
        <v>0</v>
      </c>
      <c r="I19" s="28" t="n">
        <f aca="false">COUNTIF(B19:G19,"&gt;0")</f>
        <v>0</v>
      </c>
      <c r="J19" s="32" t="n">
        <f aca="false">IFERROR(SUMPRODUCT((B19:G19/H19)^2),0)</f>
        <v>0</v>
      </c>
    </row>
    <row r="20" customFormat="false" ht="15" hidden="false" customHeight="false" outlineLevel="0" collapsed="false">
      <c r="A20" s="38"/>
      <c r="B20" s="39" t="n">
        <f aca="false">IFERROR(COUNTIFS('2. Raw Votes by Country'!B:B,$A20,'2. Raw Votes by Country'!F:F,"Americas"),0)</f>
        <v>0</v>
      </c>
      <c r="C20" s="39" t="n">
        <f aca="false">IFERROR(COUNTIFS('2. Raw Votes by Country'!B:B,$A20,'2. Raw Votes by Country'!F:F,"Europe &amp; Central Asia"),0)</f>
        <v>0</v>
      </c>
      <c r="D20" s="39" t="n">
        <f aca="false">IFERROR(COUNTIFS('2. Raw Votes by Country'!B:B,$A20,'2. Raw Votes by Country'!F:F,"East Asia &amp; Pacific"),0)</f>
        <v>0</v>
      </c>
      <c r="E20" s="39" t="n">
        <f aca="false">IFERROR(COUNTIFS('2. Raw Votes by Country'!B:B,$A20,'2. Raw Votes by Country'!F:F,"South Asia"),0)</f>
        <v>0</v>
      </c>
      <c r="F20" s="39" t="n">
        <f aca="false">IFERROR(COUNTIFS('2. Raw Votes by Country'!B:B,$A20,'2. Raw Votes by Country'!F:F,"Middle East &amp; North Africa"),0)</f>
        <v>0</v>
      </c>
      <c r="G20" s="39" t="n">
        <f aca="false">IFERROR(COUNTIFS('2. Raw Votes by Country'!B:B,$A20,'2. Raw Votes by Country'!F:F,"Sub-Saharan Africa"),0)</f>
        <v>0</v>
      </c>
      <c r="H20" s="40" t="n">
        <f aca="false">SUM(B20:G20)</f>
        <v>0</v>
      </c>
      <c r="I20" s="40" t="n">
        <f aca="false">COUNTIF(B20:G20,"&gt;0")</f>
        <v>0</v>
      </c>
      <c r="J20" s="41" t="n">
        <f aca="false">IFERROR(SUMPRODUCT((B20:G20/H20)^2),0)</f>
        <v>0</v>
      </c>
    </row>
    <row r="21" customFormat="false" ht="15" hidden="false" customHeight="false" outlineLevel="0" collapsed="false">
      <c r="A21" s="17"/>
      <c r="B21" s="4" t="n">
        <f aca="false">IFERROR(COUNTIFS('2. Raw Votes by Country'!B:B,$A21,'2. Raw Votes by Country'!F:F,"Americas"),0)</f>
        <v>0</v>
      </c>
      <c r="C21" s="4" t="n">
        <f aca="false">IFERROR(COUNTIFS('2. Raw Votes by Country'!B:B,$A21,'2. Raw Votes by Country'!F:F,"Europe &amp; Central Asia"),0)</f>
        <v>0</v>
      </c>
      <c r="D21" s="4" t="n">
        <f aca="false">IFERROR(COUNTIFS('2. Raw Votes by Country'!B:B,$A21,'2. Raw Votes by Country'!F:F,"East Asia &amp; Pacific"),0)</f>
        <v>0</v>
      </c>
      <c r="E21" s="4" t="n">
        <f aca="false">IFERROR(COUNTIFS('2. Raw Votes by Country'!B:B,$A21,'2. Raw Votes by Country'!F:F,"South Asia"),0)</f>
        <v>0</v>
      </c>
      <c r="F21" s="4" t="n">
        <f aca="false">IFERROR(COUNTIFS('2. Raw Votes by Country'!B:B,$A21,'2. Raw Votes by Country'!F:F,"Middle East &amp; North Africa"),0)</f>
        <v>0</v>
      </c>
      <c r="G21" s="4" t="n">
        <f aca="false">IFERROR(COUNTIFS('2. Raw Votes by Country'!B:B,$A21,'2. Raw Votes by Country'!F:F,"Sub-Saharan Africa"),0)</f>
        <v>0</v>
      </c>
      <c r="H21" s="28" t="n">
        <f aca="false">SUM(B21:G21)</f>
        <v>0</v>
      </c>
      <c r="I21" s="28" t="n">
        <f aca="false">COUNTIF(B21:G21,"&gt;0")</f>
        <v>0</v>
      </c>
      <c r="J21" s="32" t="n">
        <f aca="false">IFERROR(SUMPRODUCT((B21:G21/H21)^2),0)</f>
        <v>0</v>
      </c>
    </row>
    <row r="22" customFormat="false" ht="15" hidden="false" customHeight="false" outlineLevel="0" collapsed="false">
      <c r="A22" s="38"/>
      <c r="B22" s="39" t="n">
        <f aca="false">IFERROR(COUNTIFS('2. Raw Votes by Country'!B:B,$A22,'2. Raw Votes by Country'!F:F,"Americas"),0)</f>
        <v>0</v>
      </c>
      <c r="C22" s="39" t="n">
        <f aca="false">IFERROR(COUNTIFS('2. Raw Votes by Country'!B:B,$A22,'2. Raw Votes by Country'!F:F,"Europe &amp; Central Asia"),0)</f>
        <v>0</v>
      </c>
      <c r="D22" s="39" t="n">
        <f aca="false">IFERROR(COUNTIFS('2. Raw Votes by Country'!B:B,$A22,'2. Raw Votes by Country'!F:F,"East Asia &amp; Pacific"),0)</f>
        <v>0</v>
      </c>
      <c r="E22" s="39" t="n">
        <f aca="false">IFERROR(COUNTIFS('2. Raw Votes by Country'!B:B,$A22,'2. Raw Votes by Country'!F:F,"South Asia"),0)</f>
        <v>0</v>
      </c>
      <c r="F22" s="39" t="n">
        <f aca="false">IFERROR(COUNTIFS('2. Raw Votes by Country'!B:B,$A22,'2. Raw Votes by Country'!F:F,"Middle East &amp; North Africa"),0)</f>
        <v>0</v>
      </c>
      <c r="G22" s="39" t="n">
        <f aca="false">IFERROR(COUNTIFS('2. Raw Votes by Country'!B:B,$A22,'2. Raw Votes by Country'!F:F,"Sub-Saharan Africa"),0)</f>
        <v>0</v>
      </c>
      <c r="H22" s="40" t="n">
        <f aca="false">SUM(B22:G22)</f>
        <v>0</v>
      </c>
      <c r="I22" s="40" t="n">
        <f aca="false">COUNTIF(B22:G22,"&gt;0")</f>
        <v>0</v>
      </c>
      <c r="J22" s="41" t="n">
        <f aca="false">IFERROR(SUMPRODUCT((B22:G22/H22)^2),0)</f>
        <v>0</v>
      </c>
    </row>
    <row r="23" customFormat="false" ht="15" hidden="false" customHeight="false" outlineLevel="0" collapsed="false">
      <c r="A23" s="17"/>
      <c r="B23" s="4" t="n">
        <f aca="false">IFERROR(COUNTIFS('2. Raw Votes by Country'!B:B,$A23,'2. Raw Votes by Country'!F:F,"Americas"),0)</f>
        <v>0</v>
      </c>
      <c r="C23" s="4" t="n">
        <f aca="false">IFERROR(COUNTIFS('2. Raw Votes by Country'!B:B,$A23,'2. Raw Votes by Country'!F:F,"Europe &amp; Central Asia"),0)</f>
        <v>0</v>
      </c>
      <c r="D23" s="4" t="n">
        <f aca="false">IFERROR(COUNTIFS('2. Raw Votes by Country'!B:B,$A23,'2. Raw Votes by Country'!F:F,"East Asia &amp; Pacific"),0)</f>
        <v>0</v>
      </c>
      <c r="E23" s="4" t="n">
        <f aca="false">IFERROR(COUNTIFS('2. Raw Votes by Country'!B:B,$A23,'2. Raw Votes by Country'!F:F,"South Asia"),0)</f>
        <v>0</v>
      </c>
      <c r="F23" s="4" t="n">
        <f aca="false">IFERROR(COUNTIFS('2. Raw Votes by Country'!B:B,$A23,'2. Raw Votes by Country'!F:F,"Middle East &amp; North Africa"),0)</f>
        <v>0</v>
      </c>
      <c r="G23" s="4" t="n">
        <f aca="false">IFERROR(COUNTIFS('2. Raw Votes by Country'!B:B,$A23,'2. Raw Votes by Country'!F:F,"Sub-Saharan Africa"),0)</f>
        <v>0</v>
      </c>
      <c r="H23" s="28" t="n">
        <f aca="false">SUM(B23:G23)</f>
        <v>0</v>
      </c>
      <c r="I23" s="28" t="n">
        <f aca="false">COUNTIF(B23:G23,"&gt;0")</f>
        <v>0</v>
      </c>
      <c r="J23" s="32" t="n">
        <f aca="false">IFERROR(SUMPRODUCT((B23:G23/H23)^2),0)</f>
        <v>0</v>
      </c>
    </row>
    <row r="24" customFormat="false" ht="15" hidden="false" customHeight="false" outlineLevel="0" collapsed="false">
      <c r="A24" s="38"/>
      <c r="B24" s="39" t="n">
        <f aca="false">IFERROR(COUNTIFS('2. Raw Votes by Country'!B:B,$A24,'2. Raw Votes by Country'!F:F,"Americas"),0)</f>
        <v>0</v>
      </c>
      <c r="C24" s="39" t="n">
        <f aca="false">IFERROR(COUNTIFS('2. Raw Votes by Country'!B:B,$A24,'2. Raw Votes by Country'!F:F,"Europe &amp; Central Asia"),0)</f>
        <v>0</v>
      </c>
      <c r="D24" s="39" t="n">
        <f aca="false">IFERROR(COUNTIFS('2. Raw Votes by Country'!B:B,$A24,'2. Raw Votes by Country'!F:F,"East Asia &amp; Pacific"),0)</f>
        <v>0</v>
      </c>
      <c r="E24" s="39" t="n">
        <f aca="false">IFERROR(COUNTIFS('2. Raw Votes by Country'!B:B,$A24,'2. Raw Votes by Country'!F:F,"South Asia"),0)</f>
        <v>0</v>
      </c>
      <c r="F24" s="39" t="n">
        <f aca="false">IFERROR(COUNTIFS('2. Raw Votes by Country'!B:B,$A24,'2. Raw Votes by Country'!F:F,"Middle East &amp; North Africa"),0)</f>
        <v>0</v>
      </c>
      <c r="G24" s="39" t="n">
        <f aca="false">IFERROR(COUNTIFS('2. Raw Votes by Country'!B:B,$A24,'2. Raw Votes by Country'!F:F,"Sub-Saharan Africa"),0)</f>
        <v>0</v>
      </c>
      <c r="H24" s="40" t="n">
        <f aca="false">SUM(B24:G24)</f>
        <v>0</v>
      </c>
      <c r="I24" s="40" t="n">
        <f aca="false">COUNTIF(B24:G24,"&gt;0")</f>
        <v>0</v>
      </c>
      <c r="J24" s="41" t="n">
        <f aca="false">IFERROR(SUMPRODUCT((B24:G24/H24)^2),0)</f>
        <v>0</v>
      </c>
    </row>
    <row r="25" customFormat="false" ht="15" hidden="false" customHeight="false" outlineLevel="0" collapsed="false">
      <c r="A25" s="17"/>
      <c r="B25" s="4" t="n">
        <f aca="false">IFERROR(COUNTIFS('2. Raw Votes by Country'!B:B,$A25,'2. Raw Votes by Country'!F:F,"Americas"),0)</f>
        <v>0</v>
      </c>
      <c r="C25" s="4" t="n">
        <f aca="false">IFERROR(COUNTIFS('2. Raw Votes by Country'!B:B,$A25,'2. Raw Votes by Country'!F:F,"Europe &amp; Central Asia"),0)</f>
        <v>0</v>
      </c>
      <c r="D25" s="4" t="n">
        <f aca="false">IFERROR(COUNTIFS('2. Raw Votes by Country'!B:B,$A25,'2. Raw Votes by Country'!F:F,"East Asia &amp; Pacific"),0)</f>
        <v>0</v>
      </c>
      <c r="E25" s="4" t="n">
        <f aca="false">IFERROR(COUNTIFS('2. Raw Votes by Country'!B:B,$A25,'2. Raw Votes by Country'!F:F,"South Asia"),0)</f>
        <v>0</v>
      </c>
      <c r="F25" s="4" t="n">
        <f aca="false">IFERROR(COUNTIFS('2. Raw Votes by Country'!B:B,$A25,'2. Raw Votes by Country'!F:F,"Middle East &amp; North Africa"),0)</f>
        <v>0</v>
      </c>
      <c r="G25" s="4" t="n">
        <f aca="false">IFERROR(COUNTIFS('2. Raw Votes by Country'!B:B,$A25,'2. Raw Votes by Country'!F:F,"Sub-Saharan Africa"),0)</f>
        <v>0</v>
      </c>
      <c r="H25" s="28" t="n">
        <f aca="false">SUM(B25:G25)</f>
        <v>0</v>
      </c>
      <c r="I25" s="28" t="n">
        <f aca="false">COUNTIF(B25:G25,"&gt;0")</f>
        <v>0</v>
      </c>
      <c r="J25" s="32" t="n">
        <f aca="false">IFERROR(SUMPRODUCT((B25:G25/H25)^2),0)</f>
        <v>0</v>
      </c>
    </row>
    <row r="26" customFormat="false" ht="15" hidden="false" customHeight="false" outlineLevel="0" collapsed="false">
      <c r="A26" s="38"/>
      <c r="B26" s="39" t="n">
        <f aca="false">IFERROR(COUNTIFS('2. Raw Votes by Country'!B:B,$A26,'2. Raw Votes by Country'!F:F,"Americas"),0)</f>
        <v>0</v>
      </c>
      <c r="C26" s="39" t="n">
        <f aca="false">IFERROR(COUNTIFS('2. Raw Votes by Country'!B:B,$A26,'2. Raw Votes by Country'!F:F,"Europe &amp; Central Asia"),0)</f>
        <v>0</v>
      </c>
      <c r="D26" s="39" t="n">
        <f aca="false">IFERROR(COUNTIFS('2. Raw Votes by Country'!B:B,$A26,'2. Raw Votes by Country'!F:F,"East Asia &amp; Pacific"),0)</f>
        <v>0</v>
      </c>
      <c r="E26" s="39" t="n">
        <f aca="false">IFERROR(COUNTIFS('2. Raw Votes by Country'!B:B,$A26,'2. Raw Votes by Country'!F:F,"South Asia"),0)</f>
        <v>0</v>
      </c>
      <c r="F26" s="39" t="n">
        <f aca="false">IFERROR(COUNTIFS('2. Raw Votes by Country'!B:B,$A26,'2. Raw Votes by Country'!F:F,"Middle East &amp; North Africa"),0)</f>
        <v>0</v>
      </c>
      <c r="G26" s="39" t="n">
        <f aca="false">IFERROR(COUNTIFS('2. Raw Votes by Country'!B:B,$A26,'2. Raw Votes by Country'!F:F,"Sub-Saharan Africa"),0)</f>
        <v>0</v>
      </c>
      <c r="H26" s="40" t="n">
        <f aca="false">SUM(B26:G26)</f>
        <v>0</v>
      </c>
      <c r="I26" s="40" t="n">
        <f aca="false">COUNTIF(B26:G26,"&gt;0")</f>
        <v>0</v>
      </c>
      <c r="J26" s="41" t="n">
        <f aca="false">IFERROR(SUMPRODUCT((B26:G26/H26)^2),0)</f>
        <v>0</v>
      </c>
    </row>
    <row r="27" customFormat="false" ht="15" hidden="false" customHeight="false" outlineLevel="0" collapsed="false">
      <c r="A27" s="17"/>
      <c r="B27" s="4" t="n">
        <f aca="false">IFERROR(COUNTIFS('2. Raw Votes by Country'!B:B,$A27,'2. Raw Votes by Country'!F:F,"Americas"),0)</f>
        <v>0</v>
      </c>
      <c r="C27" s="4" t="n">
        <f aca="false">IFERROR(COUNTIFS('2. Raw Votes by Country'!B:B,$A27,'2. Raw Votes by Country'!F:F,"Europe &amp; Central Asia"),0)</f>
        <v>0</v>
      </c>
      <c r="D27" s="4" t="n">
        <f aca="false">IFERROR(COUNTIFS('2. Raw Votes by Country'!B:B,$A27,'2. Raw Votes by Country'!F:F,"East Asia &amp; Pacific"),0)</f>
        <v>0</v>
      </c>
      <c r="E27" s="4" t="n">
        <f aca="false">IFERROR(COUNTIFS('2. Raw Votes by Country'!B:B,$A27,'2. Raw Votes by Country'!F:F,"South Asia"),0)</f>
        <v>0</v>
      </c>
      <c r="F27" s="4" t="n">
        <f aca="false">IFERROR(COUNTIFS('2. Raw Votes by Country'!B:B,$A27,'2. Raw Votes by Country'!F:F,"Middle East &amp; North Africa"),0)</f>
        <v>0</v>
      </c>
      <c r="G27" s="4" t="n">
        <f aca="false">IFERROR(COUNTIFS('2. Raw Votes by Country'!B:B,$A27,'2. Raw Votes by Country'!F:F,"Sub-Saharan Africa"),0)</f>
        <v>0</v>
      </c>
      <c r="H27" s="28" t="n">
        <f aca="false">SUM(B27:G27)</f>
        <v>0</v>
      </c>
      <c r="I27" s="28" t="n">
        <f aca="false">COUNTIF(B27:G27,"&gt;0")</f>
        <v>0</v>
      </c>
      <c r="J27" s="32" t="n">
        <f aca="false">IFERROR(SUMPRODUCT((B27:G27/H27)^2),0)</f>
        <v>0</v>
      </c>
    </row>
    <row r="28" customFormat="false" ht="15" hidden="false" customHeight="false" outlineLevel="0" collapsed="false">
      <c r="A28" s="38"/>
      <c r="B28" s="39" t="n">
        <f aca="false">IFERROR(COUNTIFS('2. Raw Votes by Country'!B:B,$A28,'2. Raw Votes by Country'!F:F,"Americas"),0)</f>
        <v>0</v>
      </c>
      <c r="C28" s="39" t="n">
        <f aca="false">IFERROR(COUNTIFS('2. Raw Votes by Country'!B:B,$A28,'2. Raw Votes by Country'!F:F,"Europe &amp; Central Asia"),0)</f>
        <v>0</v>
      </c>
      <c r="D28" s="39" t="n">
        <f aca="false">IFERROR(COUNTIFS('2. Raw Votes by Country'!B:B,$A28,'2. Raw Votes by Country'!F:F,"East Asia &amp; Pacific"),0)</f>
        <v>0</v>
      </c>
      <c r="E28" s="39" t="n">
        <f aca="false">IFERROR(COUNTIFS('2. Raw Votes by Country'!B:B,$A28,'2. Raw Votes by Country'!F:F,"South Asia"),0)</f>
        <v>0</v>
      </c>
      <c r="F28" s="39" t="n">
        <f aca="false">IFERROR(COUNTIFS('2. Raw Votes by Country'!B:B,$A28,'2. Raw Votes by Country'!F:F,"Middle East &amp; North Africa"),0)</f>
        <v>0</v>
      </c>
      <c r="G28" s="39" t="n">
        <f aca="false">IFERROR(COUNTIFS('2. Raw Votes by Country'!B:B,$A28,'2. Raw Votes by Country'!F:F,"Sub-Saharan Africa"),0)</f>
        <v>0</v>
      </c>
      <c r="H28" s="40" t="n">
        <f aca="false">SUM(B28:G28)</f>
        <v>0</v>
      </c>
      <c r="I28" s="40" t="n">
        <f aca="false">COUNTIF(B28:G28,"&gt;0")</f>
        <v>0</v>
      </c>
      <c r="J28" s="41" t="n">
        <f aca="false">IFERROR(SUMPRODUCT((B28:G28/H28)^2),0)</f>
        <v>0</v>
      </c>
    </row>
    <row r="29" customFormat="false" ht="15" hidden="false" customHeight="false" outlineLevel="0" collapsed="false">
      <c r="A29" s="17"/>
      <c r="B29" s="4" t="n">
        <f aca="false">IFERROR(COUNTIFS('2. Raw Votes by Country'!B:B,$A29,'2. Raw Votes by Country'!F:F,"Americas"),0)</f>
        <v>0</v>
      </c>
      <c r="C29" s="4" t="n">
        <f aca="false">IFERROR(COUNTIFS('2. Raw Votes by Country'!B:B,$A29,'2. Raw Votes by Country'!F:F,"Europe &amp; Central Asia"),0)</f>
        <v>0</v>
      </c>
      <c r="D29" s="4" t="n">
        <f aca="false">IFERROR(COUNTIFS('2. Raw Votes by Country'!B:B,$A29,'2. Raw Votes by Country'!F:F,"East Asia &amp; Pacific"),0)</f>
        <v>0</v>
      </c>
      <c r="E29" s="4" t="n">
        <f aca="false">IFERROR(COUNTIFS('2. Raw Votes by Country'!B:B,$A29,'2. Raw Votes by Country'!F:F,"South Asia"),0)</f>
        <v>0</v>
      </c>
      <c r="F29" s="4" t="n">
        <f aca="false">IFERROR(COUNTIFS('2. Raw Votes by Country'!B:B,$A29,'2. Raw Votes by Country'!F:F,"Middle East &amp; North Africa"),0)</f>
        <v>0</v>
      </c>
      <c r="G29" s="4" t="n">
        <f aca="false">IFERROR(COUNTIFS('2. Raw Votes by Country'!B:B,$A29,'2. Raw Votes by Country'!F:F,"Sub-Saharan Africa"),0)</f>
        <v>0</v>
      </c>
      <c r="H29" s="28" t="n">
        <f aca="false">SUM(B29:G29)</f>
        <v>0</v>
      </c>
      <c r="I29" s="28" t="n">
        <f aca="false">COUNTIF(B29:G29,"&gt;0")</f>
        <v>0</v>
      </c>
      <c r="J29" s="32" t="n">
        <f aca="false">IFERROR(SUMPRODUCT((B29:G29/H29)^2),0)</f>
        <v>0</v>
      </c>
    </row>
    <row r="30" customFormat="false" ht="15" hidden="false" customHeight="false" outlineLevel="0" collapsed="false">
      <c r="A30" s="38"/>
      <c r="B30" s="39" t="n">
        <f aca="false">IFERROR(COUNTIFS('2. Raw Votes by Country'!B:B,$A30,'2. Raw Votes by Country'!F:F,"Americas"),0)</f>
        <v>0</v>
      </c>
      <c r="C30" s="39" t="n">
        <f aca="false">IFERROR(COUNTIFS('2. Raw Votes by Country'!B:B,$A30,'2. Raw Votes by Country'!F:F,"Europe &amp; Central Asia"),0)</f>
        <v>0</v>
      </c>
      <c r="D30" s="39" t="n">
        <f aca="false">IFERROR(COUNTIFS('2. Raw Votes by Country'!B:B,$A30,'2. Raw Votes by Country'!F:F,"East Asia &amp; Pacific"),0)</f>
        <v>0</v>
      </c>
      <c r="E30" s="39" t="n">
        <f aca="false">IFERROR(COUNTIFS('2. Raw Votes by Country'!B:B,$A30,'2. Raw Votes by Country'!F:F,"South Asia"),0)</f>
        <v>0</v>
      </c>
      <c r="F30" s="39" t="n">
        <f aca="false">IFERROR(COUNTIFS('2. Raw Votes by Country'!B:B,$A30,'2. Raw Votes by Country'!F:F,"Middle East &amp; North Africa"),0)</f>
        <v>0</v>
      </c>
      <c r="G30" s="39" t="n">
        <f aca="false">IFERROR(COUNTIFS('2. Raw Votes by Country'!B:B,$A30,'2. Raw Votes by Country'!F:F,"Sub-Saharan Africa"),0)</f>
        <v>0</v>
      </c>
      <c r="H30" s="40" t="n">
        <f aca="false">SUM(B30:G30)</f>
        <v>0</v>
      </c>
      <c r="I30" s="40" t="n">
        <f aca="false">COUNTIF(B30:G30,"&gt;0")</f>
        <v>0</v>
      </c>
      <c r="J30" s="41" t="n">
        <f aca="false">IFERROR(SUMPRODUCT((B30:G30/H30)^2),0)</f>
        <v>0</v>
      </c>
    </row>
    <row r="31" customFormat="false" ht="15" hidden="false" customHeight="false" outlineLevel="0" collapsed="false">
      <c r="A31" s="17"/>
      <c r="B31" s="4" t="n">
        <f aca="false">IFERROR(COUNTIFS('2. Raw Votes by Country'!B:B,$A31,'2. Raw Votes by Country'!F:F,"Americas"),0)</f>
        <v>0</v>
      </c>
      <c r="C31" s="4" t="n">
        <f aca="false">IFERROR(COUNTIFS('2. Raw Votes by Country'!B:B,$A31,'2. Raw Votes by Country'!F:F,"Europe &amp; Central Asia"),0)</f>
        <v>0</v>
      </c>
      <c r="D31" s="4" t="n">
        <f aca="false">IFERROR(COUNTIFS('2. Raw Votes by Country'!B:B,$A31,'2. Raw Votes by Country'!F:F,"East Asia &amp; Pacific"),0)</f>
        <v>0</v>
      </c>
      <c r="E31" s="4" t="n">
        <f aca="false">IFERROR(COUNTIFS('2. Raw Votes by Country'!B:B,$A31,'2. Raw Votes by Country'!F:F,"South Asia"),0)</f>
        <v>0</v>
      </c>
      <c r="F31" s="4" t="n">
        <f aca="false">IFERROR(COUNTIFS('2. Raw Votes by Country'!B:B,$A31,'2. Raw Votes by Country'!F:F,"Middle East &amp; North Africa"),0)</f>
        <v>0</v>
      </c>
      <c r="G31" s="4" t="n">
        <f aca="false">IFERROR(COUNTIFS('2. Raw Votes by Country'!B:B,$A31,'2. Raw Votes by Country'!F:F,"Sub-Saharan Africa"),0)</f>
        <v>0</v>
      </c>
      <c r="H31" s="28" t="n">
        <f aca="false">SUM(B31:G31)</f>
        <v>0</v>
      </c>
      <c r="I31" s="28" t="n">
        <f aca="false">COUNTIF(B31:G31,"&gt;0")</f>
        <v>0</v>
      </c>
      <c r="J31" s="32" t="n">
        <f aca="false">IFERROR(SUMPRODUCT((B31:G31/H31)^2),0)</f>
        <v>0</v>
      </c>
    </row>
    <row r="32" customFormat="false" ht="15" hidden="false" customHeight="false" outlineLevel="0" collapsed="false">
      <c r="A32" s="38"/>
      <c r="B32" s="39" t="n">
        <f aca="false">IFERROR(COUNTIFS('2. Raw Votes by Country'!B:B,$A32,'2. Raw Votes by Country'!F:F,"Americas"),0)</f>
        <v>0</v>
      </c>
      <c r="C32" s="39" t="n">
        <f aca="false">IFERROR(COUNTIFS('2. Raw Votes by Country'!B:B,$A32,'2. Raw Votes by Country'!F:F,"Europe &amp; Central Asia"),0)</f>
        <v>0</v>
      </c>
      <c r="D32" s="39" t="n">
        <f aca="false">IFERROR(COUNTIFS('2. Raw Votes by Country'!B:B,$A32,'2. Raw Votes by Country'!F:F,"East Asia &amp; Pacific"),0)</f>
        <v>0</v>
      </c>
      <c r="E32" s="39" t="n">
        <f aca="false">IFERROR(COUNTIFS('2. Raw Votes by Country'!B:B,$A32,'2. Raw Votes by Country'!F:F,"South Asia"),0)</f>
        <v>0</v>
      </c>
      <c r="F32" s="39" t="n">
        <f aca="false">IFERROR(COUNTIFS('2. Raw Votes by Country'!B:B,$A32,'2. Raw Votes by Country'!F:F,"Middle East &amp; North Africa"),0)</f>
        <v>0</v>
      </c>
      <c r="G32" s="39" t="n">
        <f aca="false">IFERROR(COUNTIFS('2. Raw Votes by Country'!B:B,$A32,'2. Raw Votes by Country'!F:F,"Sub-Saharan Africa"),0)</f>
        <v>0</v>
      </c>
      <c r="H32" s="40" t="n">
        <f aca="false">SUM(B32:G32)</f>
        <v>0</v>
      </c>
      <c r="I32" s="40" t="n">
        <f aca="false">COUNTIF(B32:G32,"&gt;0")</f>
        <v>0</v>
      </c>
      <c r="J32" s="41" t="n">
        <f aca="false">IFERROR(SUMPRODUCT((B32:G32/H32)^2),0)</f>
        <v>0</v>
      </c>
    </row>
    <row r="33" customFormat="false" ht="15" hidden="false" customHeight="false" outlineLevel="0" collapsed="false">
      <c r="A33" s="17"/>
      <c r="B33" s="4" t="n">
        <f aca="false">IFERROR(COUNTIFS('2. Raw Votes by Country'!B:B,$A33,'2. Raw Votes by Country'!F:F,"Americas"),0)</f>
        <v>0</v>
      </c>
      <c r="C33" s="4" t="n">
        <f aca="false">IFERROR(COUNTIFS('2. Raw Votes by Country'!B:B,$A33,'2. Raw Votes by Country'!F:F,"Europe &amp; Central Asia"),0)</f>
        <v>0</v>
      </c>
      <c r="D33" s="4" t="n">
        <f aca="false">IFERROR(COUNTIFS('2. Raw Votes by Country'!B:B,$A33,'2. Raw Votes by Country'!F:F,"East Asia &amp; Pacific"),0)</f>
        <v>0</v>
      </c>
      <c r="E33" s="4" t="n">
        <f aca="false">IFERROR(COUNTIFS('2. Raw Votes by Country'!B:B,$A33,'2. Raw Votes by Country'!F:F,"South Asia"),0)</f>
        <v>0</v>
      </c>
      <c r="F33" s="4" t="n">
        <f aca="false">IFERROR(COUNTIFS('2. Raw Votes by Country'!B:B,$A33,'2. Raw Votes by Country'!F:F,"Middle East &amp; North Africa"),0)</f>
        <v>0</v>
      </c>
      <c r="G33" s="4" t="n">
        <f aca="false">IFERROR(COUNTIFS('2. Raw Votes by Country'!B:B,$A33,'2. Raw Votes by Country'!F:F,"Sub-Saharan Africa"),0)</f>
        <v>0</v>
      </c>
      <c r="H33" s="28" t="n">
        <f aca="false">SUM(B33:G33)</f>
        <v>0</v>
      </c>
      <c r="I33" s="28" t="n">
        <f aca="false">COUNTIF(B33:G33,"&gt;0")</f>
        <v>0</v>
      </c>
      <c r="J33" s="32" t="n">
        <f aca="false">IFERROR(SUMPRODUCT((B33:G33/H33)^2),0)</f>
        <v>0</v>
      </c>
    </row>
    <row r="34" customFormat="false" ht="15" hidden="false" customHeight="false" outlineLevel="0" collapsed="false">
      <c r="A34" s="38"/>
      <c r="B34" s="39" t="n">
        <f aca="false">IFERROR(COUNTIFS('2. Raw Votes by Country'!B:B,$A34,'2. Raw Votes by Country'!F:F,"Americas"),0)</f>
        <v>0</v>
      </c>
      <c r="C34" s="39" t="n">
        <f aca="false">IFERROR(COUNTIFS('2. Raw Votes by Country'!B:B,$A34,'2. Raw Votes by Country'!F:F,"Europe &amp; Central Asia"),0)</f>
        <v>0</v>
      </c>
      <c r="D34" s="39" t="n">
        <f aca="false">IFERROR(COUNTIFS('2. Raw Votes by Country'!B:B,$A34,'2. Raw Votes by Country'!F:F,"East Asia &amp; Pacific"),0)</f>
        <v>0</v>
      </c>
      <c r="E34" s="39" t="n">
        <f aca="false">IFERROR(COUNTIFS('2. Raw Votes by Country'!B:B,$A34,'2. Raw Votes by Country'!F:F,"South Asia"),0)</f>
        <v>0</v>
      </c>
      <c r="F34" s="39" t="n">
        <f aca="false">IFERROR(COUNTIFS('2. Raw Votes by Country'!B:B,$A34,'2. Raw Votes by Country'!F:F,"Middle East &amp; North Africa"),0)</f>
        <v>0</v>
      </c>
      <c r="G34" s="39" t="n">
        <f aca="false">IFERROR(COUNTIFS('2. Raw Votes by Country'!B:B,$A34,'2. Raw Votes by Country'!F:F,"Sub-Saharan Africa"),0)</f>
        <v>0</v>
      </c>
      <c r="H34" s="40" t="n">
        <f aca="false">SUM(B34:G34)</f>
        <v>0</v>
      </c>
      <c r="I34" s="40" t="n">
        <f aca="false">COUNTIF(B34:G34,"&gt;0")</f>
        <v>0</v>
      </c>
      <c r="J34" s="41" t="n">
        <f aca="false">IFERROR(SUMPRODUCT((B34:G34/H34)^2),0)</f>
        <v>0</v>
      </c>
    </row>
    <row r="35" customFormat="false" ht="15" hidden="false" customHeight="false" outlineLevel="0" collapsed="false">
      <c r="A35" s="17"/>
      <c r="B35" s="4" t="n">
        <f aca="false">IFERROR(COUNTIFS('2. Raw Votes by Country'!B:B,$A35,'2. Raw Votes by Country'!F:F,"Americas"),0)</f>
        <v>0</v>
      </c>
      <c r="C35" s="4" t="n">
        <f aca="false">IFERROR(COUNTIFS('2. Raw Votes by Country'!B:B,$A35,'2. Raw Votes by Country'!F:F,"Europe &amp; Central Asia"),0)</f>
        <v>0</v>
      </c>
      <c r="D35" s="4" t="n">
        <f aca="false">IFERROR(COUNTIFS('2. Raw Votes by Country'!B:B,$A35,'2. Raw Votes by Country'!F:F,"East Asia &amp; Pacific"),0)</f>
        <v>0</v>
      </c>
      <c r="E35" s="4" t="n">
        <f aca="false">IFERROR(COUNTIFS('2. Raw Votes by Country'!B:B,$A35,'2. Raw Votes by Country'!F:F,"South Asia"),0)</f>
        <v>0</v>
      </c>
      <c r="F35" s="4" t="n">
        <f aca="false">IFERROR(COUNTIFS('2. Raw Votes by Country'!B:B,$A35,'2. Raw Votes by Country'!F:F,"Middle East &amp; North Africa"),0)</f>
        <v>0</v>
      </c>
      <c r="G35" s="4" t="n">
        <f aca="false">IFERROR(COUNTIFS('2. Raw Votes by Country'!B:B,$A35,'2. Raw Votes by Country'!F:F,"Sub-Saharan Africa"),0)</f>
        <v>0</v>
      </c>
      <c r="H35" s="28" t="n">
        <f aca="false">SUM(B35:G35)</f>
        <v>0</v>
      </c>
      <c r="I35" s="28" t="n">
        <f aca="false">COUNTIF(B35:G35,"&gt;0")</f>
        <v>0</v>
      </c>
      <c r="J35" s="32" t="n">
        <f aca="false">IFERROR(SUMPRODUCT((B35:G35/H35)^2),0)</f>
        <v>0</v>
      </c>
    </row>
    <row r="36" customFormat="false" ht="15" hidden="false" customHeight="false" outlineLevel="0" collapsed="false">
      <c r="A36" s="38"/>
      <c r="B36" s="39" t="n">
        <f aca="false">IFERROR(COUNTIFS('2. Raw Votes by Country'!B:B,$A36,'2. Raw Votes by Country'!F:F,"Americas"),0)</f>
        <v>0</v>
      </c>
      <c r="C36" s="39" t="n">
        <f aca="false">IFERROR(COUNTIFS('2. Raw Votes by Country'!B:B,$A36,'2. Raw Votes by Country'!F:F,"Europe &amp; Central Asia"),0)</f>
        <v>0</v>
      </c>
      <c r="D36" s="39" t="n">
        <f aca="false">IFERROR(COUNTIFS('2. Raw Votes by Country'!B:B,$A36,'2. Raw Votes by Country'!F:F,"East Asia &amp; Pacific"),0)</f>
        <v>0</v>
      </c>
      <c r="E36" s="39" t="n">
        <f aca="false">IFERROR(COUNTIFS('2. Raw Votes by Country'!B:B,$A36,'2. Raw Votes by Country'!F:F,"South Asia"),0)</f>
        <v>0</v>
      </c>
      <c r="F36" s="39" t="n">
        <f aca="false">IFERROR(COUNTIFS('2. Raw Votes by Country'!B:B,$A36,'2. Raw Votes by Country'!F:F,"Middle East &amp; North Africa"),0)</f>
        <v>0</v>
      </c>
      <c r="G36" s="39" t="n">
        <f aca="false">IFERROR(COUNTIFS('2. Raw Votes by Country'!B:B,$A36,'2. Raw Votes by Country'!F:F,"Sub-Saharan Africa"),0)</f>
        <v>0</v>
      </c>
      <c r="H36" s="40" t="n">
        <f aca="false">SUM(B36:G36)</f>
        <v>0</v>
      </c>
      <c r="I36" s="40" t="n">
        <f aca="false">COUNTIF(B36:G36,"&gt;0")</f>
        <v>0</v>
      </c>
      <c r="J36" s="41" t="n">
        <f aca="false">IFERROR(SUMPRODUCT((B36:G36/H36)^2),0)</f>
        <v>0</v>
      </c>
    </row>
    <row r="37" customFormat="false" ht="15" hidden="false" customHeight="false" outlineLevel="0" collapsed="false">
      <c r="A37" s="17"/>
      <c r="B37" s="4" t="n">
        <f aca="false">IFERROR(COUNTIFS('2. Raw Votes by Country'!B:B,$A37,'2. Raw Votes by Country'!F:F,"Americas"),0)</f>
        <v>0</v>
      </c>
      <c r="C37" s="4" t="n">
        <f aca="false">IFERROR(COUNTIFS('2. Raw Votes by Country'!B:B,$A37,'2. Raw Votes by Country'!F:F,"Europe &amp; Central Asia"),0)</f>
        <v>0</v>
      </c>
      <c r="D37" s="4" t="n">
        <f aca="false">IFERROR(COUNTIFS('2. Raw Votes by Country'!B:B,$A37,'2. Raw Votes by Country'!F:F,"East Asia &amp; Pacific"),0)</f>
        <v>0</v>
      </c>
      <c r="E37" s="4" t="n">
        <f aca="false">IFERROR(COUNTIFS('2. Raw Votes by Country'!B:B,$A37,'2. Raw Votes by Country'!F:F,"South Asia"),0)</f>
        <v>0</v>
      </c>
      <c r="F37" s="4" t="n">
        <f aca="false">IFERROR(COUNTIFS('2. Raw Votes by Country'!B:B,$A37,'2. Raw Votes by Country'!F:F,"Middle East &amp; North Africa"),0)</f>
        <v>0</v>
      </c>
      <c r="G37" s="4" t="n">
        <f aca="false">IFERROR(COUNTIFS('2. Raw Votes by Country'!B:B,$A37,'2. Raw Votes by Country'!F:F,"Sub-Saharan Africa"),0)</f>
        <v>0</v>
      </c>
      <c r="H37" s="28" t="n">
        <f aca="false">SUM(B37:G37)</f>
        <v>0</v>
      </c>
      <c r="I37" s="28" t="n">
        <f aca="false">COUNTIF(B37:G37,"&gt;0")</f>
        <v>0</v>
      </c>
      <c r="J37" s="32" t="n">
        <f aca="false">IFERROR(SUMPRODUCT((B37:G37/H37)^2),0)</f>
        <v>0</v>
      </c>
    </row>
    <row r="38" customFormat="false" ht="15" hidden="false" customHeight="false" outlineLevel="0" collapsed="false">
      <c r="A38" s="38"/>
      <c r="B38" s="39" t="n">
        <f aca="false">IFERROR(COUNTIFS('2. Raw Votes by Country'!B:B,$A38,'2. Raw Votes by Country'!F:F,"Americas"),0)</f>
        <v>0</v>
      </c>
      <c r="C38" s="39" t="n">
        <f aca="false">IFERROR(COUNTIFS('2. Raw Votes by Country'!B:B,$A38,'2. Raw Votes by Country'!F:F,"Europe &amp; Central Asia"),0)</f>
        <v>0</v>
      </c>
      <c r="D38" s="39" t="n">
        <f aca="false">IFERROR(COUNTIFS('2. Raw Votes by Country'!B:B,$A38,'2. Raw Votes by Country'!F:F,"East Asia &amp; Pacific"),0)</f>
        <v>0</v>
      </c>
      <c r="E38" s="39" t="n">
        <f aca="false">IFERROR(COUNTIFS('2. Raw Votes by Country'!B:B,$A38,'2. Raw Votes by Country'!F:F,"South Asia"),0)</f>
        <v>0</v>
      </c>
      <c r="F38" s="39" t="n">
        <f aca="false">IFERROR(COUNTIFS('2. Raw Votes by Country'!B:B,$A38,'2. Raw Votes by Country'!F:F,"Middle East &amp; North Africa"),0)</f>
        <v>0</v>
      </c>
      <c r="G38" s="39" t="n">
        <f aca="false">IFERROR(COUNTIFS('2. Raw Votes by Country'!B:B,$A38,'2. Raw Votes by Country'!F:F,"Sub-Saharan Africa"),0)</f>
        <v>0</v>
      </c>
      <c r="H38" s="40" t="n">
        <f aca="false">SUM(B38:G38)</f>
        <v>0</v>
      </c>
      <c r="I38" s="40" t="n">
        <f aca="false">COUNTIF(B38:G38,"&gt;0")</f>
        <v>0</v>
      </c>
      <c r="J38" s="41" t="n">
        <f aca="false">IFERROR(SUMPRODUCT((B38:G38/H38)^2),0)</f>
        <v>0</v>
      </c>
    </row>
    <row r="39" customFormat="false" ht="15" hidden="false" customHeight="false" outlineLevel="0" collapsed="false">
      <c r="A39" s="17"/>
      <c r="B39" s="4" t="n">
        <f aca="false">IFERROR(COUNTIFS('2. Raw Votes by Country'!B:B,$A39,'2. Raw Votes by Country'!F:F,"Americas"),0)</f>
        <v>0</v>
      </c>
      <c r="C39" s="4" t="n">
        <f aca="false">IFERROR(COUNTIFS('2. Raw Votes by Country'!B:B,$A39,'2. Raw Votes by Country'!F:F,"Europe &amp; Central Asia"),0)</f>
        <v>0</v>
      </c>
      <c r="D39" s="4" t="n">
        <f aca="false">IFERROR(COUNTIFS('2. Raw Votes by Country'!B:B,$A39,'2. Raw Votes by Country'!F:F,"East Asia &amp; Pacific"),0)</f>
        <v>0</v>
      </c>
      <c r="E39" s="4" t="n">
        <f aca="false">IFERROR(COUNTIFS('2. Raw Votes by Country'!B:B,$A39,'2. Raw Votes by Country'!F:F,"South Asia"),0)</f>
        <v>0</v>
      </c>
      <c r="F39" s="4" t="n">
        <f aca="false">IFERROR(COUNTIFS('2. Raw Votes by Country'!B:B,$A39,'2. Raw Votes by Country'!F:F,"Middle East &amp; North Africa"),0)</f>
        <v>0</v>
      </c>
      <c r="G39" s="4" t="n">
        <f aca="false">IFERROR(COUNTIFS('2. Raw Votes by Country'!B:B,$A39,'2. Raw Votes by Country'!F:F,"Sub-Saharan Africa"),0)</f>
        <v>0</v>
      </c>
      <c r="H39" s="28" t="n">
        <f aca="false">SUM(B39:G39)</f>
        <v>0</v>
      </c>
      <c r="I39" s="28" t="n">
        <f aca="false">COUNTIF(B39:G39,"&gt;0")</f>
        <v>0</v>
      </c>
      <c r="J39" s="32" t="n">
        <f aca="false">IFERROR(SUMPRODUCT((B39:G39/H39)^2),0)</f>
        <v>0</v>
      </c>
    </row>
    <row r="40" customFormat="false" ht="15" hidden="false" customHeight="false" outlineLevel="0" collapsed="false">
      <c r="A40" s="38"/>
      <c r="B40" s="39" t="n">
        <f aca="false">IFERROR(COUNTIFS('2. Raw Votes by Country'!B:B,$A40,'2. Raw Votes by Country'!F:F,"Americas"),0)</f>
        <v>0</v>
      </c>
      <c r="C40" s="39" t="n">
        <f aca="false">IFERROR(COUNTIFS('2. Raw Votes by Country'!B:B,$A40,'2. Raw Votes by Country'!F:F,"Europe &amp; Central Asia"),0)</f>
        <v>0</v>
      </c>
      <c r="D40" s="39" t="n">
        <f aca="false">IFERROR(COUNTIFS('2. Raw Votes by Country'!B:B,$A40,'2. Raw Votes by Country'!F:F,"East Asia &amp; Pacific"),0)</f>
        <v>0</v>
      </c>
      <c r="E40" s="39" t="n">
        <f aca="false">IFERROR(COUNTIFS('2. Raw Votes by Country'!B:B,$A40,'2. Raw Votes by Country'!F:F,"South Asia"),0)</f>
        <v>0</v>
      </c>
      <c r="F40" s="39" t="n">
        <f aca="false">IFERROR(COUNTIFS('2. Raw Votes by Country'!B:B,$A40,'2. Raw Votes by Country'!F:F,"Middle East &amp; North Africa"),0)</f>
        <v>0</v>
      </c>
      <c r="G40" s="39" t="n">
        <f aca="false">IFERROR(COUNTIFS('2. Raw Votes by Country'!B:B,$A40,'2. Raw Votes by Country'!F:F,"Sub-Saharan Africa"),0)</f>
        <v>0</v>
      </c>
      <c r="H40" s="40" t="n">
        <f aca="false">SUM(B40:G40)</f>
        <v>0</v>
      </c>
      <c r="I40" s="40" t="n">
        <f aca="false">COUNTIF(B40:G40,"&gt;0")</f>
        <v>0</v>
      </c>
      <c r="J40" s="41" t="n">
        <f aca="false">IFERROR(SUMPRODUCT((B40:G40/H40)^2),0)</f>
        <v>0</v>
      </c>
    </row>
    <row r="41" customFormat="false" ht="15" hidden="false" customHeight="false" outlineLevel="0" collapsed="false">
      <c r="A41" s="17"/>
      <c r="B41" s="4" t="n">
        <f aca="false">IFERROR(COUNTIFS('2. Raw Votes by Country'!B:B,$A41,'2. Raw Votes by Country'!F:F,"Americas"),0)</f>
        <v>0</v>
      </c>
      <c r="C41" s="4" t="n">
        <f aca="false">IFERROR(COUNTIFS('2. Raw Votes by Country'!B:B,$A41,'2. Raw Votes by Country'!F:F,"Europe &amp; Central Asia"),0)</f>
        <v>0</v>
      </c>
      <c r="D41" s="4" t="n">
        <f aca="false">IFERROR(COUNTIFS('2. Raw Votes by Country'!B:B,$A41,'2. Raw Votes by Country'!F:F,"East Asia &amp; Pacific"),0)</f>
        <v>0</v>
      </c>
      <c r="E41" s="4" t="n">
        <f aca="false">IFERROR(COUNTIFS('2. Raw Votes by Country'!B:B,$A41,'2. Raw Votes by Country'!F:F,"South Asia"),0)</f>
        <v>0</v>
      </c>
      <c r="F41" s="4" t="n">
        <f aca="false">IFERROR(COUNTIFS('2. Raw Votes by Country'!B:B,$A41,'2. Raw Votes by Country'!F:F,"Middle East &amp; North Africa"),0)</f>
        <v>0</v>
      </c>
      <c r="G41" s="4" t="n">
        <f aca="false">IFERROR(COUNTIFS('2. Raw Votes by Country'!B:B,$A41,'2. Raw Votes by Country'!F:F,"Sub-Saharan Africa"),0)</f>
        <v>0</v>
      </c>
      <c r="H41" s="28" t="n">
        <f aca="false">SUM(B41:G41)</f>
        <v>0</v>
      </c>
      <c r="I41" s="28" t="n">
        <f aca="false">COUNTIF(B41:G41,"&gt;0")</f>
        <v>0</v>
      </c>
      <c r="J41" s="32" t="n">
        <f aca="false">IFERROR(SUMPRODUCT((B41:G41/H41)^2),0)</f>
        <v>0</v>
      </c>
    </row>
    <row r="42" customFormat="false" ht="15" hidden="false" customHeight="false" outlineLevel="0" collapsed="false">
      <c r="A42" s="38"/>
      <c r="B42" s="39" t="n">
        <f aca="false">IFERROR(COUNTIFS('2. Raw Votes by Country'!B:B,$A42,'2. Raw Votes by Country'!F:F,"Americas"),0)</f>
        <v>0</v>
      </c>
      <c r="C42" s="39" t="n">
        <f aca="false">IFERROR(COUNTIFS('2. Raw Votes by Country'!B:B,$A42,'2. Raw Votes by Country'!F:F,"Europe &amp; Central Asia"),0)</f>
        <v>0</v>
      </c>
      <c r="D42" s="39" t="n">
        <f aca="false">IFERROR(COUNTIFS('2. Raw Votes by Country'!B:B,$A42,'2. Raw Votes by Country'!F:F,"East Asia &amp; Pacific"),0)</f>
        <v>0</v>
      </c>
      <c r="E42" s="39" t="n">
        <f aca="false">IFERROR(COUNTIFS('2. Raw Votes by Country'!B:B,$A42,'2. Raw Votes by Country'!F:F,"South Asia"),0)</f>
        <v>0</v>
      </c>
      <c r="F42" s="39" t="n">
        <f aca="false">IFERROR(COUNTIFS('2. Raw Votes by Country'!B:B,$A42,'2. Raw Votes by Country'!F:F,"Middle East &amp; North Africa"),0)</f>
        <v>0</v>
      </c>
      <c r="G42" s="39" t="n">
        <f aca="false">IFERROR(COUNTIFS('2. Raw Votes by Country'!B:B,$A42,'2. Raw Votes by Country'!F:F,"Sub-Saharan Africa"),0)</f>
        <v>0</v>
      </c>
      <c r="H42" s="40" t="n">
        <f aca="false">SUM(B42:G42)</f>
        <v>0</v>
      </c>
      <c r="I42" s="40" t="n">
        <f aca="false">COUNTIF(B42:G42,"&gt;0")</f>
        <v>0</v>
      </c>
      <c r="J42" s="41" t="n">
        <f aca="false">IFERROR(SUMPRODUCT((B42:G42/H42)^2),0)</f>
        <v>0</v>
      </c>
    </row>
    <row r="43" customFormat="false" ht="15" hidden="false" customHeight="false" outlineLevel="0" collapsed="false">
      <c r="A43" s="17"/>
      <c r="B43" s="4" t="n">
        <f aca="false">IFERROR(COUNTIFS('2. Raw Votes by Country'!B:B,$A43,'2. Raw Votes by Country'!F:F,"Americas"),0)</f>
        <v>0</v>
      </c>
      <c r="C43" s="4" t="n">
        <f aca="false">IFERROR(COUNTIFS('2. Raw Votes by Country'!B:B,$A43,'2. Raw Votes by Country'!F:F,"Europe &amp; Central Asia"),0)</f>
        <v>0</v>
      </c>
      <c r="D43" s="4" t="n">
        <f aca="false">IFERROR(COUNTIFS('2. Raw Votes by Country'!B:B,$A43,'2. Raw Votes by Country'!F:F,"East Asia &amp; Pacific"),0)</f>
        <v>0</v>
      </c>
      <c r="E43" s="4" t="n">
        <f aca="false">IFERROR(COUNTIFS('2. Raw Votes by Country'!B:B,$A43,'2. Raw Votes by Country'!F:F,"South Asia"),0)</f>
        <v>0</v>
      </c>
      <c r="F43" s="4" t="n">
        <f aca="false">IFERROR(COUNTIFS('2. Raw Votes by Country'!B:B,$A43,'2. Raw Votes by Country'!F:F,"Middle East &amp; North Africa"),0)</f>
        <v>0</v>
      </c>
      <c r="G43" s="4" t="n">
        <f aca="false">IFERROR(COUNTIFS('2. Raw Votes by Country'!B:B,$A43,'2. Raw Votes by Country'!F:F,"Sub-Saharan Africa"),0)</f>
        <v>0</v>
      </c>
      <c r="H43" s="28" t="n">
        <f aca="false">SUM(B43:G43)</f>
        <v>0</v>
      </c>
      <c r="I43" s="28" t="n">
        <f aca="false">COUNTIF(B43:G43,"&gt;0")</f>
        <v>0</v>
      </c>
      <c r="J43" s="32" t="n">
        <f aca="false">IFERROR(SUMPRODUCT((B43:G43/H43)^2),0)</f>
        <v>0</v>
      </c>
    </row>
    <row r="44" customFormat="false" ht="15" hidden="false" customHeight="false" outlineLevel="0" collapsed="false">
      <c r="A44" s="38"/>
      <c r="B44" s="39" t="n">
        <f aca="false">IFERROR(COUNTIFS('2. Raw Votes by Country'!B:B,$A44,'2. Raw Votes by Country'!F:F,"Americas"),0)</f>
        <v>0</v>
      </c>
      <c r="C44" s="39" t="n">
        <f aca="false">IFERROR(COUNTIFS('2. Raw Votes by Country'!B:B,$A44,'2. Raw Votes by Country'!F:F,"Europe &amp; Central Asia"),0)</f>
        <v>0</v>
      </c>
      <c r="D44" s="39" t="n">
        <f aca="false">IFERROR(COUNTIFS('2. Raw Votes by Country'!B:B,$A44,'2. Raw Votes by Country'!F:F,"East Asia &amp; Pacific"),0)</f>
        <v>0</v>
      </c>
      <c r="E44" s="39" t="n">
        <f aca="false">IFERROR(COUNTIFS('2. Raw Votes by Country'!B:B,$A44,'2. Raw Votes by Country'!F:F,"South Asia"),0)</f>
        <v>0</v>
      </c>
      <c r="F44" s="39" t="n">
        <f aca="false">IFERROR(COUNTIFS('2. Raw Votes by Country'!B:B,$A44,'2. Raw Votes by Country'!F:F,"Middle East &amp; North Africa"),0)</f>
        <v>0</v>
      </c>
      <c r="G44" s="39" t="n">
        <f aca="false">IFERROR(COUNTIFS('2. Raw Votes by Country'!B:B,$A44,'2. Raw Votes by Country'!F:F,"Sub-Saharan Africa"),0)</f>
        <v>0</v>
      </c>
      <c r="H44" s="40" t="n">
        <f aca="false">SUM(B44:G44)</f>
        <v>0</v>
      </c>
      <c r="I44" s="40" t="n">
        <f aca="false">COUNTIF(B44:G44,"&gt;0")</f>
        <v>0</v>
      </c>
      <c r="J44" s="41" t="n">
        <f aca="false">IFERROR(SUMPRODUCT((B44:G44/H44)^2),0)</f>
        <v>0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2E4F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9" min="5" style="0" width="20"/>
  </cols>
  <sheetData>
    <row r="1" customFormat="false" ht="33.75" hidden="false" customHeight="true" outlineLevel="0" collapsed="false">
      <c r="A1" s="1" t="s">
        <v>435</v>
      </c>
      <c r="B1" s="1"/>
      <c r="C1" s="1"/>
      <c r="D1" s="1"/>
      <c r="E1" s="1"/>
      <c r="F1" s="1"/>
      <c r="G1" s="1"/>
      <c r="H1" s="1"/>
      <c r="I1" s="1"/>
    </row>
    <row r="2" customFormat="false" ht="25.5" hidden="false" customHeight="true" outlineLevel="0" collapsed="false">
      <c r="A2" s="2" t="s">
        <v>436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3" t="s">
        <v>437</v>
      </c>
      <c r="B3" s="3" t="s">
        <v>427</v>
      </c>
      <c r="C3" s="3" t="s">
        <v>422</v>
      </c>
      <c r="D3" s="3" t="s">
        <v>423</v>
      </c>
      <c r="E3" s="3" t="s">
        <v>438</v>
      </c>
      <c r="F3" s="3" t="s">
        <v>439</v>
      </c>
      <c r="G3" s="3" t="s">
        <v>440</v>
      </c>
      <c r="H3" s="3" t="s">
        <v>441</v>
      </c>
      <c r="I3" s="3" t="s">
        <v>442</v>
      </c>
    </row>
    <row r="4" customFormat="false" ht="15" hidden="false" customHeight="false" outlineLevel="0" collapsed="false">
      <c r="A4" s="7" t="n">
        <v>1</v>
      </c>
      <c r="B4" s="24"/>
      <c r="C4" s="7" t="n">
        <f aca="false">IFERROR(VLOOKUP(B4,'3. Univ × Country Matrix'!$A$5:$V$44,22,FALSE()),0)</f>
        <v>0</v>
      </c>
      <c r="D4" s="7" t="n">
        <f aca="false">IFERROR(VLOOKUP(B4,'3. Univ × Country Matrix'!$A$5:$W$44,23,FALSE()),0)</f>
        <v>0</v>
      </c>
      <c r="E4" s="42" t="n">
        <f aca="false">IFERROR(VLOOKUP(B4,'7. Entropy Helper'!$A$4:$C$43,3,FALSE()),0)</f>
        <v>0</v>
      </c>
      <c r="F4" s="42" t="n">
        <f aca="false">IF(D4&gt;1,LOG(D4,2),0)</f>
        <v>0</v>
      </c>
      <c r="G4" s="43" t="n">
        <f aca="false">IFERROR(IF(F4&gt;0,E4/F4,0),0)</f>
        <v>0</v>
      </c>
      <c r="H4" s="31" t="n">
        <f aca="false">IFERROR(IF(MAX($E$4:$E$43)&gt;0,E4/MAX($E$4:$E$43)*100,0),0)</f>
        <v>0</v>
      </c>
      <c r="I4" s="30" t="str">
        <f aca="false">IF(H4&gt;=80,"Very High",IF(H4&gt;=60,"High",IF(H4&gt;=40,"Medium",IF(H4&gt;=20,"Low","Very Low"))))</f>
        <v>Very Low</v>
      </c>
    </row>
    <row r="5" customFormat="false" ht="15" hidden="false" customHeight="false" outlineLevel="0" collapsed="false">
      <c r="A5" s="4" t="n">
        <v>2</v>
      </c>
      <c r="B5" s="17"/>
      <c r="C5" s="4" t="n">
        <f aca="false">IFERROR(VLOOKUP(B5,'3. Univ × Country Matrix'!$A$5:$V$44,22,FALSE()),0)</f>
        <v>0</v>
      </c>
      <c r="D5" s="4" t="n">
        <f aca="false">IFERROR(VLOOKUP(B5,'3. Univ × Country Matrix'!$A$5:$W$44,23,FALSE()),0)</f>
        <v>0</v>
      </c>
      <c r="E5" s="44" t="n">
        <f aca="false">IFERROR(VLOOKUP(B5,'7. Entropy Helper'!$A$4:$C$43,3,FALSE()),0)</f>
        <v>0</v>
      </c>
      <c r="F5" s="44" t="n">
        <f aca="false">IF(D5&gt;1,LOG(D5,2),0)</f>
        <v>0</v>
      </c>
      <c r="G5" s="45" t="n">
        <f aca="false">IFERROR(IF(F5&gt;0,E5/F5,0),0)</f>
        <v>0</v>
      </c>
      <c r="H5" s="29" t="n">
        <f aca="false">IFERROR(IF(MAX($E$4:$E$43)&gt;0,E5/MAX($E$4:$E$43)*100,0),0)</f>
        <v>0</v>
      </c>
      <c r="I5" s="28" t="str">
        <f aca="false">IF(H5&gt;=80,"Very High",IF(H5&gt;=60,"High",IF(H5&gt;=40,"Medium",IF(H5&gt;=20,"Low","Very Low"))))</f>
        <v>Very Low</v>
      </c>
    </row>
    <row r="6" customFormat="false" ht="15" hidden="false" customHeight="false" outlineLevel="0" collapsed="false">
      <c r="A6" s="7" t="n">
        <v>3</v>
      </c>
      <c r="B6" s="24"/>
      <c r="C6" s="7" t="n">
        <f aca="false">IFERROR(VLOOKUP(B6,'3. Univ × Country Matrix'!$A$5:$V$44,22,FALSE()),0)</f>
        <v>0</v>
      </c>
      <c r="D6" s="7" t="n">
        <f aca="false">IFERROR(VLOOKUP(B6,'3. Univ × Country Matrix'!$A$5:$W$44,23,FALSE()),0)</f>
        <v>0</v>
      </c>
      <c r="E6" s="42" t="n">
        <f aca="false">IFERROR(VLOOKUP(B6,'7. Entropy Helper'!$A$4:$C$43,3,FALSE()),0)</f>
        <v>0</v>
      </c>
      <c r="F6" s="42" t="n">
        <f aca="false">IF(D6&gt;1,LOG(D6,2),0)</f>
        <v>0</v>
      </c>
      <c r="G6" s="43" t="n">
        <f aca="false">IFERROR(IF(F6&gt;0,E6/F6,0),0)</f>
        <v>0</v>
      </c>
      <c r="H6" s="31" t="n">
        <f aca="false">IFERROR(IF(MAX($E$4:$E$43)&gt;0,E6/MAX($E$4:$E$43)*100,0),0)</f>
        <v>0</v>
      </c>
      <c r="I6" s="30" t="str">
        <f aca="false">IF(H6&gt;=80,"Very High",IF(H6&gt;=60,"High",IF(H6&gt;=40,"Medium",IF(H6&gt;=20,"Low","Very Low"))))</f>
        <v>Very Low</v>
      </c>
    </row>
    <row r="7" customFormat="false" ht="15" hidden="false" customHeight="false" outlineLevel="0" collapsed="false">
      <c r="A7" s="4" t="n">
        <v>4</v>
      </c>
      <c r="B7" s="17"/>
      <c r="C7" s="4" t="n">
        <f aca="false">IFERROR(VLOOKUP(B7,'3. Univ × Country Matrix'!$A$5:$V$44,22,FALSE()),0)</f>
        <v>0</v>
      </c>
      <c r="D7" s="4" t="n">
        <f aca="false">IFERROR(VLOOKUP(B7,'3. Univ × Country Matrix'!$A$5:$W$44,23,FALSE()),0)</f>
        <v>0</v>
      </c>
      <c r="E7" s="44" t="n">
        <f aca="false">IFERROR(VLOOKUP(B7,'7. Entropy Helper'!$A$4:$C$43,3,FALSE()),0)</f>
        <v>0</v>
      </c>
      <c r="F7" s="44" t="n">
        <f aca="false">IF(D7&gt;1,LOG(D7,2),0)</f>
        <v>0</v>
      </c>
      <c r="G7" s="45" t="n">
        <f aca="false">IFERROR(IF(F7&gt;0,E7/F7,0),0)</f>
        <v>0</v>
      </c>
      <c r="H7" s="29" t="n">
        <f aca="false">IFERROR(IF(MAX($E$4:$E$43)&gt;0,E7/MAX($E$4:$E$43)*100,0),0)</f>
        <v>0</v>
      </c>
      <c r="I7" s="28" t="str">
        <f aca="false">IF(H7&gt;=80,"Very High",IF(H7&gt;=60,"High",IF(H7&gt;=40,"Medium",IF(H7&gt;=20,"Low","Very Low"))))</f>
        <v>Very Low</v>
      </c>
    </row>
    <row r="8" customFormat="false" ht="15" hidden="false" customHeight="false" outlineLevel="0" collapsed="false">
      <c r="A8" s="7" t="n">
        <v>5</v>
      </c>
      <c r="B8" s="24"/>
      <c r="C8" s="7" t="n">
        <f aca="false">IFERROR(VLOOKUP(B8,'3. Univ × Country Matrix'!$A$5:$V$44,22,FALSE()),0)</f>
        <v>0</v>
      </c>
      <c r="D8" s="7" t="n">
        <f aca="false">IFERROR(VLOOKUP(B8,'3. Univ × Country Matrix'!$A$5:$W$44,23,FALSE()),0)</f>
        <v>0</v>
      </c>
      <c r="E8" s="42" t="n">
        <f aca="false">IFERROR(VLOOKUP(B8,'7. Entropy Helper'!$A$4:$C$43,3,FALSE()),0)</f>
        <v>0</v>
      </c>
      <c r="F8" s="42" t="n">
        <f aca="false">IF(D8&gt;1,LOG(D8,2),0)</f>
        <v>0</v>
      </c>
      <c r="G8" s="43" t="n">
        <f aca="false">IFERROR(IF(F8&gt;0,E8/F8,0),0)</f>
        <v>0</v>
      </c>
      <c r="H8" s="31" t="n">
        <f aca="false">IFERROR(IF(MAX($E$4:$E$43)&gt;0,E8/MAX($E$4:$E$43)*100,0),0)</f>
        <v>0</v>
      </c>
      <c r="I8" s="30" t="str">
        <f aca="false">IF(H8&gt;=80,"Very High",IF(H8&gt;=60,"High",IF(H8&gt;=40,"Medium",IF(H8&gt;=20,"Low","Very Low"))))</f>
        <v>Very Low</v>
      </c>
    </row>
    <row r="9" customFormat="false" ht="15" hidden="false" customHeight="false" outlineLevel="0" collapsed="false">
      <c r="A9" s="4" t="n">
        <v>6</v>
      </c>
      <c r="B9" s="17"/>
      <c r="C9" s="4" t="n">
        <f aca="false">IFERROR(VLOOKUP(B9,'3. Univ × Country Matrix'!$A$5:$V$44,22,FALSE()),0)</f>
        <v>0</v>
      </c>
      <c r="D9" s="4" t="n">
        <f aca="false">IFERROR(VLOOKUP(B9,'3. Univ × Country Matrix'!$A$5:$W$44,23,FALSE()),0)</f>
        <v>0</v>
      </c>
      <c r="E9" s="44" t="n">
        <f aca="false">IFERROR(VLOOKUP(B9,'7. Entropy Helper'!$A$4:$C$43,3,FALSE()),0)</f>
        <v>0</v>
      </c>
      <c r="F9" s="44" t="n">
        <f aca="false">IF(D9&gt;1,LOG(D9,2),0)</f>
        <v>0</v>
      </c>
      <c r="G9" s="45" t="n">
        <f aca="false">IFERROR(IF(F9&gt;0,E9/F9,0),0)</f>
        <v>0</v>
      </c>
      <c r="H9" s="29" t="n">
        <f aca="false">IFERROR(IF(MAX($E$4:$E$43)&gt;0,E9/MAX($E$4:$E$43)*100,0),0)</f>
        <v>0</v>
      </c>
      <c r="I9" s="28" t="str">
        <f aca="false">IF(H9&gt;=80,"Very High",IF(H9&gt;=60,"High",IF(H9&gt;=40,"Medium",IF(H9&gt;=20,"Low","Very Low"))))</f>
        <v>Very Low</v>
      </c>
    </row>
    <row r="10" customFormat="false" ht="15" hidden="false" customHeight="false" outlineLevel="0" collapsed="false">
      <c r="A10" s="7" t="n">
        <v>7</v>
      </c>
      <c r="B10" s="24"/>
      <c r="C10" s="7" t="n">
        <f aca="false">IFERROR(VLOOKUP(B10,'3. Univ × Country Matrix'!$A$5:$V$44,22,FALSE()),0)</f>
        <v>0</v>
      </c>
      <c r="D10" s="7" t="n">
        <f aca="false">IFERROR(VLOOKUP(B10,'3. Univ × Country Matrix'!$A$5:$W$44,23,FALSE()),0)</f>
        <v>0</v>
      </c>
      <c r="E10" s="42" t="n">
        <f aca="false">IFERROR(VLOOKUP(B10,'7. Entropy Helper'!$A$4:$C$43,3,FALSE()),0)</f>
        <v>0</v>
      </c>
      <c r="F10" s="42" t="n">
        <f aca="false">IF(D10&gt;1,LOG(D10,2),0)</f>
        <v>0</v>
      </c>
      <c r="G10" s="43" t="n">
        <f aca="false">IFERROR(IF(F10&gt;0,E10/F10,0),0)</f>
        <v>0</v>
      </c>
      <c r="H10" s="31" t="n">
        <f aca="false">IFERROR(IF(MAX($E$4:$E$43)&gt;0,E10/MAX($E$4:$E$43)*100,0),0)</f>
        <v>0</v>
      </c>
      <c r="I10" s="30" t="str">
        <f aca="false">IF(H10&gt;=80,"Very High",IF(H10&gt;=60,"High",IF(H10&gt;=40,"Medium",IF(H10&gt;=20,"Low","Very Low"))))</f>
        <v>Very Low</v>
      </c>
    </row>
    <row r="11" customFormat="false" ht="15" hidden="false" customHeight="false" outlineLevel="0" collapsed="false">
      <c r="A11" s="4" t="n">
        <v>8</v>
      </c>
      <c r="B11" s="17"/>
      <c r="C11" s="4" t="n">
        <f aca="false">IFERROR(VLOOKUP(B11,'3. Univ × Country Matrix'!$A$5:$V$44,22,FALSE()),0)</f>
        <v>0</v>
      </c>
      <c r="D11" s="4" t="n">
        <f aca="false">IFERROR(VLOOKUP(B11,'3. Univ × Country Matrix'!$A$5:$W$44,23,FALSE()),0)</f>
        <v>0</v>
      </c>
      <c r="E11" s="44" t="n">
        <f aca="false">IFERROR(VLOOKUP(B11,'7. Entropy Helper'!$A$4:$C$43,3,FALSE()),0)</f>
        <v>0</v>
      </c>
      <c r="F11" s="44" t="n">
        <f aca="false">IF(D11&gt;1,LOG(D11,2),0)</f>
        <v>0</v>
      </c>
      <c r="G11" s="45" t="n">
        <f aca="false">IFERROR(IF(F11&gt;0,E11/F11,0),0)</f>
        <v>0</v>
      </c>
      <c r="H11" s="29" t="n">
        <f aca="false">IFERROR(IF(MAX($E$4:$E$43)&gt;0,E11/MAX($E$4:$E$43)*100,0),0)</f>
        <v>0</v>
      </c>
      <c r="I11" s="28" t="str">
        <f aca="false">IF(H11&gt;=80,"Very High",IF(H11&gt;=60,"High",IF(H11&gt;=40,"Medium",IF(H11&gt;=20,"Low","Very Low"))))</f>
        <v>Very Low</v>
      </c>
    </row>
    <row r="12" customFormat="false" ht="15" hidden="false" customHeight="false" outlineLevel="0" collapsed="false">
      <c r="A12" s="7" t="n">
        <v>9</v>
      </c>
      <c r="B12" s="24"/>
      <c r="C12" s="7" t="n">
        <f aca="false">IFERROR(VLOOKUP(B12,'3. Univ × Country Matrix'!$A$5:$V$44,22,FALSE()),0)</f>
        <v>0</v>
      </c>
      <c r="D12" s="7" t="n">
        <f aca="false">IFERROR(VLOOKUP(B12,'3. Univ × Country Matrix'!$A$5:$W$44,23,FALSE()),0)</f>
        <v>0</v>
      </c>
      <c r="E12" s="42" t="n">
        <f aca="false">IFERROR(VLOOKUP(B12,'7. Entropy Helper'!$A$4:$C$43,3,FALSE()),0)</f>
        <v>0</v>
      </c>
      <c r="F12" s="42" t="n">
        <f aca="false">IF(D12&gt;1,LOG(D12,2),0)</f>
        <v>0</v>
      </c>
      <c r="G12" s="43" t="n">
        <f aca="false">IFERROR(IF(F12&gt;0,E12/F12,0),0)</f>
        <v>0</v>
      </c>
      <c r="H12" s="31" t="n">
        <f aca="false">IFERROR(IF(MAX($E$4:$E$43)&gt;0,E12/MAX($E$4:$E$43)*100,0),0)</f>
        <v>0</v>
      </c>
      <c r="I12" s="30" t="str">
        <f aca="false">IF(H12&gt;=80,"Very High",IF(H12&gt;=60,"High",IF(H12&gt;=40,"Medium",IF(H12&gt;=20,"Low","Very Low"))))</f>
        <v>Very Low</v>
      </c>
    </row>
    <row r="13" customFormat="false" ht="15" hidden="false" customHeight="false" outlineLevel="0" collapsed="false">
      <c r="A13" s="4" t="n">
        <v>10</v>
      </c>
      <c r="B13" s="17"/>
      <c r="C13" s="4" t="n">
        <f aca="false">IFERROR(VLOOKUP(B13,'3. Univ × Country Matrix'!$A$5:$V$44,22,FALSE()),0)</f>
        <v>0</v>
      </c>
      <c r="D13" s="4" t="n">
        <f aca="false">IFERROR(VLOOKUP(B13,'3. Univ × Country Matrix'!$A$5:$W$44,23,FALSE()),0)</f>
        <v>0</v>
      </c>
      <c r="E13" s="44" t="n">
        <f aca="false">IFERROR(VLOOKUP(B13,'7. Entropy Helper'!$A$4:$C$43,3,FALSE()),0)</f>
        <v>0</v>
      </c>
      <c r="F13" s="44" t="n">
        <f aca="false">IF(D13&gt;1,LOG(D13,2),0)</f>
        <v>0</v>
      </c>
      <c r="G13" s="45" t="n">
        <f aca="false">IFERROR(IF(F13&gt;0,E13/F13,0),0)</f>
        <v>0</v>
      </c>
      <c r="H13" s="29" t="n">
        <f aca="false">IFERROR(IF(MAX($E$4:$E$43)&gt;0,E13/MAX($E$4:$E$43)*100,0),0)</f>
        <v>0</v>
      </c>
      <c r="I13" s="28" t="str">
        <f aca="false">IF(H13&gt;=80,"Very High",IF(H13&gt;=60,"High",IF(H13&gt;=40,"Medium",IF(H13&gt;=20,"Low","Very Low"))))</f>
        <v>Very Low</v>
      </c>
    </row>
    <row r="14" customFormat="false" ht="15" hidden="false" customHeight="false" outlineLevel="0" collapsed="false">
      <c r="A14" s="7" t="n">
        <v>11</v>
      </c>
      <c r="B14" s="24"/>
      <c r="C14" s="7" t="n">
        <f aca="false">IFERROR(VLOOKUP(B14,'3. Univ × Country Matrix'!$A$5:$V$44,22,FALSE()),0)</f>
        <v>0</v>
      </c>
      <c r="D14" s="7" t="n">
        <f aca="false">IFERROR(VLOOKUP(B14,'3. Univ × Country Matrix'!$A$5:$W$44,23,FALSE()),0)</f>
        <v>0</v>
      </c>
      <c r="E14" s="42" t="n">
        <f aca="false">IFERROR(VLOOKUP(B14,'7. Entropy Helper'!$A$4:$C$43,3,FALSE()),0)</f>
        <v>0</v>
      </c>
      <c r="F14" s="42" t="n">
        <f aca="false">IF(D14&gt;1,LOG(D14,2),0)</f>
        <v>0</v>
      </c>
      <c r="G14" s="43" t="n">
        <f aca="false">IFERROR(IF(F14&gt;0,E14/F14,0),0)</f>
        <v>0</v>
      </c>
      <c r="H14" s="31" t="n">
        <f aca="false">IFERROR(IF(MAX($E$4:$E$43)&gt;0,E14/MAX($E$4:$E$43)*100,0),0)</f>
        <v>0</v>
      </c>
      <c r="I14" s="30" t="str">
        <f aca="false">IF(H14&gt;=80,"Very High",IF(H14&gt;=60,"High",IF(H14&gt;=40,"Medium",IF(H14&gt;=20,"Low","Very Low"))))</f>
        <v>Very Low</v>
      </c>
    </row>
    <row r="15" customFormat="false" ht="15" hidden="false" customHeight="false" outlineLevel="0" collapsed="false">
      <c r="A15" s="4" t="n">
        <v>12</v>
      </c>
      <c r="B15" s="17"/>
      <c r="C15" s="4" t="n">
        <f aca="false">IFERROR(VLOOKUP(B15,'3. Univ × Country Matrix'!$A$5:$V$44,22,FALSE()),0)</f>
        <v>0</v>
      </c>
      <c r="D15" s="4" t="n">
        <f aca="false">IFERROR(VLOOKUP(B15,'3. Univ × Country Matrix'!$A$5:$W$44,23,FALSE()),0)</f>
        <v>0</v>
      </c>
      <c r="E15" s="44" t="n">
        <f aca="false">IFERROR(VLOOKUP(B15,'7. Entropy Helper'!$A$4:$C$43,3,FALSE()),0)</f>
        <v>0</v>
      </c>
      <c r="F15" s="44" t="n">
        <f aca="false">IF(D15&gt;1,LOG(D15,2),0)</f>
        <v>0</v>
      </c>
      <c r="G15" s="45" t="n">
        <f aca="false">IFERROR(IF(F15&gt;0,E15/F15,0),0)</f>
        <v>0</v>
      </c>
      <c r="H15" s="29" t="n">
        <f aca="false">IFERROR(IF(MAX($E$4:$E$43)&gt;0,E15/MAX($E$4:$E$43)*100,0),0)</f>
        <v>0</v>
      </c>
      <c r="I15" s="28" t="str">
        <f aca="false">IF(H15&gt;=80,"Very High",IF(H15&gt;=60,"High",IF(H15&gt;=40,"Medium",IF(H15&gt;=20,"Low","Very Low"))))</f>
        <v>Very Low</v>
      </c>
    </row>
    <row r="16" customFormat="false" ht="15" hidden="false" customHeight="false" outlineLevel="0" collapsed="false">
      <c r="A16" s="7" t="n">
        <v>13</v>
      </c>
      <c r="B16" s="24"/>
      <c r="C16" s="7" t="n">
        <f aca="false">IFERROR(VLOOKUP(B16,'3. Univ × Country Matrix'!$A$5:$V$44,22,FALSE()),0)</f>
        <v>0</v>
      </c>
      <c r="D16" s="7" t="n">
        <f aca="false">IFERROR(VLOOKUP(B16,'3. Univ × Country Matrix'!$A$5:$W$44,23,FALSE()),0)</f>
        <v>0</v>
      </c>
      <c r="E16" s="42" t="n">
        <f aca="false">IFERROR(VLOOKUP(B16,'7. Entropy Helper'!$A$4:$C$43,3,FALSE()),0)</f>
        <v>0</v>
      </c>
      <c r="F16" s="42" t="n">
        <f aca="false">IF(D16&gt;1,LOG(D16,2),0)</f>
        <v>0</v>
      </c>
      <c r="G16" s="43" t="n">
        <f aca="false">IFERROR(IF(F16&gt;0,E16/F16,0),0)</f>
        <v>0</v>
      </c>
      <c r="H16" s="31" t="n">
        <f aca="false">IFERROR(IF(MAX($E$4:$E$43)&gt;0,E16/MAX($E$4:$E$43)*100,0),0)</f>
        <v>0</v>
      </c>
      <c r="I16" s="30" t="str">
        <f aca="false">IF(H16&gt;=80,"Very High",IF(H16&gt;=60,"High",IF(H16&gt;=40,"Medium",IF(H16&gt;=20,"Low","Very Low"))))</f>
        <v>Very Low</v>
      </c>
    </row>
    <row r="17" customFormat="false" ht="15" hidden="false" customHeight="false" outlineLevel="0" collapsed="false">
      <c r="A17" s="4" t="n">
        <v>14</v>
      </c>
      <c r="B17" s="17"/>
      <c r="C17" s="4" t="n">
        <f aca="false">IFERROR(VLOOKUP(B17,'3. Univ × Country Matrix'!$A$5:$V$44,22,FALSE()),0)</f>
        <v>0</v>
      </c>
      <c r="D17" s="4" t="n">
        <f aca="false">IFERROR(VLOOKUP(B17,'3. Univ × Country Matrix'!$A$5:$W$44,23,FALSE()),0)</f>
        <v>0</v>
      </c>
      <c r="E17" s="44" t="n">
        <f aca="false">IFERROR(VLOOKUP(B17,'7. Entropy Helper'!$A$4:$C$43,3,FALSE()),0)</f>
        <v>0</v>
      </c>
      <c r="F17" s="44" t="n">
        <f aca="false">IF(D17&gt;1,LOG(D17,2),0)</f>
        <v>0</v>
      </c>
      <c r="G17" s="45" t="n">
        <f aca="false">IFERROR(IF(F17&gt;0,E17/F17,0),0)</f>
        <v>0</v>
      </c>
      <c r="H17" s="29" t="n">
        <f aca="false">IFERROR(IF(MAX($E$4:$E$43)&gt;0,E17/MAX($E$4:$E$43)*100,0),0)</f>
        <v>0</v>
      </c>
      <c r="I17" s="28" t="str">
        <f aca="false">IF(H17&gt;=80,"Very High",IF(H17&gt;=60,"High",IF(H17&gt;=40,"Medium",IF(H17&gt;=20,"Low","Very Low"))))</f>
        <v>Very Low</v>
      </c>
    </row>
    <row r="18" customFormat="false" ht="15" hidden="false" customHeight="false" outlineLevel="0" collapsed="false">
      <c r="A18" s="7" t="n">
        <v>15</v>
      </c>
      <c r="B18" s="24"/>
      <c r="C18" s="7" t="n">
        <f aca="false">IFERROR(VLOOKUP(B18,'3. Univ × Country Matrix'!$A$5:$V$44,22,FALSE()),0)</f>
        <v>0</v>
      </c>
      <c r="D18" s="7" t="n">
        <f aca="false">IFERROR(VLOOKUP(B18,'3. Univ × Country Matrix'!$A$5:$W$44,23,FALSE()),0)</f>
        <v>0</v>
      </c>
      <c r="E18" s="42" t="n">
        <f aca="false">IFERROR(VLOOKUP(B18,'7. Entropy Helper'!$A$4:$C$43,3,FALSE()),0)</f>
        <v>0</v>
      </c>
      <c r="F18" s="42" t="n">
        <f aca="false">IF(D18&gt;1,LOG(D18,2),0)</f>
        <v>0</v>
      </c>
      <c r="G18" s="43" t="n">
        <f aca="false">IFERROR(IF(F18&gt;0,E18/F18,0),0)</f>
        <v>0</v>
      </c>
      <c r="H18" s="31" t="n">
        <f aca="false">IFERROR(IF(MAX($E$4:$E$43)&gt;0,E18/MAX($E$4:$E$43)*100,0),0)</f>
        <v>0</v>
      </c>
      <c r="I18" s="30" t="str">
        <f aca="false">IF(H18&gt;=80,"Very High",IF(H18&gt;=60,"High",IF(H18&gt;=40,"Medium",IF(H18&gt;=20,"Low","Very Low"))))</f>
        <v>Very Low</v>
      </c>
    </row>
    <row r="19" customFormat="false" ht="15" hidden="false" customHeight="false" outlineLevel="0" collapsed="false">
      <c r="A19" s="4" t="n">
        <v>16</v>
      </c>
      <c r="B19" s="17"/>
      <c r="C19" s="4" t="n">
        <f aca="false">IFERROR(VLOOKUP(B19,'3. Univ × Country Matrix'!$A$5:$V$44,22,FALSE()),0)</f>
        <v>0</v>
      </c>
      <c r="D19" s="4" t="n">
        <f aca="false">IFERROR(VLOOKUP(B19,'3. Univ × Country Matrix'!$A$5:$W$44,23,FALSE()),0)</f>
        <v>0</v>
      </c>
      <c r="E19" s="44" t="n">
        <f aca="false">IFERROR(VLOOKUP(B19,'7. Entropy Helper'!$A$4:$C$43,3,FALSE()),0)</f>
        <v>0</v>
      </c>
      <c r="F19" s="44" t="n">
        <f aca="false">IF(D19&gt;1,LOG(D19,2),0)</f>
        <v>0</v>
      </c>
      <c r="G19" s="45" t="n">
        <f aca="false">IFERROR(IF(F19&gt;0,E19/F19,0),0)</f>
        <v>0</v>
      </c>
      <c r="H19" s="29" t="n">
        <f aca="false">IFERROR(IF(MAX($E$4:$E$43)&gt;0,E19/MAX($E$4:$E$43)*100,0),0)</f>
        <v>0</v>
      </c>
      <c r="I19" s="28" t="str">
        <f aca="false">IF(H19&gt;=80,"Very High",IF(H19&gt;=60,"High",IF(H19&gt;=40,"Medium",IF(H19&gt;=20,"Low","Very Low"))))</f>
        <v>Very Low</v>
      </c>
    </row>
    <row r="20" customFormat="false" ht="15" hidden="false" customHeight="false" outlineLevel="0" collapsed="false">
      <c r="A20" s="7" t="n">
        <v>17</v>
      </c>
      <c r="B20" s="24"/>
      <c r="C20" s="7" t="n">
        <f aca="false">IFERROR(VLOOKUP(B20,'3. Univ × Country Matrix'!$A$5:$V$44,22,FALSE()),0)</f>
        <v>0</v>
      </c>
      <c r="D20" s="7" t="n">
        <f aca="false">IFERROR(VLOOKUP(B20,'3. Univ × Country Matrix'!$A$5:$W$44,23,FALSE()),0)</f>
        <v>0</v>
      </c>
      <c r="E20" s="42" t="n">
        <f aca="false">IFERROR(VLOOKUP(B20,'7. Entropy Helper'!$A$4:$C$43,3,FALSE()),0)</f>
        <v>0</v>
      </c>
      <c r="F20" s="42" t="n">
        <f aca="false">IF(D20&gt;1,LOG(D20,2),0)</f>
        <v>0</v>
      </c>
      <c r="G20" s="43" t="n">
        <f aca="false">IFERROR(IF(F20&gt;0,E20/F20,0),0)</f>
        <v>0</v>
      </c>
      <c r="H20" s="31" t="n">
        <f aca="false">IFERROR(IF(MAX($E$4:$E$43)&gt;0,E20/MAX($E$4:$E$43)*100,0),0)</f>
        <v>0</v>
      </c>
      <c r="I20" s="30" t="str">
        <f aca="false">IF(H20&gt;=80,"Very High",IF(H20&gt;=60,"High",IF(H20&gt;=40,"Medium",IF(H20&gt;=20,"Low","Very Low"))))</f>
        <v>Very Low</v>
      </c>
    </row>
    <row r="21" customFormat="false" ht="15" hidden="false" customHeight="false" outlineLevel="0" collapsed="false">
      <c r="A21" s="4" t="n">
        <v>18</v>
      </c>
      <c r="B21" s="17"/>
      <c r="C21" s="4" t="n">
        <f aca="false">IFERROR(VLOOKUP(B21,'3. Univ × Country Matrix'!$A$5:$V$44,22,FALSE()),0)</f>
        <v>0</v>
      </c>
      <c r="D21" s="4" t="n">
        <f aca="false">IFERROR(VLOOKUP(B21,'3. Univ × Country Matrix'!$A$5:$W$44,23,FALSE()),0)</f>
        <v>0</v>
      </c>
      <c r="E21" s="44" t="n">
        <f aca="false">IFERROR(VLOOKUP(B21,'7. Entropy Helper'!$A$4:$C$43,3,FALSE()),0)</f>
        <v>0</v>
      </c>
      <c r="F21" s="44" t="n">
        <f aca="false">IF(D21&gt;1,LOG(D21,2),0)</f>
        <v>0</v>
      </c>
      <c r="G21" s="45" t="n">
        <f aca="false">IFERROR(IF(F21&gt;0,E21/F21,0),0)</f>
        <v>0</v>
      </c>
      <c r="H21" s="29" t="n">
        <f aca="false">IFERROR(IF(MAX($E$4:$E$43)&gt;0,E21/MAX($E$4:$E$43)*100,0),0)</f>
        <v>0</v>
      </c>
      <c r="I21" s="28" t="str">
        <f aca="false">IF(H21&gt;=80,"Very High",IF(H21&gt;=60,"High",IF(H21&gt;=40,"Medium",IF(H21&gt;=20,"Low","Very Low"))))</f>
        <v>Very Low</v>
      </c>
    </row>
    <row r="22" customFormat="false" ht="15" hidden="false" customHeight="false" outlineLevel="0" collapsed="false">
      <c r="A22" s="7" t="n">
        <v>19</v>
      </c>
      <c r="B22" s="24"/>
      <c r="C22" s="7" t="n">
        <f aca="false">IFERROR(VLOOKUP(B22,'3. Univ × Country Matrix'!$A$5:$V$44,22,FALSE()),0)</f>
        <v>0</v>
      </c>
      <c r="D22" s="7" t="n">
        <f aca="false">IFERROR(VLOOKUP(B22,'3. Univ × Country Matrix'!$A$5:$W$44,23,FALSE()),0)</f>
        <v>0</v>
      </c>
      <c r="E22" s="42" t="n">
        <f aca="false">IFERROR(VLOOKUP(B22,'7. Entropy Helper'!$A$4:$C$43,3,FALSE()),0)</f>
        <v>0</v>
      </c>
      <c r="F22" s="42" t="n">
        <f aca="false">IF(D22&gt;1,LOG(D22,2),0)</f>
        <v>0</v>
      </c>
      <c r="G22" s="43" t="n">
        <f aca="false">IFERROR(IF(F22&gt;0,E22/F22,0),0)</f>
        <v>0</v>
      </c>
      <c r="H22" s="31" t="n">
        <f aca="false">IFERROR(IF(MAX($E$4:$E$43)&gt;0,E22/MAX($E$4:$E$43)*100,0),0)</f>
        <v>0</v>
      </c>
      <c r="I22" s="30" t="str">
        <f aca="false">IF(H22&gt;=80,"Very High",IF(H22&gt;=60,"High",IF(H22&gt;=40,"Medium",IF(H22&gt;=20,"Low","Very Low"))))</f>
        <v>Very Low</v>
      </c>
    </row>
    <row r="23" customFormat="false" ht="15" hidden="false" customHeight="false" outlineLevel="0" collapsed="false">
      <c r="A23" s="4" t="n">
        <v>20</v>
      </c>
      <c r="B23" s="17"/>
      <c r="C23" s="4" t="n">
        <f aca="false">IFERROR(VLOOKUP(B23,'3. Univ × Country Matrix'!$A$5:$V$44,22,FALSE()),0)</f>
        <v>0</v>
      </c>
      <c r="D23" s="4" t="n">
        <f aca="false">IFERROR(VLOOKUP(B23,'3. Univ × Country Matrix'!$A$5:$W$44,23,FALSE()),0)</f>
        <v>0</v>
      </c>
      <c r="E23" s="44" t="n">
        <f aca="false">IFERROR(VLOOKUP(B23,'7. Entropy Helper'!$A$4:$C$43,3,FALSE()),0)</f>
        <v>0</v>
      </c>
      <c r="F23" s="44" t="n">
        <f aca="false">IF(D23&gt;1,LOG(D23,2),0)</f>
        <v>0</v>
      </c>
      <c r="G23" s="45" t="n">
        <f aca="false">IFERROR(IF(F23&gt;0,E23/F23,0),0)</f>
        <v>0</v>
      </c>
      <c r="H23" s="29" t="n">
        <f aca="false">IFERROR(IF(MAX($E$4:$E$43)&gt;0,E23/MAX($E$4:$E$43)*100,0),0)</f>
        <v>0</v>
      </c>
      <c r="I23" s="28" t="str">
        <f aca="false">IF(H23&gt;=80,"Very High",IF(H23&gt;=60,"High",IF(H23&gt;=40,"Medium",IF(H23&gt;=20,"Low","Very Low"))))</f>
        <v>Very Low</v>
      </c>
    </row>
    <row r="24" customFormat="false" ht="15" hidden="false" customHeight="false" outlineLevel="0" collapsed="false">
      <c r="A24" s="7" t="n">
        <v>21</v>
      </c>
      <c r="B24" s="24"/>
      <c r="C24" s="7" t="n">
        <f aca="false">IFERROR(VLOOKUP(B24,'3. Univ × Country Matrix'!$A$5:$V$44,22,FALSE()),0)</f>
        <v>0</v>
      </c>
      <c r="D24" s="7" t="n">
        <f aca="false">IFERROR(VLOOKUP(B24,'3. Univ × Country Matrix'!$A$5:$W$44,23,FALSE()),0)</f>
        <v>0</v>
      </c>
      <c r="E24" s="42" t="n">
        <f aca="false">IFERROR(VLOOKUP(B24,'7. Entropy Helper'!$A$4:$C$43,3,FALSE()),0)</f>
        <v>0</v>
      </c>
      <c r="F24" s="42" t="n">
        <f aca="false">IF(D24&gt;1,LOG(D24,2),0)</f>
        <v>0</v>
      </c>
      <c r="G24" s="43" t="n">
        <f aca="false">IFERROR(IF(F24&gt;0,E24/F24,0),0)</f>
        <v>0</v>
      </c>
      <c r="H24" s="31" t="n">
        <f aca="false">IFERROR(IF(MAX($E$4:$E$43)&gt;0,E24/MAX($E$4:$E$43)*100,0),0)</f>
        <v>0</v>
      </c>
      <c r="I24" s="30" t="str">
        <f aca="false">IF(H24&gt;=80,"Very High",IF(H24&gt;=60,"High",IF(H24&gt;=40,"Medium",IF(H24&gt;=20,"Low","Very Low"))))</f>
        <v>Very Low</v>
      </c>
    </row>
    <row r="25" customFormat="false" ht="15" hidden="false" customHeight="false" outlineLevel="0" collapsed="false">
      <c r="A25" s="4" t="n">
        <v>22</v>
      </c>
      <c r="B25" s="17"/>
      <c r="C25" s="4" t="n">
        <f aca="false">IFERROR(VLOOKUP(B25,'3. Univ × Country Matrix'!$A$5:$V$44,22,FALSE()),0)</f>
        <v>0</v>
      </c>
      <c r="D25" s="4" t="n">
        <f aca="false">IFERROR(VLOOKUP(B25,'3. Univ × Country Matrix'!$A$5:$W$44,23,FALSE()),0)</f>
        <v>0</v>
      </c>
      <c r="E25" s="44" t="n">
        <f aca="false">IFERROR(VLOOKUP(B25,'7. Entropy Helper'!$A$4:$C$43,3,FALSE()),0)</f>
        <v>0</v>
      </c>
      <c r="F25" s="44" t="n">
        <f aca="false">IF(D25&gt;1,LOG(D25,2),0)</f>
        <v>0</v>
      </c>
      <c r="G25" s="45" t="n">
        <f aca="false">IFERROR(IF(F25&gt;0,E25/F25,0),0)</f>
        <v>0</v>
      </c>
      <c r="H25" s="29" t="n">
        <f aca="false">IFERROR(IF(MAX($E$4:$E$43)&gt;0,E25/MAX($E$4:$E$43)*100,0),0)</f>
        <v>0</v>
      </c>
      <c r="I25" s="28" t="str">
        <f aca="false">IF(H25&gt;=80,"Very High",IF(H25&gt;=60,"High",IF(H25&gt;=40,"Medium",IF(H25&gt;=20,"Low","Very Low"))))</f>
        <v>Very Low</v>
      </c>
    </row>
    <row r="26" customFormat="false" ht="15" hidden="false" customHeight="false" outlineLevel="0" collapsed="false">
      <c r="A26" s="7" t="n">
        <v>23</v>
      </c>
      <c r="B26" s="24"/>
      <c r="C26" s="7" t="n">
        <f aca="false">IFERROR(VLOOKUP(B26,'3. Univ × Country Matrix'!$A$5:$V$44,22,FALSE()),0)</f>
        <v>0</v>
      </c>
      <c r="D26" s="7" t="n">
        <f aca="false">IFERROR(VLOOKUP(B26,'3. Univ × Country Matrix'!$A$5:$W$44,23,FALSE()),0)</f>
        <v>0</v>
      </c>
      <c r="E26" s="42" t="n">
        <f aca="false">IFERROR(VLOOKUP(B26,'7. Entropy Helper'!$A$4:$C$43,3,FALSE()),0)</f>
        <v>0</v>
      </c>
      <c r="F26" s="42" t="n">
        <f aca="false">IF(D26&gt;1,LOG(D26,2),0)</f>
        <v>0</v>
      </c>
      <c r="G26" s="43" t="n">
        <f aca="false">IFERROR(IF(F26&gt;0,E26/F26,0),0)</f>
        <v>0</v>
      </c>
      <c r="H26" s="31" t="n">
        <f aca="false">IFERROR(IF(MAX($E$4:$E$43)&gt;0,E26/MAX($E$4:$E$43)*100,0),0)</f>
        <v>0</v>
      </c>
      <c r="I26" s="30" t="str">
        <f aca="false">IF(H26&gt;=80,"Very High",IF(H26&gt;=60,"High",IF(H26&gt;=40,"Medium",IF(H26&gt;=20,"Low","Very Low"))))</f>
        <v>Very Low</v>
      </c>
    </row>
    <row r="27" customFormat="false" ht="15" hidden="false" customHeight="false" outlineLevel="0" collapsed="false">
      <c r="A27" s="4" t="n">
        <v>24</v>
      </c>
      <c r="B27" s="17"/>
      <c r="C27" s="4" t="n">
        <f aca="false">IFERROR(VLOOKUP(B27,'3. Univ × Country Matrix'!$A$5:$V$44,22,FALSE()),0)</f>
        <v>0</v>
      </c>
      <c r="D27" s="4" t="n">
        <f aca="false">IFERROR(VLOOKUP(B27,'3. Univ × Country Matrix'!$A$5:$W$44,23,FALSE()),0)</f>
        <v>0</v>
      </c>
      <c r="E27" s="44" t="n">
        <f aca="false">IFERROR(VLOOKUP(B27,'7. Entropy Helper'!$A$4:$C$43,3,FALSE()),0)</f>
        <v>0</v>
      </c>
      <c r="F27" s="44" t="n">
        <f aca="false">IF(D27&gt;1,LOG(D27,2),0)</f>
        <v>0</v>
      </c>
      <c r="G27" s="45" t="n">
        <f aca="false">IFERROR(IF(F27&gt;0,E27/F27,0),0)</f>
        <v>0</v>
      </c>
      <c r="H27" s="29" t="n">
        <f aca="false">IFERROR(IF(MAX($E$4:$E$43)&gt;0,E27/MAX($E$4:$E$43)*100,0),0)</f>
        <v>0</v>
      </c>
      <c r="I27" s="28" t="str">
        <f aca="false">IF(H27&gt;=80,"Very High",IF(H27&gt;=60,"High",IF(H27&gt;=40,"Medium",IF(H27&gt;=20,"Low","Very Low"))))</f>
        <v>Very Low</v>
      </c>
    </row>
    <row r="28" customFormat="false" ht="15" hidden="false" customHeight="false" outlineLevel="0" collapsed="false">
      <c r="A28" s="7" t="n">
        <v>25</v>
      </c>
      <c r="B28" s="24"/>
      <c r="C28" s="7" t="n">
        <f aca="false">IFERROR(VLOOKUP(B28,'3. Univ × Country Matrix'!$A$5:$V$44,22,FALSE()),0)</f>
        <v>0</v>
      </c>
      <c r="D28" s="7" t="n">
        <f aca="false">IFERROR(VLOOKUP(B28,'3. Univ × Country Matrix'!$A$5:$W$44,23,FALSE()),0)</f>
        <v>0</v>
      </c>
      <c r="E28" s="42" t="n">
        <f aca="false">IFERROR(VLOOKUP(B28,'7. Entropy Helper'!$A$4:$C$43,3,FALSE()),0)</f>
        <v>0</v>
      </c>
      <c r="F28" s="42" t="n">
        <f aca="false">IF(D28&gt;1,LOG(D28,2),0)</f>
        <v>0</v>
      </c>
      <c r="G28" s="43" t="n">
        <f aca="false">IFERROR(IF(F28&gt;0,E28/F28,0),0)</f>
        <v>0</v>
      </c>
      <c r="H28" s="31" t="n">
        <f aca="false">IFERROR(IF(MAX($E$4:$E$43)&gt;0,E28/MAX($E$4:$E$43)*100,0),0)</f>
        <v>0</v>
      </c>
      <c r="I28" s="30" t="str">
        <f aca="false">IF(H28&gt;=80,"Very High",IF(H28&gt;=60,"High",IF(H28&gt;=40,"Medium",IF(H28&gt;=20,"Low","Very Low"))))</f>
        <v>Very Low</v>
      </c>
    </row>
    <row r="29" customFormat="false" ht="15" hidden="false" customHeight="false" outlineLevel="0" collapsed="false">
      <c r="A29" s="4" t="n">
        <v>26</v>
      </c>
      <c r="B29" s="17"/>
      <c r="C29" s="4" t="n">
        <f aca="false">IFERROR(VLOOKUP(B29,'3. Univ × Country Matrix'!$A$5:$V$44,22,FALSE()),0)</f>
        <v>0</v>
      </c>
      <c r="D29" s="4" t="n">
        <f aca="false">IFERROR(VLOOKUP(B29,'3. Univ × Country Matrix'!$A$5:$W$44,23,FALSE()),0)</f>
        <v>0</v>
      </c>
      <c r="E29" s="44" t="n">
        <f aca="false">IFERROR(VLOOKUP(B29,'7. Entropy Helper'!$A$4:$C$43,3,FALSE()),0)</f>
        <v>0</v>
      </c>
      <c r="F29" s="44" t="n">
        <f aca="false">IF(D29&gt;1,LOG(D29,2),0)</f>
        <v>0</v>
      </c>
      <c r="G29" s="45" t="n">
        <f aca="false">IFERROR(IF(F29&gt;0,E29/F29,0),0)</f>
        <v>0</v>
      </c>
      <c r="H29" s="29" t="n">
        <f aca="false">IFERROR(IF(MAX($E$4:$E$43)&gt;0,E29/MAX($E$4:$E$43)*100,0),0)</f>
        <v>0</v>
      </c>
      <c r="I29" s="28" t="str">
        <f aca="false">IF(H29&gt;=80,"Very High",IF(H29&gt;=60,"High",IF(H29&gt;=40,"Medium",IF(H29&gt;=20,"Low","Very Low"))))</f>
        <v>Very Low</v>
      </c>
    </row>
    <row r="30" customFormat="false" ht="15" hidden="false" customHeight="false" outlineLevel="0" collapsed="false">
      <c r="A30" s="7" t="n">
        <v>27</v>
      </c>
      <c r="B30" s="24"/>
      <c r="C30" s="7" t="n">
        <f aca="false">IFERROR(VLOOKUP(B30,'3. Univ × Country Matrix'!$A$5:$V$44,22,FALSE()),0)</f>
        <v>0</v>
      </c>
      <c r="D30" s="7" t="n">
        <f aca="false">IFERROR(VLOOKUP(B30,'3. Univ × Country Matrix'!$A$5:$W$44,23,FALSE()),0)</f>
        <v>0</v>
      </c>
      <c r="E30" s="42" t="n">
        <f aca="false">IFERROR(VLOOKUP(B30,'7. Entropy Helper'!$A$4:$C$43,3,FALSE()),0)</f>
        <v>0</v>
      </c>
      <c r="F30" s="42" t="n">
        <f aca="false">IF(D30&gt;1,LOG(D30,2),0)</f>
        <v>0</v>
      </c>
      <c r="G30" s="43" t="n">
        <f aca="false">IFERROR(IF(F30&gt;0,E30/F30,0),0)</f>
        <v>0</v>
      </c>
      <c r="H30" s="31" t="n">
        <f aca="false">IFERROR(IF(MAX($E$4:$E$43)&gt;0,E30/MAX($E$4:$E$43)*100,0),0)</f>
        <v>0</v>
      </c>
      <c r="I30" s="30" t="str">
        <f aca="false">IF(H30&gt;=80,"Very High",IF(H30&gt;=60,"High",IF(H30&gt;=40,"Medium",IF(H30&gt;=20,"Low","Very Low"))))</f>
        <v>Very Low</v>
      </c>
    </row>
    <row r="31" customFormat="false" ht="15" hidden="false" customHeight="false" outlineLevel="0" collapsed="false">
      <c r="A31" s="4" t="n">
        <v>28</v>
      </c>
      <c r="B31" s="17"/>
      <c r="C31" s="4" t="n">
        <f aca="false">IFERROR(VLOOKUP(B31,'3. Univ × Country Matrix'!$A$5:$V$44,22,FALSE()),0)</f>
        <v>0</v>
      </c>
      <c r="D31" s="4" t="n">
        <f aca="false">IFERROR(VLOOKUP(B31,'3. Univ × Country Matrix'!$A$5:$W$44,23,FALSE()),0)</f>
        <v>0</v>
      </c>
      <c r="E31" s="44" t="n">
        <f aca="false">IFERROR(VLOOKUP(B31,'7. Entropy Helper'!$A$4:$C$43,3,FALSE()),0)</f>
        <v>0</v>
      </c>
      <c r="F31" s="44" t="n">
        <f aca="false">IF(D31&gt;1,LOG(D31,2),0)</f>
        <v>0</v>
      </c>
      <c r="G31" s="45" t="n">
        <f aca="false">IFERROR(IF(F31&gt;0,E31/F31,0),0)</f>
        <v>0</v>
      </c>
      <c r="H31" s="29" t="n">
        <f aca="false">IFERROR(IF(MAX($E$4:$E$43)&gt;0,E31/MAX($E$4:$E$43)*100,0),0)</f>
        <v>0</v>
      </c>
      <c r="I31" s="28" t="str">
        <f aca="false">IF(H31&gt;=80,"Very High",IF(H31&gt;=60,"High",IF(H31&gt;=40,"Medium",IF(H31&gt;=20,"Low","Very Low"))))</f>
        <v>Very Low</v>
      </c>
    </row>
    <row r="32" customFormat="false" ht="15" hidden="false" customHeight="false" outlineLevel="0" collapsed="false">
      <c r="A32" s="7" t="n">
        <v>29</v>
      </c>
      <c r="B32" s="24"/>
      <c r="C32" s="7" t="n">
        <f aca="false">IFERROR(VLOOKUP(B32,'3. Univ × Country Matrix'!$A$5:$V$44,22,FALSE()),0)</f>
        <v>0</v>
      </c>
      <c r="D32" s="7" t="n">
        <f aca="false">IFERROR(VLOOKUP(B32,'3. Univ × Country Matrix'!$A$5:$W$44,23,FALSE()),0)</f>
        <v>0</v>
      </c>
      <c r="E32" s="42" t="n">
        <f aca="false">IFERROR(VLOOKUP(B32,'7. Entropy Helper'!$A$4:$C$43,3,FALSE()),0)</f>
        <v>0</v>
      </c>
      <c r="F32" s="42" t="n">
        <f aca="false">IF(D32&gt;1,LOG(D32,2),0)</f>
        <v>0</v>
      </c>
      <c r="G32" s="43" t="n">
        <f aca="false">IFERROR(IF(F32&gt;0,E32/F32,0),0)</f>
        <v>0</v>
      </c>
      <c r="H32" s="31" t="n">
        <f aca="false">IFERROR(IF(MAX($E$4:$E$43)&gt;0,E32/MAX($E$4:$E$43)*100,0),0)</f>
        <v>0</v>
      </c>
      <c r="I32" s="30" t="str">
        <f aca="false">IF(H32&gt;=80,"Very High",IF(H32&gt;=60,"High",IF(H32&gt;=40,"Medium",IF(H32&gt;=20,"Low","Very Low"))))</f>
        <v>Very Low</v>
      </c>
    </row>
    <row r="33" customFormat="false" ht="15" hidden="false" customHeight="false" outlineLevel="0" collapsed="false">
      <c r="A33" s="4" t="n">
        <v>30</v>
      </c>
      <c r="B33" s="17"/>
      <c r="C33" s="4" t="n">
        <f aca="false">IFERROR(VLOOKUP(B33,'3. Univ × Country Matrix'!$A$5:$V$44,22,FALSE()),0)</f>
        <v>0</v>
      </c>
      <c r="D33" s="4" t="n">
        <f aca="false">IFERROR(VLOOKUP(B33,'3. Univ × Country Matrix'!$A$5:$W$44,23,FALSE()),0)</f>
        <v>0</v>
      </c>
      <c r="E33" s="44" t="n">
        <f aca="false">IFERROR(VLOOKUP(B33,'7. Entropy Helper'!$A$4:$C$43,3,FALSE()),0)</f>
        <v>0</v>
      </c>
      <c r="F33" s="44" t="n">
        <f aca="false">IF(D33&gt;1,LOG(D33,2),0)</f>
        <v>0</v>
      </c>
      <c r="G33" s="45" t="n">
        <f aca="false">IFERROR(IF(F33&gt;0,E33/F33,0),0)</f>
        <v>0</v>
      </c>
      <c r="H33" s="29" t="n">
        <f aca="false">IFERROR(IF(MAX($E$4:$E$43)&gt;0,E33/MAX($E$4:$E$43)*100,0),0)</f>
        <v>0</v>
      </c>
      <c r="I33" s="28" t="str">
        <f aca="false">IF(H33&gt;=80,"Very High",IF(H33&gt;=60,"High",IF(H33&gt;=40,"Medium",IF(H33&gt;=20,"Low","Very Low"))))</f>
        <v>Very Low</v>
      </c>
    </row>
    <row r="34" customFormat="false" ht="15" hidden="false" customHeight="false" outlineLevel="0" collapsed="false">
      <c r="A34" s="7" t="n">
        <v>31</v>
      </c>
      <c r="B34" s="24"/>
      <c r="C34" s="7" t="n">
        <f aca="false">IFERROR(VLOOKUP(B34,'3. Univ × Country Matrix'!$A$5:$V$44,22,FALSE()),0)</f>
        <v>0</v>
      </c>
      <c r="D34" s="7" t="n">
        <f aca="false">IFERROR(VLOOKUP(B34,'3. Univ × Country Matrix'!$A$5:$W$44,23,FALSE()),0)</f>
        <v>0</v>
      </c>
      <c r="E34" s="42" t="n">
        <f aca="false">IFERROR(VLOOKUP(B34,'7. Entropy Helper'!$A$4:$C$43,3,FALSE()),0)</f>
        <v>0</v>
      </c>
      <c r="F34" s="42" t="n">
        <f aca="false">IF(D34&gt;1,LOG(D34,2),0)</f>
        <v>0</v>
      </c>
      <c r="G34" s="43" t="n">
        <f aca="false">IFERROR(IF(F34&gt;0,E34/F34,0),0)</f>
        <v>0</v>
      </c>
      <c r="H34" s="31" t="n">
        <f aca="false">IFERROR(IF(MAX($E$4:$E$43)&gt;0,E34/MAX($E$4:$E$43)*100,0),0)</f>
        <v>0</v>
      </c>
      <c r="I34" s="30" t="str">
        <f aca="false">IF(H34&gt;=80,"Very High",IF(H34&gt;=60,"High",IF(H34&gt;=40,"Medium",IF(H34&gt;=20,"Low","Very Low"))))</f>
        <v>Very Low</v>
      </c>
    </row>
    <row r="35" customFormat="false" ht="15" hidden="false" customHeight="false" outlineLevel="0" collapsed="false">
      <c r="A35" s="4" t="n">
        <v>32</v>
      </c>
      <c r="B35" s="17"/>
      <c r="C35" s="4" t="n">
        <f aca="false">IFERROR(VLOOKUP(B35,'3. Univ × Country Matrix'!$A$5:$V$44,22,FALSE()),0)</f>
        <v>0</v>
      </c>
      <c r="D35" s="4" t="n">
        <f aca="false">IFERROR(VLOOKUP(B35,'3. Univ × Country Matrix'!$A$5:$W$44,23,FALSE()),0)</f>
        <v>0</v>
      </c>
      <c r="E35" s="44" t="n">
        <f aca="false">IFERROR(VLOOKUP(B35,'7. Entropy Helper'!$A$4:$C$43,3,FALSE()),0)</f>
        <v>0</v>
      </c>
      <c r="F35" s="44" t="n">
        <f aca="false">IF(D35&gt;1,LOG(D35,2),0)</f>
        <v>0</v>
      </c>
      <c r="G35" s="45" t="n">
        <f aca="false">IFERROR(IF(F35&gt;0,E35/F35,0),0)</f>
        <v>0</v>
      </c>
      <c r="H35" s="29" t="n">
        <f aca="false">IFERROR(IF(MAX($E$4:$E$43)&gt;0,E35/MAX($E$4:$E$43)*100,0),0)</f>
        <v>0</v>
      </c>
      <c r="I35" s="28" t="str">
        <f aca="false">IF(H35&gt;=80,"Very High",IF(H35&gt;=60,"High",IF(H35&gt;=40,"Medium",IF(H35&gt;=20,"Low","Very Low"))))</f>
        <v>Very Low</v>
      </c>
    </row>
    <row r="36" customFormat="false" ht="15" hidden="false" customHeight="false" outlineLevel="0" collapsed="false">
      <c r="A36" s="7" t="n">
        <v>33</v>
      </c>
      <c r="B36" s="24"/>
      <c r="C36" s="7" t="n">
        <f aca="false">IFERROR(VLOOKUP(B36,'3. Univ × Country Matrix'!$A$5:$V$44,22,FALSE()),0)</f>
        <v>0</v>
      </c>
      <c r="D36" s="7" t="n">
        <f aca="false">IFERROR(VLOOKUP(B36,'3. Univ × Country Matrix'!$A$5:$W$44,23,FALSE()),0)</f>
        <v>0</v>
      </c>
      <c r="E36" s="42" t="n">
        <f aca="false">IFERROR(VLOOKUP(B36,'7. Entropy Helper'!$A$4:$C$43,3,FALSE()),0)</f>
        <v>0</v>
      </c>
      <c r="F36" s="42" t="n">
        <f aca="false">IF(D36&gt;1,LOG(D36,2),0)</f>
        <v>0</v>
      </c>
      <c r="G36" s="43" t="n">
        <f aca="false">IFERROR(IF(F36&gt;0,E36/F36,0),0)</f>
        <v>0</v>
      </c>
      <c r="H36" s="31" t="n">
        <f aca="false">IFERROR(IF(MAX($E$4:$E$43)&gt;0,E36/MAX($E$4:$E$43)*100,0),0)</f>
        <v>0</v>
      </c>
      <c r="I36" s="30" t="str">
        <f aca="false">IF(H36&gt;=80,"Very High",IF(H36&gt;=60,"High",IF(H36&gt;=40,"Medium",IF(H36&gt;=20,"Low","Very Low"))))</f>
        <v>Very Low</v>
      </c>
    </row>
    <row r="37" customFormat="false" ht="15" hidden="false" customHeight="false" outlineLevel="0" collapsed="false">
      <c r="A37" s="4" t="n">
        <v>34</v>
      </c>
      <c r="B37" s="17"/>
      <c r="C37" s="4" t="n">
        <f aca="false">IFERROR(VLOOKUP(B37,'3. Univ × Country Matrix'!$A$5:$V$44,22,FALSE()),0)</f>
        <v>0</v>
      </c>
      <c r="D37" s="4" t="n">
        <f aca="false">IFERROR(VLOOKUP(B37,'3. Univ × Country Matrix'!$A$5:$W$44,23,FALSE()),0)</f>
        <v>0</v>
      </c>
      <c r="E37" s="44" t="n">
        <f aca="false">IFERROR(VLOOKUP(B37,'7. Entropy Helper'!$A$4:$C$43,3,FALSE()),0)</f>
        <v>0</v>
      </c>
      <c r="F37" s="44" t="n">
        <f aca="false">IF(D37&gt;1,LOG(D37,2),0)</f>
        <v>0</v>
      </c>
      <c r="G37" s="45" t="n">
        <f aca="false">IFERROR(IF(F37&gt;0,E37/F37,0),0)</f>
        <v>0</v>
      </c>
      <c r="H37" s="29" t="n">
        <f aca="false">IFERROR(IF(MAX($E$4:$E$43)&gt;0,E37/MAX($E$4:$E$43)*100,0),0)</f>
        <v>0</v>
      </c>
      <c r="I37" s="28" t="str">
        <f aca="false">IF(H37&gt;=80,"Very High",IF(H37&gt;=60,"High",IF(H37&gt;=40,"Medium",IF(H37&gt;=20,"Low","Very Low"))))</f>
        <v>Very Low</v>
      </c>
    </row>
    <row r="38" customFormat="false" ht="15" hidden="false" customHeight="false" outlineLevel="0" collapsed="false">
      <c r="A38" s="7" t="n">
        <v>35</v>
      </c>
      <c r="B38" s="24"/>
      <c r="C38" s="7" t="n">
        <f aca="false">IFERROR(VLOOKUP(B38,'3. Univ × Country Matrix'!$A$5:$V$44,22,FALSE()),0)</f>
        <v>0</v>
      </c>
      <c r="D38" s="7" t="n">
        <f aca="false">IFERROR(VLOOKUP(B38,'3. Univ × Country Matrix'!$A$5:$W$44,23,FALSE()),0)</f>
        <v>0</v>
      </c>
      <c r="E38" s="42" t="n">
        <f aca="false">IFERROR(VLOOKUP(B38,'7. Entropy Helper'!$A$4:$C$43,3,FALSE()),0)</f>
        <v>0</v>
      </c>
      <c r="F38" s="42" t="n">
        <f aca="false">IF(D38&gt;1,LOG(D38,2),0)</f>
        <v>0</v>
      </c>
      <c r="G38" s="43" t="n">
        <f aca="false">IFERROR(IF(F38&gt;0,E38/F38,0),0)</f>
        <v>0</v>
      </c>
      <c r="H38" s="31" t="n">
        <f aca="false">IFERROR(IF(MAX($E$4:$E$43)&gt;0,E38/MAX($E$4:$E$43)*100,0),0)</f>
        <v>0</v>
      </c>
      <c r="I38" s="30" t="str">
        <f aca="false">IF(H38&gt;=80,"Very High",IF(H38&gt;=60,"High",IF(H38&gt;=40,"Medium",IF(H38&gt;=20,"Low","Very Low"))))</f>
        <v>Very Low</v>
      </c>
    </row>
    <row r="39" customFormat="false" ht="15" hidden="false" customHeight="false" outlineLevel="0" collapsed="false">
      <c r="A39" s="4" t="n">
        <v>36</v>
      </c>
      <c r="B39" s="17"/>
      <c r="C39" s="4" t="n">
        <f aca="false">IFERROR(VLOOKUP(B39,'3. Univ × Country Matrix'!$A$5:$V$44,22,FALSE()),0)</f>
        <v>0</v>
      </c>
      <c r="D39" s="4" t="n">
        <f aca="false">IFERROR(VLOOKUP(B39,'3. Univ × Country Matrix'!$A$5:$W$44,23,FALSE()),0)</f>
        <v>0</v>
      </c>
      <c r="E39" s="44" t="n">
        <f aca="false">IFERROR(VLOOKUP(B39,'7. Entropy Helper'!$A$4:$C$43,3,FALSE()),0)</f>
        <v>0</v>
      </c>
      <c r="F39" s="44" t="n">
        <f aca="false">IF(D39&gt;1,LOG(D39,2),0)</f>
        <v>0</v>
      </c>
      <c r="G39" s="45" t="n">
        <f aca="false">IFERROR(IF(F39&gt;0,E39/F39,0),0)</f>
        <v>0</v>
      </c>
      <c r="H39" s="29" t="n">
        <f aca="false">IFERROR(IF(MAX($E$4:$E$43)&gt;0,E39/MAX($E$4:$E$43)*100,0),0)</f>
        <v>0</v>
      </c>
      <c r="I39" s="28" t="str">
        <f aca="false">IF(H39&gt;=80,"Very High",IF(H39&gt;=60,"High",IF(H39&gt;=40,"Medium",IF(H39&gt;=20,"Low","Very Low"))))</f>
        <v>Very Low</v>
      </c>
    </row>
    <row r="40" customFormat="false" ht="15" hidden="false" customHeight="false" outlineLevel="0" collapsed="false">
      <c r="A40" s="7" t="n">
        <v>37</v>
      </c>
      <c r="B40" s="24"/>
      <c r="C40" s="7" t="n">
        <f aca="false">IFERROR(VLOOKUP(B40,'3. Univ × Country Matrix'!$A$5:$V$44,22,FALSE()),0)</f>
        <v>0</v>
      </c>
      <c r="D40" s="7" t="n">
        <f aca="false">IFERROR(VLOOKUP(B40,'3. Univ × Country Matrix'!$A$5:$W$44,23,FALSE()),0)</f>
        <v>0</v>
      </c>
      <c r="E40" s="42" t="n">
        <f aca="false">IFERROR(VLOOKUP(B40,'7. Entropy Helper'!$A$4:$C$43,3,FALSE()),0)</f>
        <v>0</v>
      </c>
      <c r="F40" s="42" t="n">
        <f aca="false">IF(D40&gt;1,LOG(D40,2),0)</f>
        <v>0</v>
      </c>
      <c r="G40" s="43" t="n">
        <f aca="false">IFERROR(IF(F40&gt;0,E40/F40,0),0)</f>
        <v>0</v>
      </c>
      <c r="H40" s="31" t="n">
        <f aca="false">IFERROR(IF(MAX($E$4:$E$43)&gt;0,E40/MAX($E$4:$E$43)*100,0),0)</f>
        <v>0</v>
      </c>
      <c r="I40" s="30" t="str">
        <f aca="false">IF(H40&gt;=80,"Very High",IF(H40&gt;=60,"High",IF(H40&gt;=40,"Medium",IF(H40&gt;=20,"Low","Very Low"))))</f>
        <v>Very Low</v>
      </c>
    </row>
    <row r="41" customFormat="false" ht="15" hidden="false" customHeight="false" outlineLevel="0" collapsed="false">
      <c r="A41" s="4" t="n">
        <v>38</v>
      </c>
      <c r="B41" s="17"/>
      <c r="C41" s="4" t="n">
        <f aca="false">IFERROR(VLOOKUP(B41,'3. Univ × Country Matrix'!$A$5:$V$44,22,FALSE()),0)</f>
        <v>0</v>
      </c>
      <c r="D41" s="4" t="n">
        <f aca="false">IFERROR(VLOOKUP(B41,'3. Univ × Country Matrix'!$A$5:$W$44,23,FALSE()),0)</f>
        <v>0</v>
      </c>
      <c r="E41" s="44" t="n">
        <f aca="false">IFERROR(VLOOKUP(B41,'7. Entropy Helper'!$A$4:$C$43,3,FALSE()),0)</f>
        <v>0</v>
      </c>
      <c r="F41" s="44" t="n">
        <f aca="false">IF(D41&gt;1,LOG(D41,2),0)</f>
        <v>0</v>
      </c>
      <c r="G41" s="45" t="n">
        <f aca="false">IFERROR(IF(F41&gt;0,E41/F41,0),0)</f>
        <v>0</v>
      </c>
      <c r="H41" s="29" t="n">
        <f aca="false">IFERROR(IF(MAX($E$4:$E$43)&gt;0,E41/MAX($E$4:$E$43)*100,0),0)</f>
        <v>0</v>
      </c>
      <c r="I41" s="28" t="str">
        <f aca="false">IF(H41&gt;=80,"Very High",IF(H41&gt;=60,"High",IF(H41&gt;=40,"Medium",IF(H41&gt;=20,"Low","Very Low"))))</f>
        <v>Very Low</v>
      </c>
    </row>
    <row r="42" customFormat="false" ht="15" hidden="false" customHeight="false" outlineLevel="0" collapsed="false">
      <c r="A42" s="7" t="n">
        <v>39</v>
      </c>
      <c r="B42" s="24"/>
      <c r="C42" s="7" t="n">
        <f aca="false">IFERROR(VLOOKUP(B42,'3. Univ × Country Matrix'!$A$5:$V$44,22,FALSE()),0)</f>
        <v>0</v>
      </c>
      <c r="D42" s="7" t="n">
        <f aca="false">IFERROR(VLOOKUP(B42,'3. Univ × Country Matrix'!$A$5:$W$44,23,FALSE()),0)</f>
        <v>0</v>
      </c>
      <c r="E42" s="42" t="n">
        <f aca="false">IFERROR(VLOOKUP(B42,'7. Entropy Helper'!$A$4:$C$43,3,FALSE()),0)</f>
        <v>0</v>
      </c>
      <c r="F42" s="42" t="n">
        <f aca="false">IF(D42&gt;1,LOG(D42,2),0)</f>
        <v>0</v>
      </c>
      <c r="G42" s="43" t="n">
        <f aca="false">IFERROR(IF(F42&gt;0,E42/F42,0),0)</f>
        <v>0</v>
      </c>
      <c r="H42" s="31" t="n">
        <f aca="false">IFERROR(IF(MAX($E$4:$E$43)&gt;0,E42/MAX($E$4:$E$43)*100,0),0)</f>
        <v>0</v>
      </c>
      <c r="I42" s="30" t="str">
        <f aca="false">IF(H42&gt;=80,"Very High",IF(H42&gt;=60,"High",IF(H42&gt;=40,"Medium",IF(H42&gt;=20,"Low","Very Low"))))</f>
        <v>Very Low</v>
      </c>
    </row>
    <row r="43" customFormat="false" ht="15" hidden="false" customHeight="false" outlineLevel="0" collapsed="false">
      <c r="A43" s="4" t="n">
        <v>40</v>
      </c>
      <c r="B43" s="17"/>
      <c r="C43" s="4" t="n">
        <f aca="false">IFERROR(VLOOKUP(B43,'3. Univ × Country Matrix'!$A$5:$V$44,22,FALSE()),0)</f>
        <v>0</v>
      </c>
      <c r="D43" s="4" t="n">
        <f aca="false">IFERROR(VLOOKUP(B43,'3. Univ × Country Matrix'!$A$5:$W$44,23,FALSE()),0)</f>
        <v>0</v>
      </c>
      <c r="E43" s="44" t="n">
        <f aca="false">IFERROR(VLOOKUP(B43,'7. Entropy Helper'!$A$4:$C$43,3,FALSE()),0)</f>
        <v>0</v>
      </c>
      <c r="F43" s="44" t="n">
        <f aca="false">IF(D43&gt;1,LOG(D43,2),0)</f>
        <v>0</v>
      </c>
      <c r="G43" s="45" t="n">
        <f aca="false">IFERROR(IF(F43&gt;0,E43/F43,0),0)</f>
        <v>0</v>
      </c>
      <c r="H43" s="29" t="n">
        <f aca="false">IFERROR(IF(MAX($E$4:$E$43)&gt;0,E43/MAX($E$4:$E$43)*100,0),0)</f>
        <v>0</v>
      </c>
      <c r="I43" s="28" t="str">
        <f aca="false">IF(H43&gt;=80,"Very High",IF(H43&gt;=60,"High",IF(H43&gt;=40,"Medium",IF(H43&gt;=20,"Low","Very Low"))))</f>
        <v>Very Low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8F9D"/>
    <pageSetUpPr fitToPage="false"/>
  </sheetPr>
  <dimension ref="A1:D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40"/>
  </cols>
  <sheetData>
    <row r="1" customFormat="false" ht="33.75" hidden="false" customHeight="true" outlineLevel="0" collapsed="false">
      <c r="A1" s="46" t="s">
        <v>443</v>
      </c>
      <c r="B1" s="46"/>
      <c r="C1" s="46"/>
      <c r="D1" s="46"/>
    </row>
    <row r="2" customFormat="false" ht="25.5" hidden="false" customHeight="true" outlineLevel="0" collapsed="false">
      <c r="A2" s="2" t="s">
        <v>444</v>
      </c>
      <c r="B2" s="2"/>
      <c r="C2" s="2"/>
      <c r="D2" s="2"/>
    </row>
    <row r="3" customFormat="false" ht="15" hidden="false" customHeight="false" outlineLevel="0" collapsed="false">
      <c r="A3" s="47" t="s">
        <v>427</v>
      </c>
      <c r="B3" s="47" t="s">
        <v>422</v>
      </c>
      <c r="C3" s="47" t="s">
        <v>445</v>
      </c>
      <c r="D3" s="47" t="s">
        <v>446</v>
      </c>
    </row>
    <row r="4" customFormat="false" ht="15" hidden="false" customHeight="false" outlineLevel="0" collapsed="false">
      <c r="A4" s="48"/>
      <c r="B4" s="49" t="n">
        <f aca="false">IFERROR(COUNTIF('2. Raw Votes by Country'!B:B,A4),0)</f>
        <v>0</v>
      </c>
      <c r="C4" s="50" t="n">
        <f aca="false">IFERROR(-SUMPRODUCT(IF('3. Univ × Country Matrix'!B4:U4&gt;0,('3. Univ × Country Matrix'!B4:U4/B4)*LOG('3. Univ × Country Matrix'!B4:U4/B4,2),0)),0)</f>
        <v>0</v>
      </c>
      <c r="D4" s="51"/>
    </row>
    <row r="5" customFormat="false" ht="15" hidden="false" customHeight="false" outlineLevel="0" collapsed="false">
      <c r="A5" s="52"/>
      <c r="B5" s="4" t="n">
        <f aca="false">IFERROR(COUNTIF('2. Raw Votes by Country'!B:B,A5),0)</f>
        <v>0</v>
      </c>
      <c r="C5" s="44" t="n">
        <f aca="false">IFERROR(-SUMPRODUCT(IF('3. Univ × Country Matrix'!B5:U5&gt;0,('3. Univ × Country Matrix'!B5:U5/B5)*LOG('3. Univ × Country Matrix'!B5:U5/B5,2),0)),0)</f>
        <v>-0</v>
      </c>
      <c r="D5" s="17"/>
    </row>
    <row r="6" customFormat="false" ht="15" hidden="false" customHeight="false" outlineLevel="0" collapsed="false">
      <c r="A6" s="48"/>
      <c r="B6" s="49" t="n">
        <f aca="false">IFERROR(COUNTIF('2. Raw Votes by Country'!B:B,A6),0)</f>
        <v>0</v>
      </c>
      <c r="C6" s="50" t="n">
        <f aca="false">IFERROR(-SUMPRODUCT(IF('3. Univ × Country Matrix'!B6:U6&gt;0,('3. Univ × Country Matrix'!B6:U6/B6)*LOG('3. Univ × Country Matrix'!B6:U6/B6,2),0)),0)</f>
        <v>-0</v>
      </c>
      <c r="D6" s="51"/>
    </row>
    <row r="7" customFormat="false" ht="15" hidden="false" customHeight="false" outlineLevel="0" collapsed="false">
      <c r="A7" s="52"/>
      <c r="B7" s="4" t="n">
        <f aca="false">IFERROR(COUNTIF('2. Raw Votes by Country'!B:B,A7),0)</f>
        <v>0</v>
      </c>
      <c r="C7" s="44" t="n">
        <f aca="false">IFERROR(-SUMPRODUCT(IF('3. Univ × Country Matrix'!B7:U7&gt;0,('3. Univ × Country Matrix'!B7:U7/B7)*LOG('3. Univ × Country Matrix'!B7:U7/B7,2),0)),0)</f>
        <v>-0</v>
      </c>
      <c r="D7" s="17"/>
    </row>
    <row r="8" customFormat="false" ht="15" hidden="false" customHeight="false" outlineLevel="0" collapsed="false">
      <c r="A8" s="48"/>
      <c r="B8" s="49" t="n">
        <f aca="false">IFERROR(COUNTIF('2. Raw Votes by Country'!B:B,A8),0)</f>
        <v>0</v>
      </c>
      <c r="C8" s="50" t="n">
        <f aca="false">IFERROR(-SUMPRODUCT(IF('3. Univ × Country Matrix'!B8:U8&gt;0,('3. Univ × Country Matrix'!B8:U8/B8)*LOG('3. Univ × Country Matrix'!B8:U8/B8,2),0)),0)</f>
        <v>-0</v>
      </c>
      <c r="D8" s="51"/>
    </row>
    <row r="9" customFormat="false" ht="15" hidden="false" customHeight="false" outlineLevel="0" collapsed="false">
      <c r="A9" s="52"/>
      <c r="B9" s="4" t="n">
        <f aca="false">IFERROR(COUNTIF('2. Raw Votes by Country'!B:B,A9),0)</f>
        <v>0</v>
      </c>
      <c r="C9" s="44" t="n">
        <f aca="false">IFERROR(-SUMPRODUCT(IF('3. Univ × Country Matrix'!B9:U9&gt;0,('3. Univ × Country Matrix'!B9:U9/B9)*LOG('3. Univ × Country Matrix'!B9:U9/B9,2),0)),0)</f>
        <v>-0</v>
      </c>
      <c r="D9" s="17"/>
    </row>
    <row r="10" customFormat="false" ht="15" hidden="false" customHeight="false" outlineLevel="0" collapsed="false">
      <c r="A10" s="48"/>
      <c r="B10" s="49" t="n">
        <f aca="false">IFERROR(COUNTIF('2. Raw Votes by Country'!B:B,A10),0)</f>
        <v>0</v>
      </c>
      <c r="C10" s="50" t="n">
        <f aca="false">IFERROR(-SUMPRODUCT(IF('3. Univ × Country Matrix'!B10:U10&gt;0,('3. Univ × Country Matrix'!B10:U10/B10)*LOG('3. Univ × Country Matrix'!B10:U10/B10,2),0)),0)</f>
        <v>-0</v>
      </c>
      <c r="D10" s="51"/>
    </row>
    <row r="11" customFormat="false" ht="15" hidden="false" customHeight="false" outlineLevel="0" collapsed="false">
      <c r="A11" s="52"/>
      <c r="B11" s="4" t="n">
        <f aca="false">IFERROR(COUNTIF('2. Raw Votes by Country'!B:B,A11),0)</f>
        <v>0</v>
      </c>
      <c r="C11" s="44" t="n">
        <f aca="false">IFERROR(-SUMPRODUCT(IF('3. Univ × Country Matrix'!B11:U11&gt;0,('3. Univ × Country Matrix'!B11:U11/B11)*LOG('3. Univ × Country Matrix'!B11:U11/B11,2),0)),0)</f>
        <v>-0</v>
      </c>
      <c r="D11" s="17"/>
    </row>
    <row r="12" customFormat="false" ht="15" hidden="false" customHeight="false" outlineLevel="0" collapsed="false">
      <c r="A12" s="48"/>
      <c r="B12" s="49" t="n">
        <f aca="false">IFERROR(COUNTIF('2. Raw Votes by Country'!B:B,A12),0)</f>
        <v>0</v>
      </c>
      <c r="C12" s="50" t="n">
        <f aca="false">IFERROR(-SUMPRODUCT(IF('3. Univ × Country Matrix'!B12:U12&gt;0,('3. Univ × Country Matrix'!B12:U12/B12)*LOG('3. Univ × Country Matrix'!B12:U12/B12,2),0)),0)</f>
        <v>-0</v>
      </c>
      <c r="D12" s="51"/>
    </row>
    <row r="13" customFormat="false" ht="15" hidden="false" customHeight="false" outlineLevel="0" collapsed="false">
      <c r="A13" s="52"/>
      <c r="B13" s="4" t="n">
        <f aca="false">IFERROR(COUNTIF('2. Raw Votes by Country'!B:B,A13),0)</f>
        <v>0</v>
      </c>
      <c r="C13" s="44" t="n">
        <f aca="false">IFERROR(-SUMPRODUCT(IF('3. Univ × Country Matrix'!B13:U13&gt;0,('3. Univ × Country Matrix'!B13:U13/B13)*LOG('3. Univ × Country Matrix'!B13:U13/B13,2),0)),0)</f>
        <v>-0</v>
      </c>
      <c r="D13" s="17"/>
    </row>
    <row r="14" customFormat="false" ht="15" hidden="false" customHeight="false" outlineLevel="0" collapsed="false">
      <c r="A14" s="48"/>
      <c r="B14" s="49" t="n">
        <f aca="false">IFERROR(COUNTIF('2. Raw Votes by Country'!B:B,A14),0)</f>
        <v>0</v>
      </c>
      <c r="C14" s="50" t="n">
        <f aca="false">IFERROR(-SUMPRODUCT(IF('3. Univ × Country Matrix'!B14:U14&gt;0,('3. Univ × Country Matrix'!B14:U14/B14)*LOG('3. Univ × Country Matrix'!B14:U14/B14,2),0)),0)</f>
        <v>-0</v>
      </c>
      <c r="D14" s="51"/>
    </row>
    <row r="15" customFormat="false" ht="15" hidden="false" customHeight="false" outlineLevel="0" collapsed="false">
      <c r="A15" s="52"/>
      <c r="B15" s="4" t="n">
        <f aca="false">IFERROR(COUNTIF('2. Raw Votes by Country'!B:B,A15),0)</f>
        <v>0</v>
      </c>
      <c r="C15" s="44" t="n">
        <f aca="false">IFERROR(-SUMPRODUCT(IF('3. Univ × Country Matrix'!B15:U15&gt;0,('3. Univ × Country Matrix'!B15:U15/B15)*LOG('3. Univ × Country Matrix'!B15:U15/B15,2),0)),0)</f>
        <v>-0</v>
      </c>
      <c r="D15" s="17"/>
    </row>
    <row r="16" customFormat="false" ht="15" hidden="false" customHeight="false" outlineLevel="0" collapsed="false">
      <c r="A16" s="48"/>
      <c r="B16" s="49" t="n">
        <f aca="false">IFERROR(COUNTIF('2. Raw Votes by Country'!B:B,A16),0)</f>
        <v>0</v>
      </c>
      <c r="C16" s="50" t="n">
        <f aca="false">IFERROR(-SUMPRODUCT(IF('3. Univ × Country Matrix'!B16:U16&gt;0,('3. Univ × Country Matrix'!B16:U16/B16)*LOG('3. Univ × Country Matrix'!B16:U16/B16,2),0)),0)</f>
        <v>-0</v>
      </c>
      <c r="D16" s="51"/>
    </row>
    <row r="17" customFormat="false" ht="15" hidden="false" customHeight="false" outlineLevel="0" collapsed="false">
      <c r="A17" s="52"/>
      <c r="B17" s="4" t="n">
        <f aca="false">IFERROR(COUNTIF('2. Raw Votes by Country'!B:B,A17),0)</f>
        <v>0</v>
      </c>
      <c r="C17" s="44" t="n">
        <f aca="false">IFERROR(-SUMPRODUCT(IF('3. Univ × Country Matrix'!B17:U17&gt;0,('3. Univ × Country Matrix'!B17:U17/B17)*LOG('3. Univ × Country Matrix'!B17:U17/B17,2),0)),0)</f>
        <v>-0</v>
      </c>
      <c r="D17" s="17"/>
    </row>
    <row r="18" customFormat="false" ht="15" hidden="false" customHeight="false" outlineLevel="0" collapsed="false">
      <c r="A18" s="48"/>
      <c r="B18" s="49" t="n">
        <f aca="false">IFERROR(COUNTIF('2. Raw Votes by Country'!B:B,A18),0)</f>
        <v>0</v>
      </c>
      <c r="C18" s="50" t="n">
        <f aca="false">IFERROR(-SUMPRODUCT(IF('3. Univ × Country Matrix'!B18:U18&gt;0,('3. Univ × Country Matrix'!B18:U18/B18)*LOG('3. Univ × Country Matrix'!B18:U18/B18,2),0)),0)</f>
        <v>-0</v>
      </c>
      <c r="D18" s="51"/>
    </row>
    <row r="19" customFormat="false" ht="15" hidden="false" customHeight="false" outlineLevel="0" collapsed="false">
      <c r="A19" s="52"/>
      <c r="B19" s="4" t="n">
        <f aca="false">IFERROR(COUNTIF('2. Raw Votes by Country'!B:B,A19),0)</f>
        <v>0</v>
      </c>
      <c r="C19" s="44" t="n">
        <f aca="false">IFERROR(-SUMPRODUCT(IF('3. Univ × Country Matrix'!B19:U19&gt;0,('3. Univ × Country Matrix'!B19:U19/B19)*LOG('3. Univ × Country Matrix'!B19:U19/B19,2),0)),0)</f>
        <v>-0</v>
      </c>
      <c r="D19" s="17"/>
    </row>
    <row r="20" customFormat="false" ht="15" hidden="false" customHeight="false" outlineLevel="0" collapsed="false">
      <c r="A20" s="48"/>
      <c r="B20" s="49" t="n">
        <f aca="false">IFERROR(COUNTIF('2. Raw Votes by Country'!B:B,A20),0)</f>
        <v>0</v>
      </c>
      <c r="C20" s="50" t="n">
        <f aca="false">IFERROR(-SUMPRODUCT(IF('3. Univ × Country Matrix'!B20:U20&gt;0,('3. Univ × Country Matrix'!B20:U20/B20)*LOG('3. Univ × Country Matrix'!B20:U20/B20,2),0)),0)</f>
        <v>-0</v>
      </c>
      <c r="D20" s="51"/>
    </row>
    <row r="21" customFormat="false" ht="15" hidden="false" customHeight="false" outlineLevel="0" collapsed="false">
      <c r="A21" s="52"/>
      <c r="B21" s="4" t="n">
        <f aca="false">IFERROR(COUNTIF('2. Raw Votes by Country'!B:B,A21),0)</f>
        <v>0</v>
      </c>
      <c r="C21" s="44" t="n">
        <f aca="false">IFERROR(-SUMPRODUCT(IF('3. Univ × Country Matrix'!B21:U21&gt;0,('3. Univ × Country Matrix'!B21:U21/B21)*LOG('3. Univ × Country Matrix'!B21:U21/B21,2),0)),0)</f>
        <v>-0</v>
      </c>
      <c r="D21" s="17"/>
    </row>
    <row r="22" customFormat="false" ht="15" hidden="false" customHeight="false" outlineLevel="0" collapsed="false">
      <c r="A22" s="48"/>
      <c r="B22" s="49" t="n">
        <f aca="false">IFERROR(COUNTIF('2. Raw Votes by Country'!B:B,A22),0)</f>
        <v>0</v>
      </c>
      <c r="C22" s="50" t="n">
        <f aca="false">IFERROR(-SUMPRODUCT(IF('3. Univ × Country Matrix'!B22:U22&gt;0,('3. Univ × Country Matrix'!B22:U22/B22)*LOG('3. Univ × Country Matrix'!B22:U22/B22,2),0)),0)</f>
        <v>-0</v>
      </c>
      <c r="D22" s="51"/>
    </row>
    <row r="23" customFormat="false" ht="15" hidden="false" customHeight="false" outlineLevel="0" collapsed="false">
      <c r="A23" s="52"/>
      <c r="B23" s="4" t="n">
        <f aca="false">IFERROR(COUNTIF('2. Raw Votes by Country'!B:B,A23),0)</f>
        <v>0</v>
      </c>
      <c r="C23" s="44" t="n">
        <f aca="false">IFERROR(-SUMPRODUCT(IF('3. Univ × Country Matrix'!B23:U23&gt;0,('3. Univ × Country Matrix'!B23:U23/B23)*LOG('3. Univ × Country Matrix'!B23:U23/B23,2),0)),0)</f>
        <v>-0</v>
      </c>
      <c r="D23" s="17"/>
    </row>
    <row r="24" customFormat="false" ht="15" hidden="false" customHeight="false" outlineLevel="0" collapsed="false">
      <c r="A24" s="48"/>
      <c r="B24" s="49" t="n">
        <f aca="false">IFERROR(COUNTIF('2. Raw Votes by Country'!B:B,A24),0)</f>
        <v>0</v>
      </c>
      <c r="C24" s="50" t="n">
        <f aca="false">IFERROR(-SUMPRODUCT(IF('3. Univ × Country Matrix'!B24:U24&gt;0,('3. Univ × Country Matrix'!B24:U24/B24)*LOG('3. Univ × Country Matrix'!B24:U24/B24,2),0)),0)</f>
        <v>-0</v>
      </c>
      <c r="D24" s="51"/>
    </row>
    <row r="25" customFormat="false" ht="15" hidden="false" customHeight="false" outlineLevel="0" collapsed="false">
      <c r="A25" s="52"/>
      <c r="B25" s="4" t="n">
        <f aca="false">IFERROR(COUNTIF('2. Raw Votes by Country'!B:B,A25),0)</f>
        <v>0</v>
      </c>
      <c r="C25" s="44" t="n">
        <f aca="false">IFERROR(-SUMPRODUCT(IF('3. Univ × Country Matrix'!B25:U25&gt;0,('3. Univ × Country Matrix'!B25:U25/B25)*LOG('3. Univ × Country Matrix'!B25:U25/B25,2),0)),0)</f>
        <v>-0</v>
      </c>
      <c r="D25" s="17"/>
    </row>
    <row r="26" customFormat="false" ht="15" hidden="false" customHeight="false" outlineLevel="0" collapsed="false">
      <c r="A26" s="48"/>
      <c r="B26" s="49" t="n">
        <f aca="false">IFERROR(COUNTIF('2. Raw Votes by Country'!B:B,A26),0)</f>
        <v>0</v>
      </c>
      <c r="C26" s="50" t="n">
        <f aca="false">IFERROR(-SUMPRODUCT(IF('3. Univ × Country Matrix'!B26:U26&gt;0,('3. Univ × Country Matrix'!B26:U26/B26)*LOG('3. Univ × Country Matrix'!B26:U26/B26,2),0)),0)</f>
        <v>-0</v>
      </c>
      <c r="D26" s="51"/>
    </row>
    <row r="27" customFormat="false" ht="15" hidden="false" customHeight="false" outlineLevel="0" collapsed="false">
      <c r="A27" s="52"/>
      <c r="B27" s="4" t="n">
        <f aca="false">IFERROR(COUNTIF('2. Raw Votes by Country'!B:B,A27),0)</f>
        <v>0</v>
      </c>
      <c r="C27" s="44" t="n">
        <f aca="false">IFERROR(-SUMPRODUCT(IF('3. Univ × Country Matrix'!B27:U27&gt;0,('3. Univ × Country Matrix'!B27:U27/B27)*LOG('3. Univ × Country Matrix'!B27:U27/B27,2),0)),0)</f>
        <v>-0</v>
      </c>
      <c r="D27" s="17"/>
    </row>
    <row r="28" customFormat="false" ht="15" hidden="false" customHeight="false" outlineLevel="0" collapsed="false">
      <c r="A28" s="48"/>
      <c r="B28" s="49" t="n">
        <f aca="false">IFERROR(COUNTIF('2. Raw Votes by Country'!B:B,A28),0)</f>
        <v>0</v>
      </c>
      <c r="C28" s="50" t="n">
        <f aca="false">IFERROR(-SUMPRODUCT(IF('3. Univ × Country Matrix'!B28:U28&gt;0,('3. Univ × Country Matrix'!B28:U28/B28)*LOG('3. Univ × Country Matrix'!B28:U28/B28,2),0)),0)</f>
        <v>-0</v>
      </c>
      <c r="D28" s="51"/>
    </row>
    <row r="29" customFormat="false" ht="15" hidden="false" customHeight="false" outlineLevel="0" collapsed="false">
      <c r="A29" s="52"/>
      <c r="B29" s="4" t="n">
        <f aca="false">IFERROR(COUNTIF('2. Raw Votes by Country'!B:B,A29),0)</f>
        <v>0</v>
      </c>
      <c r="C29" s="44" t="n">
        <f aca="false">IFERROR(-SUMPRODUCT(IF('3. Univ × Country Matrix'!B29:U29&gt;0,('3. Univ × Country Matrix'!B29:U29/B29)*LOG('3. Univ × Country Matrix'!B29:U29/B29,2),0)),0)</f>
        <v>-0</v>
      </c>
      <c r="D29" s="17"/>
    </row>
    <row r="30" customFormat="false" ht="15" hidden="false" customHeight="false" outlineLevel="0" collapsed="false">
      <c r="A30" s="48"/>
      <c r="B30" s="49" t="n">
        <f aca="false">IFERROR(COUNTIF('2. Raw Votes by Country'!B:B,A30),0)</f>
        <v>0</v>
      </c>
      <c r="C30" s="50" t="n">
        <f aca="false">IFERROR(-SUMPRODUCT(IF('3. Univ × Country Matrix'!B30:U30&gt;0,('3. Univ × Country Matrix'!B30:U30/B30)*LOG('3. Univ × Country Matrix'!B30:U30/B30,2),0)),0)</f>
        <v>-0</v>
      </c>
      <c r="D30" s="51"/>
    </row>
    <row r="31" customFormat="false" ht="15" hidden="false" customHeight="false" outlineLevel="0" collapsed="false">
      <c r="A31" s="52"/>
      <c r="B31" s="4" t="n">
        <f aca="false">IFERROR(COUNTIF('2. Raw Votes by Country'!B:B,A31),0)</f>
        <v>0</v>
      </c>
      <c r="C31" s="44" t="n">
        <f aca="false">IFERROR(-SUMPRODUCT(IF('3. Univ × Country Matrix'!B31:U31&gt;0,('3. Univ × Country Matrix'!B31:U31/B31)*LOG('3. Univ × Country Matrix'!B31:U31/B31,2),0)),0)</f>
        <v>-0</v>
      </c>
      <c r="D31" s="17"/>
    </row>
    <row r="32" customFormat="false" ht="15" hidden="false" customHeight="false" outlineLevel="0" collapsed="false">
      <c r="A32" s="48"/>
      <c r="B32" s="49" t="n">
        <f aca="false">IFERROR(COUNTIF('2. Raw Votes by Country'!B:B,A32),0)</f>
        <v>0</v>
      </c>
      <c r="C32" s="50" t="n">
        <f aca="false">IFERROR(-SUMPRODUCT(IF('3. Univ × Country Matrix'!B32:U32&gt;0,('3. Univ × Country Matrix'!B32:U32/B32)*LOG('3. Univ × Country Matrix'!B32:U32/B32,2),0)),0)</f>
        <v>-0</v>
      </c>
      <c r="D32" s="51"/>
    </row>
    <row r="33" customFormat="false" ht="15" hidden="false" customHeight="false" outlineLevel="0" collapsed="false">
      <c r="A33" s="52"/>
      <c r="B33" s="4" t="n">
        <f aca="false">IFERROR(COUNTIF('2. Raw Votes by Country'!B:B,A33),0)</f>
        <v>0</v>
      </c>
      <c r="C33" s="44" t="n">
        <f aca="false">IFERROR(-SUMPRODUCT(IF('3. Univ × Country Matrix'!B33:U33&gt;0,('3. Univ × Country Matrix'!B33:U33/B33)*LOG('3. Univ × Country Matrix'!B33:U33/B33,2),0)),0)</f>
        <v>-0</v>
      </c>
      <c r="D33" s="17"/>
    </row>
    <row r="34" customFormat="false" ht="15" hidden="false" customHeight="false" outlineLevel="0" collapsed="false">
      <c r="A34" s="48"/>
      <c r="B34" s="49" t="n">
        <f aca="false">IFERROR(COUNTIF('2. Raw Votes by Country'!B:B,A34),0)</f>
        <v>0</v>
      </c>
      <c r="C34" s="50" t="n">
        <f aca="false">IFERROR(-SUMPRODUCT(IF('3. Univ × Country Matrix'!B34:U34&gt;0,('3. Univ × Country Matrix'!B34:U34/B34)*LOG('3. Univ × Country Matrix'!B34:U34/B34,2),0)),0)</f>
        <v>-0</v>
      </c>
      <c r="D34" s="51"/>
    </row>
    <row r="35" customFormat="false" ht="15" hidden="false" customHeight="false" outlineLevel="0" collapsed="false">
      <c r="A35" s="52"/>
      <c r="B35" s="4" t="n">
        <f aca="false">IFERROR(COUNTIF('2. Raw Votes by Country'!B:B,A35),0)</f>
        <v>0</v>
      </c>
      <c r="C35" s="44" t="n">
        <f aca="false">IFERROR(-SUMPRODUCT(IF('3. Univ × Country Matrix'!B35:U35&gt;0,('3. Univ × Country Matrix'!B35:U35/B35)*LOG('3. Univ × Country Matrix'!B35:U35/B35,2),0)),0)</f>
        <v>-0</v>
      </c>
      <c r="D35" s="17"/>
    </row>
    <row r="36" customFormat="false" ht="15" hidden="false" customHeight="false" outlineLevel="0" collapsed="false">
      <c r="A36" s="48"/>
      <c r="B36" s="49" t="n">
        <f aca="false">IFERROR(COUNTIF('2. Raw Votes by Country'!B:B,A36),0)</f>
        <v>0</v>
      </c>
      <c r="C36" s="50" t="n">
        <f aca="false">IFERROR(-SUMPRODUCT(IF('3. Univ × Country Matrix'!B36:U36&gt;0,('3. Univ × Country Matrix'!B36:U36/B36)*LOG('3. Univ × Country Matrix'!B36:U36/B36,2),0)),0)</f>
        <v>-0</v>
      </c>
      <c r="D36" s="51"/>
    </row>
    <row r="37" customFormat="false" ht="15" hidden="false" customHeight="false" outlineLevel="0" collapsed="false">
      <c r="A37" s="52"/>
      <c r="B37" s="4" t="n">
        <f aca="false">IFERROR(COUNTIF('2. Raw Votes by Country'!B:B,A37),0)</f>
        <v>0</v>
      </c>
      <c r="C37" s="44" t="n">
        <f aca="false">IFERROR(-SUMPRODUCT(IF('3. Univ × Country Matrix'!B37:U37&gt;0,('3. Univ × Country Matrix'!B37:U37/B37)*LOG('3. Univ × Country Matrix'!B37:U37/B37,2),0)),0)</f>
        <v>-0</v>
      </c>
      <c r="D37" s="17"/>
    </row>
    <row r="38" customFormat="false" ht="15" hidden="false" customHeight="false" outlineLevel="0" collapsed="false">
      <c r="A38" s="48"/>
      <c r="B38" s="49" t="n">
        <f aca="false">IFERROR(COUNTIF('2. Raw Votes by Country'!B:B,A38),0)</f>
        <v>0</v>
      </c>
      <c r="C38" s="50" t="n">
        <f aca="false">IFERROR(-SUMPRODUCT(IF('3. Univ × Country Matrix'!B38:U38&gt;0,('3. Univ × Country Matrix'!B38:U38/B38)*LOG('3. Univ × Country Matrix'!B38:U38/B38,2),0)),0)</f>
        <v>-0</v>
      </c>
      <c r="D38" s="51"/>
    </row>
    <row r="39" customFormat="false" ht="15" hidden="false" customHeight="false" outlineLevel="0" collapsed="false">
      <c r="A39" s="52"/>
      <c r="B39" s="4" t="n">
        <f aca="false">IFERROR(COUNTIF('2. Raw Votes by Country'!B:B,A39),0)</f>
        <v>0</v>
      </c>
      <c r="C39" s="44" t="n">
        <f aca="false">IFERROR(-SUMPRODUCT(IF('3. Univ × Country Matrix'!B39:U39&gt;0,('3. Univ × Country Matrix'!B39:U39/B39)*LOG('3. Univ × Country Matrix'!B39:U39/B39,2),0)),0)</f>
        <v>-0</v>
      </c>
      <c r="D39" s="17"/>
    </row>
    <row r="40" customFormat="false" ht="15" hidden="false" customHeight="false" outlineLevel="0" collapsed="false">
      <c r="A40" s="48"/>
      <c r="B40" s="49" t="n">
        <f aca="false">IFERROR(COUNTIF('2. Raw Votes by Country'!B:B,A40),0)</f>
        <v>0</v>
      </c>
      <c r="C40" s="50" t="n">
        <f aca="false">IFERROR(-SUMPRODUCT(IF('3. Univ × Country Matrix'!B40:U40&gt;0,('3. Univ × Country Matrix'!B40:U40/B40)*LOG('3. Univ × Country Matrix'!B40:U40/B40,2),0)),0)</f>
        <v>-0</v>
      </c>
      <c r="D40" s="51"/>
    </row>
    <row r="41" customFormat="false" ht="15" hidden="false" customHeight="false" outlineLevel="0" collapsed="false">
      <c r="A41" s="52"/>
      <c r="B41" s="4" t="n">
        <f aca="false">IFERROR(COUNTIF('2. Raw Votes by Country'!B:B,A41),0)</f>
        <v>0</v>
      </c>
      <c r="C41" s="44" t="n">
        <f aca="false">IFERROR(-SUMPRODUCT(IF('3. Univ × Country Matrix'!B41:U41&gt;0,('3. Univ × Country Matrix'!B41:U41/B41)*LOG('3. Univ × Country Matrix'!B41:U41/B41,2),0)),0)</f>
        <v>-0</v>
      </c>
      <c r="D41" s="17"/>
    </row>
    <row r="42" customFormat="false" ht="15" hidden="false" customHeight="false" outlineLevel="0" collapsed="false">
      <c r="A42" s="48"/>
      <c r="B42" s="49" t="n">
        <f aca="false">IFERROR(COUNTIF('2. Raw Votes by Country'!B:B,A42),0)</f>
        <v>0</v>
      </c>
      <c r="C42" s="50" t="n">
        <f aca="false">IFERROR(-SUMPRODUCT(IF('3. Univ × Country Matrix'!B42:U42&gt;0,('3. Univ × Country Matrix'!B42:U42/B42)*LOG('3. Univ × Country Matrix'!B42:U42/B42,2),0)),0)</f>
        <v>-0</v>
      </c>
      <c r="D42" s="51"/>
    </row>
    <row r="43" customFormat="false" ht="15" hidden="false" customHeight="false" outlineLevel="0" collapsed="false">
      <c r="A43" s="52"/>
      <c r="B43" s="4" t="n">
        <f aca="false">IFERROR(COUNTIF('2. Raw Votes by Country'!B:B,A43),0)</f>
        <v>0</v>
      </c>
      <c r="C43" s="44" t="n">
        <f aca="false">IFERROR(-SUMPRODUCT(IF('3. Univ × Country Matrix'!B43:U43&gt;0,('3. Univ × Country Matrix'!B43:U43/B43)*LOG('3. Univ × Country Matrix'!B43:U43/B43,2),0)),0)</f>
        <v>-0</v>
      </c>
      <c r="D43" s="17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I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18"/>
  </cols>
  <sheetData>
    <row r="1" customFormat="false" ht="33.75" hidden="false" customHeight="true" outlineLevel="0" collapsed="false">
      <c r="A1" s="53" t="s">
        <v>447</v>
      </c>
      <c r="B1" s="53"/>
      <c r="C1" s="53"/>
      <c r="D1" s="53"/>
      <c r="E1" s="53"/>
      <c r="F1" s="53"/>
      <c r="G1" s="53"/>
      <c r="H1" s="53"/>
      <c r="I1" s="53"/>
    </row>
    <row r="2" customFormat="false" ht="25.5" hidden="false" customHeight="true" outlineLevel="0" collapsed="false">
      <c r="A2" s="54" t="s">
        <v>448</v>
      </c>
      <c r="B2" s="54"/>
      <c r="C2" s="54"/>
      <c r="D2" s="54"/>
      <c r="E2" s="54"/>
      <c r="F2" s="54"/>
      <c r="G2" s="54"/>
      <c r="H2" s="54"/>
      <c r="I2" s="54"/>
    </row>
    <row r="3" customFormat="false" ht="23.85" hidden="false" customHeight="false" outlineLevel="0" collapsed="false">
      <c r="A3" s="55" t="s">
        <v>437</v>
      </c>
      <c r="B3" s="55" t="s">
        <v>427</v>
      </c>
      <c r="C3" s="55" t="s">
        <v>449</v>
      </c>
      <c r="D3" s="55" t="s">
        <v>422</v>
      </c>
      <c r="E3" s="55" t="s">
        <v>450</v>
      </c>
      <c r="F3" s="55" t="s">
        <v>451</v>
      </c>
      <c r="G3" s="55" t="s">
        <v>452</v>
      </c>
      <c r="H3" s="55" t="s">
        <v>453</v>
      </c>
      <c r="I3" s="55" t="s">
        <v>454</v>
      </c>
    </row>
    <row r="4" customFormat="false" ht="15" hidden="false" customHeight="false" outlineLevel="0" collapsed="false">
      <c r="A4" s="56" t="n">
        <v>1</v>
      </c>
      <c r="B4" s="57"/>
      <c r="C4" s="57"/>
      <c r="D4" s="57"/>
      <c r="E4" s="56" t="n">
        <f aca="false">IFERROR(COUNTIFS('2. Raw Votes by Country'!B:B,B4,'2. Raw Votes by Country'!D:D,C4),0)</f>
        <v>0</v>
      </c>
      <c r="F4" s="58" t="n">
        <f aca="false">IFERROR(IF(D4&gt;0,E4/D4*100,0),0)</f>
        <v>0</v>
      </c>
      <c r="G4" s="56" t="n">
        <f aca="false">IFERROR(COUNTIFS('2. Raw Votes by Country'!B:B,B4,'2. Raw Votes by Country'!I:I,"Y"),0)</f>
        <v>0</v>
      </c>
      <c r="H4" s="57"/>
      <c r="I4" s="57"/>
    </row>
    <row r="5" customFormat="false" ht="15" hidden="false" customHeight="false" outlineLevel="0" collapsed="false">
      <c r="A5" s="4" t="n">
        <v>2</v>
      </c>
      <c r="B5" s="17"/>
      <c r="C5" s="17"/>
      <c r="D5" s="17"/>
      <c r="E5" s="4" t="n">
        <f aca="false">IFERROR(COUNTIFS('2. Raw Votes by Country'!B:B,B5,'2. Raw Votes by Country'!D:D,C5),0)</f>
        <v>0</v>
      </c>
      <c r="F5" s="29" t="n">
        <f aca="false">IFERROR(IF(D5&gt;0,E5/D5*100,0),0)</f>
        <v>0</v>
      </c>
      <c r="G5" s="4" t="n">
        <f aca="false">IFERROR(COUNTIFS('2. Raw Votes by Country'!B:B,B5,'2. Raw Votes by Country'!I:I,"Y"),0)</f>
        <v>0</v>
      </c>
      <c r="H5" s="17"/>
      <c r="I5" s="17"/>
    </row>
    <row r="6" customFormat="false" ht="15" hidden="false" customHeight="false" outlineLevel="0" collapsed="false">
      <c r="A6" s="56" t="n">
        <v>3</v>
      </c>
      <c r="B6" s="57"/>
      <c r="C6" s="57"/>
      <c r="D6" s="57"/>
      <c r="E6" s="56" t="n">
        <f aca="false">IFERROR(COUNTIFS('2. Raw Votes by Country'!B:B,B6,'2. Raw Votes by Country'!D:D,C6),0)</f>
        <v>0</v>
      </c>
      <c r="F6" s="58" t="n">
        <f aca="false">IFERROR(IF(D6&gt;0,E6/D6*100,0),0)</f>
        <v>0</v>
      </c>
      <c r="G6" s="56" t="n">
        <f aca="false">IFERROR(COUNTIFS('2. Raw Votes by Country'!B:B,B6,'2. Raw Votes by Country'!I:I,"Y"),0)</f>
        <v>0</v>
      </c>
      <c r="H6" s="57"/>
      <c r="I6" s="57"/>
    </row>
    <row r="7" customFormat="false" ht="15" hidden="false" customHeight="false" outlineLevel="0" collapsed="false">
      <c r="A7" s="4" t="n">
        <v>4</v>
      </c>
      <c r="B7" s="17"/>
      <c r="C7" s="17"/>
      <c r="D7" s="17"/>
      <c r="E7" s="4" t="n">
        <f aca="false">IFERROR(COUNTIFS('2. Raw Votes by Country'!B:B,B7,'2. Raw Votes by Country'!D:D,C7),0)</f>
        <v>0</v>
      </c>
      <c r="F7" s="29" t="n">
        <f aca="false">IFERROR(IF(D7&gt;0,E7/D7*100,0),0)</f>
        <v>0</v>
      </c>
      <c r="G7" s="4" t="n">
        <f aca="false">IFERROR(COUNTIFS('2. Raw Votes by Country'!B:B,B7,'2. Raw Votes by Country'!I:I,"Y"),0)</f>
        <v>0</v>
      </c>
      <c r="H7" s="17"/>
      <c r="I7" s="17"/>
    </row>
    <row r="8" customFormat="false" ht="15" hidden="false" customHeight="false" outlineLevel="0" collapsed="false">
      <c r="A8" s="56" t="n">
        <v>5</v>
      </c>
      <c r="B8" s="57"/>
      <c r="C8" s="57"/>
      <c r="D8" s="57"/>
      <c r="E8" s="56" t="n">
        <f aca="false">IFERROR(COUNTIFS('2. Raw Votes by Country'!B:B,B8,'2. Raw Votes by Country'!D:D,C8),0)</f>
        <v>0</v>
      </c>
      <c r="F8" s="58" t="n">
        <f aca="false">IFERROR(IF(D8&gt;0,E8/D8*100,0),0)</f>
        <v>0</v>
      </c>
      <c r="G8" s="56" t="n">
        <f aca="false">IFERROR(COUNTIFS('2. Raw Votes by Country'!B:B,B8,'2. Raw Votes by Country'!I:I,"Y"),0)</f>
        <v>0</v>
      </c>
      <c r="H8" s="57"/>
      <c r="I8" s="57"/>
    </row>
    <row r="9" customFormat="false" ht="15" hidden="false" customHeight="false" outlineLevel="0" collapsed="false">
      <c r="A9" s="4" t="n">
        <v>6</v>
      </c>
      <c r="B9" s="17"/>
      <c r="C9" s="17"/>
      <c r="D9" s="17"/>
      <c r="E9" s="4" t="n">
        <f aca="false">IFERROR(COUNTIFS('2. Raw Votes by Country'!B:B,B9,'2. Raw Votes by Country'!D:D,C9),0)</f>
        <v>0</v>
      </c>
      <c r="F9" s="29" t="n">
        <f aca="false">IFERROR(IF(D9&gt;0,E9/D9*100,0),0)</f>
        <v>0</v>
      </c>
      <c r="G9" s="4" t="n">
        <f aca="false">IFERROR(COUNTIFS('2. Raw Votes by Country'!B:B,B9,'2. Raw Votes by Country'!I:I,"Y"),0)</f>
        <v>0</v>
      </c>
      <c r="H9" s="17"/>
      <c r="I9" s="17"/>
    </row>
    <row r="10" customFormat="false" ht="15" hidden="false" customHeight="false" outlineLevel="0" collapsed="false">
      <c r="A10" s="56" t="n">
        <v>7</v>
      </c>
      <c r="B10" s="57"/>
      <c r="C10" s="57"/>
      <c r="D10" s="57"/>
      <c r="E10" s="56" t="n">
        <f aca="false">IFERROR(COUNTIFS('2. Raw Votes by Country'!B:B,B10,'2. Raw Votes by Country'!D:D,C10),0)</f>
        <v>0</v>
      </c>
      <c r="F10" s="58" t="n">
        <f aca="false">IFERROR(IF(D10&gt;0,E10/D10*100,0),0)</f>
        <v>0</v>
      </c>
      <c r="G10" s="56" t="n">
        <f aca="false">IFERROR(COUNTIFS('2. Raw Votes by Country'!B:B,B10,'2. Raw Votes by Country'!I:I,"Y"),0)</f>
        <v>0</v>
      </c>
      <c r="H10" s="57"/>
      <c r="I10" s="57"/>
    </row>
    <row r="11" customFormat="false" ht="15" hidden="false" customHeight="false" outlineLevel="0" collapsed="false">
      <c r="A11" s="4" t="n">
        <v>8</v>
      </c>
      <c r="B11" s="17"/>
      <c r="C11" s="17"/>
      <c r="D11" s="17"/>
      <c r="E11" s="4" t="n">
        <f aca="false">IFERROR(COUNTIFS('2. Raw Votes by Country'!B:B,B11,'2. Raw Votes by Country'!D:D,C11),0)</f>
        <v>0</v>
      </c>
      <c r="F11" s="29" t="n">
        <f aca="false">IFERROR(IF(D11&gt;0,E11/D11*100,0),0)</f>
        <v>0</v>
      </c>
      <c r="G11" s="4" t="n">
        <f aca="false">IFERROR(COUNTIFS('2. Raw Votes by Country'!B:B,B11,'2. Raw Votes by Country'!I:I,"Y"),0)</f>
        <v>0</v>
      </c>
      <c r="H11" s="17"/>
      <c r="I11" s="17"/>
    </row>
    <row r="12" customFormat="false" ht="15" hidden="false" customHeight="false" outlineLevel="0" collapsed="false">
      <c r="A12" s="56" t="n">
        <v>9</v>
      </c>
      <c r="B12" s="57"/>
      <c r="C12" s="57"/>
      <c r="D12" s="57"/>
      <c r="E12" s="56" t="n">
        <f aca="false">IFERROR(COUNTIFS('2. Raw Votes by Country'!B:B,B12,'2. Raw Votes by Country'!D:D,C12),0)</f>
        <v>0</v>
      </c>
      <c r="F12" s="58" t="n">
        <f aca="false">IFERROR(IF(D12&gt;0,E12/D12*100,0),0)</f>
        <v>0</v>
      </c>
      <c r="G12" s="56" t="n">
        <f aca="false">IFERROR(COUNTIFS('2. Raw Votes by Country'!B:B,B12,'2. Raw Votes by Country'!I:I,"Y"),0)</f>
        <v>0</v>
      </c>
      <c r="H12" s="57"/>
      <c r="I12" s="57"/>
    </row>
    <row r="13" customFormat="false" ht="15" hidden="false" customHeight="false" outlineLevel="0" collapsed="false">
      <c r="A13" s="4" t="n">
        <v>10</v>
      </c>
      <c r="B13" s="17"/>
      <c r="C13" s="17"/>
      <c r="D13" s="17"/>
      <c r="E13" s="4" t="n">
        <f aca="false">IFERROR(COUNTIFS('2. Raw Votes by Country'!B:B,B13,'2. Raw Votes by Country'!D:D,C13),0)</f>
        <v>0</v>
      </c>
      <c r="F13" s="29" t="n">
        <f aca="false">IFERROR(IF(D13&gt;0,E13/D13*100,0),0)</f>
        <v>0</v>
      </c>
      <c r="G13" s="4" t="n">
        <f aca="false">IFERROR(COUNTIFS('2. Raw Votes by Country'!B:B,B13,'2. Raw Votes by Country'!I:I,"Y"),0)</f>
        <v>0</v>
      </c>
      <c r="H13" s="17"/>
      <c r="I13" s="17"/>
    </row>
    <row r="14" customFormat="false" ht="15" hidden="false" customHeight="false" outlineLevel="0" collapsed="false">
      <c r="A14" s="56" t="n">
        <v>11</v>
      </c>
      <c r="B14" s="57"/>
      <c r="C14" s="57"/>
      <c r="D14" s="57"/>
      <c r="E14" s="56" t="n">
        <f aca="false">IFERROR(COUNTIFS('2. Raw Votes by Country'!B:B,B14,'2. Raw Votes by Country'!D:D,C14),0)</f>
        <v>0</v>
      </c>
      <c r="F14" s="58" t="n">
        <f aca="false">IFERROR(IF(D14&gt;0,E14/D14*100,0),0)</f>
        <v>0</v>
      </c>
      <c r="G14" s="56" t="n">
        <f aca="false">IFERROR(COUNTIFS('2. Raw Votes by Country'!B:B,B14,'2. Raw Votes by Country'!I:I,"Y"),0)</f>
        <v>0</v>
      </c>
      <c r="H14" s="57"/>
      <c r="I14" s="57"/>
    </row>
    <row r="15" customFormat="false" ht="15" hidden="false" customHeight="false" outlineLevel="0" collapsed="false">
      <c r="A15" s="4" t="n">
        <v>12</v>
      </c>
      <c r="B15" s="17"/>
      <c r="C15" s="17"/>
      <c r="D15" s="17"/>
      <c r="E15" s="4" t="n">
        <f aca="false">IFERROR(COUNTIFS('2. Raw Votes by Country'!B:B,B15,'2. Raw Votes by Country'!D:D,C15),0)</f>
        <v>0</v>
      </c>
      <c r="F15" s="29" t="n">
        <f aca="false">IFERROR(IF(D15&gt;0,E15/D15*100,0),0)</f>
        <v>0</v>
      </c>
      <c r="G15" s="4" t="n">
        <f aca="false">IFERROR(COUNTIFS('2. Raw Votes by Country'!B:B,B15,'2. Raw Votes by Country'!I:I,"Y"),0)</f>
        <v>0</v>
      </c>
      <c r="H15" s="17"/>
      <c r="I15" s="17"/>
    </row>
    <row r="16" customFormat="false" ht="15" hidden="false" customHeight="false" outlineLevel="0" collapsed="false">
      <c r="A16" s="56" t="n">
        <v>13</v>
      </c>
      <c r="B16" s="57"/>
      <c r="C16" s="57"/>
      <c r="D16" s="57"/>
      <c r="E16" s="56" t="n">
        <f aca="false">IFERROR(COUNTIFS('2. Raw Votes by Country'!B:B,B16,'2. Raw Votes by Country'!D:D,C16),0)</f>
        <v>0</v>
      </c>
      <c r="F16" s="58" t="n">
        <f aca="false">IFERROR(IF(D16&gt;0,E16/D16*100,0),0)</f>
        <v>0</v>
      </c>
      <c r="G16" s="56" t="n">
        <f aca="false">IFERROR(COUNTIFS('2. Raw Votes by Country'!B:B,B16,'2. Raw Votes by Country'!I:I,"Y"),0)</f>
        <v>0</v>
      </c>
      <c r="H16" s="57"/>
      <c r="I16" s="57"/>
    </row>
    <row r="17" customFormat="false" ht="15" hidden="false" customHeight="false" outlineLevel="0" collapsed="false">
      <c r="A17" s="4" t="n">
        <v>14</v>
      </c>
      <c r="B17" s="17"/>
      <c r="C17" s="17"/>
      <c r="D17" s="17"/>
      <c r="E17" s="4" t="n">
        <f aca="false">IFERROR(COUNTIFS('2. Raw Votes by Country'!B:B,B17,'2. Raw Votes by Country'!D:D,C17),0)</f>
        <v>0</v>
      </c>
      <c r="F17" s="29" t="n">
        <f aca="false">IFERROR(IF(D17&gt;0,E17/D17*100,0),0)</f>
        <v>0</v>
      </c>
      <c r="G17" s="4" t="n">
        <f aca="false">IFERROR(COUNTIFS('2. Raw Votes by Country'!B:B,B17,'2. Raw Votes by Country'!I:I,"Y"),0)</f>
        <v>0</v>
      </c>
      <c r="H17" s="17"/>
      <c r="I17" s="17"/>
    </row>
    <row r="18" customFormat="false" ht="15" hidden="false" customHeight="false" outlineLevel="0" collapsed="false">
      <c r="A18" s="56" t="n">
        <v>15</v>
      </c>
      <c r="B18" s="57"/>
      <c r="C18" s="57"/>
      <c r="D18" s="57"/>
      <c r="E18" s="56" t="n">
        <f aca="false">IFERROR(COUNTIFS('2. Raw Votes by Country'!B:B,B18,'2. Raw Votes by Country'!D:D,C18),0)</f>
        <v>0</v>
      </c>
      <c r="F18" s="58" t="n">
        <f aca="false">IFERROR(IF(D18&gt;0,E18/D18*100,0),0)</f>
        <v>0</v>
      </c>
      <c r="G18" s="56" t="n">
        <f aca="false">IFERROR(COUNTIFS('2. Raw Votes by Country'!B:B,B18,'2. Raw Votes by Country'!I:I,"Y"),0)</f>
        <v>0</v>
      </c>
      <c r="H18" s="57"/>
      <c r="I18" s="57"/>
    </row>
    <row r="19" customFormat="false" ht="15" hidden="false" customHeight="false" outlineLevel="0" collapsed="false">
      <c r="A19" s="4" t="n">
        <v>16</v>
      </c>
      <c r="B19" s="17"/>
      <c r="C19" s="17"/>
      <c r="D19" s="17"/>
      <c r="E19" s="4" t="n">
        <f aca="false">IFERROR(COUNTIFS('2. Raw Votes by Country'!B:B,B19,'2. Raw Votes by Country'!D:D,C19),0)</f>
        <v>0</v>
      </c>
      <c r="F19" s="29" t="n">
        <f aca="false">IFERROR(IF(D19&gt;0,E19/D19*100,0),0)</f>
        <v>0</v>
      </c>
      <c r="G19" s="4" t="n">
        <f aca="false">IFERROR(COUNTIFS('2. Raw Votes by Country'!B:B,B19,'2. Raw Votes by Country'!I:I,"Y"),0)</f>
        <v>0</v>
      </c>
      <c r="H19" s="17"/>
      <c r="I19" s="17"/>
    </row>
    <row r="20" customFormat="false" ht="15" hidden="false" customHeight="false" outlineLevel="0" collapsed="false">
      <c r="A20" s="56" t="n">
        <v>17</v>
      </c>
      <c r="B20" s="57"/>
      <c r="C20" s="57"/>
      <c r="D20" s="57"/>
      <c r="E20" s="56" t="n">
        <f aca="false">IFERROR(COUNTIFS('2. Raw Votes by Country'!B:B,B20,'2. Raw Votes by Country'!D:D,C20),0)</f>
        <v>0</v>
      </c>
      <c r="F20" s="58" t="n">
        <f aca="false">IFERROR(IF(D20&gt;0,E20/D20*100,0),0)</f>
        <v>0</v>
      </c>
      <c r="G20" s="56" t="n">
        <f aca="false">IFERROR(COUNTIFS('2. Raw Votes by Country'!B:B,B20,'2. Raw Votes by Country'!I:I,"Y"),0)</f>
        <v>0</v>
      </c>
      <c r="H20" s="57"/>
      <c r="I20" s="57"/>
    </row>
    <row r="21" customFormat="false" ht="15" hidden="false" customHeight="false" outlineLevel="0" collapsed="false">
      <c r="A21" s="4" t="n">
        <v>18</v>
      </c>
      <c r="B21" s="17"/>
      <c r="C21" s="17"/>
      <c r="D21" s="17"/>
      <c r="E21" s="4" t="n">
        <f aca="false">IFERROR(COUNTIFS('2. Raw Votes by Country'!B:B,B21,'2. Raw Votes by Country'!D:D,C21),0)</f>
        <v>0</v>
      </c>
      <c r="F21" s="29" t="n">
        <f aca="false">IFERROR(IF(D21&gt;0,E21/D21*100,0),0)</f>
        <v>0</v>
      </c>
      <c r="G21" s="4" t="n">
        <f aca="false">IFERROR(COUNTIFS('2. Raw Votes by Country'!B:B,B21,'2. Raw Votes by Country'!I:I,"Y"),0)</f>
        <v>0</v>
      </c>
      <c r="H21" s="17"/>
      <c r="I21" s="17"/>
    </row>
    <row r="22" customFormat="false" ht="15" hidden="false" customHeight="false" outlineLevel="0" collapsed="false">
      <c r="A22" s="56" t="n">
        <v>19</v>
      </c>
      <c r="B22" s="57"/>
      <c r="C22" s="57"/>
      <c r="D22" s="57"/>
      <c r="E22" s="56" t="n">
        <f aca="false">IFERROR(COUNTIFS('2. Raw Votes by Country'!B:B,B22,'2. Raw Votes by Country'!D:D,C22),0)</f>
        <v>0</v>
      </c>
      <c r="F22" s="58" t="n">
        <f aca="false">IFERROR(IF(D22&gt;0,E22/D22*100,0),0)</f>
        <v>0</v>
      </c>
      <c r="G22" s="56" t="n">
        <f aca="false">IFERROR(COUNTIFS('2. Raw Votes by Country'!B:B,B22,'2. Raw Votes by Country'!I:I,"Y"),0)</f>
        <v>0</v>
      </c>
      <c r="H22" s="57"/>
      <c r="I22" s="57"/>
    </row>
    <row r="23" customFormat="false" ht="15" hidden="false" customHeight="false" outlineLevel="0" collapsed="false">
      <c r="A23" s="4" t="n">
        <v>20</v>
      </c>
      <c r="B23" s="17"/>
      <c r="C23" s="17"/>
      <c r="D23" s="17"/>
      <c r="E23" s="4" t="n">
        <f aca="false">IFERROR(COUNTIFS('2. Raw Votes by Country'!B:B,B23,'2. Raw Votes by Country'!D:D,C23),0)</f>
        <v>0</v>
      </c>
      <c r="F23" s="29" t="n">
        <f aca="false">IFERROR(IF(D23&gt;0,E23/D23*100,0),0)</f>
        <v>0</v>
      </c>
      <c r="G23" s="4" t="n">
        <f aca="false">IFERROR(COUNTIFS('2. Raw Votes by Country'!B:B,B23,'2. Raw Votes by Country'!I:I,"Y"),0)</f>
        <v>0</v>
      </c>
      <c r="H23" s="17"/>
      <c r="I23" s="17"/>
    </row>
    <row r="24" customFormat="false" ht="15" hidden="false" customHeight="false" outlineLevel="0" collapsed="false">
      <c r="A24" s="56" t="n">
        <v>21</v>
      </c>
      <c r="B24" s="57"/>
      <c r="C24" s="57"/>
      <c r="D24" s="57"/>
      <c r="E24" s="56" t="n">
        <f aca="false">IFERROR(COUNTIFS('2. Raw Votes by Country'!B:B,B24,'2. Raw Votes by Country'!D:D,C24),0)</f>
        <v>0</v>
      </c>
      <c r="F24" s="58" t="n">
        <f aca="false">IFERROR(IF(D24&gt;0,E24/D24*100,0),0)</f>
        <v>0</v>
      </c>
      <c r="G24" s="56" t="n">
        <f aca="false">IFERROR(COUNTIFS('2. Raw Votes by Country'!B:B,B24,'2. Raw Votes by Country'!I:I,"Y"),0)</f>
        <v>0</v>
      </c>
      <c r="H24" s="57"/>
      <c r="I24" s="57"/>
    </row>
    <row r="25" customFormat="false" ht="15" hidden="false" customHeight="false" outlineLevel="0" collapsed="false">
      <c r="A25" s="4" t="n">
        <v>22</v>
      </c>
      <c r="B25" s="17"/>
      <c r="C25" s="17"/>
      <c r="D25" s="17"/>
      <c r="E25" s="4" t="n">
        <f aca="false">IFERROR(COUNTIFS('2. Raw Votes by Country'!B:B,B25,'2. Raw Votes by Country'!D:D,C25),0)</f>
        <v>0</v>
      </c>
      <c r="F25" s="29" t="n">
        <f aca="false">IFERROR(IF(D25&gt;0,E25/D25*100,0),0)</f>
        <v>0</v>
      </c>
      <c r="G25" s="4" t="n">
        <f aca="false">IFERROR(COUNTIFS('2. Raw Votes by Country'!B:B,B25,'2. Raw Votes by Country'!I:I,"Y"),0)</f>
        <v>0</v>
      </c>
      <c r="H25" s="17"/>
      <c r="I25" s="17"/>
    </row>
    <row r="26" customFormat="false" ht="15" hidden="false" customHeight="false" outlineLevel="0" collapsed="false">
      <c r="A26" s="56" t="n">
        <v>23</v>
      </c>
      <c r="B26" s="57"/>
      <c r="C26" s="57"/>
      <c r="D26" s="57"/>
      <c r="E26" s="56" t="n">
        <f aca="false">IFERROR(COUNTIFS('2. Raw Votes by Country'!B:B,B26,'2. Raw Votes by Country'!D:D,C26),0)</f>
        <v>0</v>
      </c>
      <c r="F26" s="58" t="n">
        <f aca="false">IFERROR(IF(D26&gt;0,E26/D26*100,0),0)</f>
        <v>0</v>
      </c>
      <c r="G26" s="56" t="n">
        <f aca="false">IFERROR(COUNTIFS('2. Raw Votes by Country'!B:B,B26,'2. Raw Votes by Country'!I:I,"Y"),0)</f>
        <v>0</v>
      </c>
      <c r="H26" s="57"/>
      <c r="I26" s="57"/>
    </row>
    <row r="27" customFormat="false" ht="15" hidden="false" customHeight="false" outlineLevel="0" collapsed="false">
      <c r="A27" s="4" t="n">
        <v>24</v>
      </c>
      <c r="B27" s="17"/>
      <c r="C27" s="17"/>
      <c r="D27" s="17"/>
      <c r="E27" s="4" t="n">
        <f aca="false">IFERROR(COUNTIFS('2. Raw Votes by Country'!B:B,B27,'2. Raw Votes by Country'!D:D,C27),0)</f>
        <v>0</v>
      </c>
      <c r="F27" s="29" t="n">
        <f aca="false">IFERROR(IF(D27&gt;0,E27/D27*100,0),0)</f>
        <v>0</v>
      </c>
      <c r="G27" s="4" t="n">
        <f aca="false">IFERROR(COUNTIFS('2. Raw Votes by Country'!B:B,B27,'2. Raw Votes by Country'!I:I,"Y"),0)</f>
        <v>0</v>
      </c>
      <c r="H27" s="17"/>
      <c r="I27" s="17"/>
    </row>
    <row r="28" customFormat="false" ht="15" hidden="false" customHeight="false" outlineLevel="0" collapsed="false">
      <c r="A28" s="56" t="n">
        <v>25</v>
      </c>
      <c r="B28" s="57"/>
      <c r="C28" s="57"/>
      <c r="D28" s="57"/>
      <c r="E28" s="56" t="n">
        <f aca="false">IFERROR(COUNTIFS('2. Raw Votes by Country'!B:B,B28,'2. Raw Votes by Country'!D:D,C28),0)</f>
        <v>0</v>
      </c>
      <c r="F28" s="58" t="n">
        <f aca="false">IFERROR(IF(D28&gt;0,E28/D28*100,0),0)</f>
        <v>0</v>
      </c>
      <c r="G28" s="56" t="n">
        <f aca="false">IFERROR(COUNTIFS('2. Raw Votes by Country'!B:B,B28,'2. Raw Votes by Country'!I:I,"Y"),0)</f>
        <v>0</v>
      </c>
      <c r="H28" s="57"/>
      <c r="I28" s="57"/>
    </row>
    <row r="29" customFormat="false" ht="15" hidden="false" customHeight="false" outlineLevel="0" collapsed="false">
      <c r="A29" s="4" t="n">
        <v>26</v>
      </c>
      <c r="B29" s="17"/>
      <c r="C29" s="17"/>
      <c r="D29" s="17"/>
      <c r="E29" s="4" t="n">
        <f aca="false">IFERROR(COUNTIFS('2. Raw Votes by Country'!B:B,B29,'2. Raw Votes by Country'!D:D,C29),0)</f>
        <v>0</v>
      </c>
      <c r="F29" s="29" t="n">
        <f aca="false">IFERROR(IF(D29&gt;0,E29/D29*100,0),0)</f>
        <v>0</v>
      </c>
      <c r="G29" s="4" t="n">
        <f aca="false">IFERROR(COUNTIFS('2. Raw Votes by Country'!B:B,B29,'2. Raw Votes by Country'!I:I,"Y"),0)</f>
        <v>0</v>
      </c>
      <c r="H29" s="17"/>
      <c r="I29" s="17"/>
    </row>
    <row r="30" customFormat="false" ht="15" hidden="false" customHeight="false" outlineLevel="0" collapsed="false">
      <c r="A30" s="56" t="n">
        <v>27</v>
      </c>
      <c r="B30" s="57"/>
      <c r="C30" s="57"/>
      <c r="D30" s="57"/>
      <c r="E30" s="56" t="n">
        <f aca="false">IFERROR(COUNTIFS('2. Raw Votes by Country'!B:B,B30,'2. Raw Votes by Country'!D:D,C30),0)</f>
        <v>0</v>
      </c>
      <c r="F30" s="58" t="n">
        <f aca="false">IFERROR(IF(D30&gt;0,E30/D30*100,0),0)</f>
        <v>0</v>
      </c>
      <c r="G30" s="56" t="n">
        <f aca="false">IFERROR(COUNTIFS('2. Raw Votes by Country'!B:B,B30,'2. Raw Votes by Country'!I:I,"Y"),0)</f>
        <v>0</v>
      </c>
      <c r="H30" s="57"/>
      <c r="I30" s="57"/>
    </row>
    <row r="31" customFormat="false" ht="15" hidden="false" customHeight="false" outlineLevel="0" collapsed="false">
      <c r="A31" s="4" t="n">
        <v>28</v>
      </c>
      <c r="B31" s="17"/>
      <c r="C31" s="17"/>
      <c r="D31" s="17"/>
      <c r="E31" s="4" t="n">
        <f aca="false">IFERROR(COUNTIFS('2. Raw Votes by Country'!B:B,B31,'2. Raw Votes by Country'!D:D,C31),0)</f>
        <v>0</v>
      </c>
      <c r="F31" s="29" t="n">
        <f aca="false">IFERROR(IF(D31&gt;0,E31/D31*100,0),0)</f>
        <v>0</v>
      </c>
      <c r="G31" s="4" t="n">
        <f aca="false">IFERROR(COUNTIFS('2. Raw Votes by Country'!B:B,B31,'2. Raw Votes by Country'!I:I,"Y"),0)</f>
        <v>0</v>
      </c>
      <c r="H31" s="17"/>
      <c r="I31" s="17"/>
    </row>
    <row r="32" customFormat="false" ht="15" hidden="false" customHeight="false" outlineLevel="0" collapsed="false">
      <c r="A32" s="56" t="n">
        <v>29</v>
      </c>
      <c r="B32" s="57"/>
      <c r="C32" s="57"/>
      <c r="D32" s="57"/>
      <c r="E32" s="56" t="n">
        <f aca="false">IFERROR(COUNTIFS('2. Raw Votes by Country'!B:B,B32,'2. Raw Votes by Country'!D:D,C32),0)</f>
        <v>0</v>
      </c>
      <c r="F32" s="58" t="n">
        <f aca="false">IFERROR(IF(D32&gt;0,E32/D32*100,0),0)</f>
        <v>0</v>
      </c>
      <c r="G32" s="56" t="n">
        <f aca="false">IFERROR(COUNTIFS('2. Raw Votes by Country'!B:B,B32,'2. Raw Votes by Country'!I:I,"Y"),0)</f>
        <v>0</v>
      </c>
      <c r="H32" s="57"/>
      <c r="I32" s="57"/>
    </row>
    <row r="33" customFormat="false" ht="15" hidden="false" customHeight="false" outlineLevel="0" collapsed="false">
      <c r="A33" s="4" t="n">
        <v>30</v>
      </c>
      <c r="B33" s="17"/>
      <c r="C33" s="17"/>
      <c r="D33" s="17"/>
      <c r="E33" s="4" t="n">
        <f aca="false">IFERROR(COUNTIFS('2. Raw Votes by Country'!B:B,B33,'2. Raw Votes by Country'!D:D,C33),0)</f>
        <v>0</v>
      </c>
      <c r="F33" s="29" t="n">
        <f aca="false">IFERROR(IF(D33&gt;0,E33/D33*100,0),0)</f>
        <v>0</v>
      </c>
      <c r="G33" s="4" t="n">
        <f aca="false">IFERROR(COUNTIFS('2. Raw Votes by Country'!B:B,B33,'2. Raw Votes by Country'!I:I,"Y"),0)</f>
        <v>0</v>
      </c>
      <c r="H33" s="17"/>
      <c r="I33" s="17"/>
    </row>
    <row r="34" customFormat="false" ht="15" hidden="false" customHeight="false" outlineLevel="0" collapsed="false">
      <c r="A34" s="56" t="n">
        <v>31</v>
      </c>
      <c r="B34" s="57"/>
      <c r="C34" s="57"/>
      <c r="D34" s="57"/>
      <c r="E34" s="56" t="n">
        <f aca="false">IFERROR(COUNTIFS('2. Raw Votes by Country'!B:B,B34,'2. Raw Votes by Country'!D:D,C34),0)</f>
        <v>0</v>
      </c>
      <c r="F34" s="58" t="n">
        <f aca="false">IFERROR(IF(D34&gt;0,E34/D34*100,0),0)</f>
        <v>0</v>
      </c>
      <c r="G34" s="56" t="n">
        <f aca="false">IFERROR(COUNTIFS('2. Raw Votes by Country'!B:B,B34,'2. Raw Votes by Country'!I:I,"Y"),0)</f>
        <v>0</v>
      </c>
      <c r="H34" s="57"/>
      <c r="I34" s="57"/>
    </row>
    <row r="35" customFormat="false" ht="15" hidden="false" customHeight="false" outlineLevel="0" collapsed="false">
      <c r="A35" s="4" t="n">
        <v>32</v>
      </c>
      <c r="B35" s="17"/>
      <c r="C35" s="17"/>
      <c r="D35" s="17"/>
      <c r="E35" s="4" t="n">
        <f aca="false">IFERROR(COUNTIFS('2. Raw Votes by Country'!B:B,B35,'2. Raw Votes by Country'!D:D,C35),0)</f>
        <v>0</v>
      </c>
      <c r="F35" s="29" t="n">
        <f aca="false">IFERROR(IF(D35&gt;0,E35/D35*100,0),0)</f>
        <v>0</v>
      </c>
      <c r="G35" s="4" t="n">
        <f aca="false">IFERROR(COUNTIFS('2. Raw Votes by Country'!B:B,B35,'2. Raw Votes by Country'!I:I,"Y"),0)</f>
        <v>0</v>
      </c>
      <c r="H35" s="17"/>
      <c r="I35" s="17"/>
    </row>
    <row r="36" customFormat="false" ht="15" hidden="false" customHeight="false" outlineLevel="0" collapsed="false">
      <c r="A36" s="56" t="n">
        <v>33</v>
      </c>
      <c r="B36" s="57"/>
      <c r="C36" s="57"/>
      <c r="D36" s="57"/>
      <c r="E36" s="56" t="n">
        <f aca="false">IFERROR(COUNTIFS('2. Raw Votes by Country'!B:B,B36,'2. Raw Votes by Country'!D:D,C36),0)</f>
        <v>0</v>
      </c>
      <c r="F36" s="58" t="n">
        <f aca="false">IFERROR(IF(D36&gt;0,E36/D36*100,0),0)</f>
        <v>0</v>
      </c>
      <c r="G36" s="56" t="n">
        <f aca="false">IFERROR(COUNTIFS('2. Raw Votes by Country'!B:B,B36,'2. Raw Votes by Country'!I:I,"Y"),0)</f>
        <v>0</v>
      </c>
      <c r="H36" s="57"/>
      <c r="I36" s="57"/>
    </row>
    <row r="37" customFormat="false" ht="15" hidden="false" customHeight="false" outlineLevel="0" collapsed="false">
      <c r="A37" s="4" t="n">
        <v>34</v>
      </c>
      <c r="B37" s="17"/>
      <c r="C37" s="17"/>
      <c r="D37" s="17"/>
      <c r="E37" s="4" t="n">
        <f aca="false">IFERROR(COUNTIFS('2. Raw Votes by Country'!B:B,B37,'2. Raw Votes by Country'!D:D,C37),0)</f>
        <v>0</v>
      </c>
      <c r="F37" s="29" t="n">
        <f aca="false">IFERROR(IF(D37&gt;0,E37/D37*100,0),0)</f>
        <v>0</v>
      </c>
      <c r="G37" s="4" t="n">
        <f aca="false">IFERROR(COUNTIFS('2. Raw Votes by Country'!B:B,B37,'2. Raw Votes by Country'!I:I,"Y"),0)</f>
        <v>0</v>
      </c>
      <c r="H37" s="17"/>
      <c r="I37" s="17"/>
    </row>
    <row r="38" customFormat="false" ht="15" hidden="false" customHeight="false" outlineLevel="0" collapsed="false">
      <c r="A38" s="56" t="n">
        <v>35</v>
      </c>
      <c r="B38" s="57"/>
      <c r="C38" s="57"/>
      <c r="D38" s="57"/>
      <c r="E38" s="56" t="n">
        <f aca="false">IFERROR(COUNTIFS('2. Raw Votes by Country'!B:B,B38,'2. Raw Votes by Country'!D:D,C38),0)</f>
        <v>0</v>
      </c>
      <c r="F38" s="58" t="n">
        <f aca="false">IFERROR(IF(D38&gt;0,E38/D38*100,0),0)</f>
        <v>0</v>
      </c>
      <c r="G38" s="56" t="n">
        <f aca="false">IFERROR(COUNTIFS('2. Raw Votes by Country'!B:B,B38,'2. Raw Votes by Country'!I:I,"Y"),0)</f>
        <v>0</v>
      </c>
      <c r="H38" s="57"/>
      <c r="I38" s="57"/>
    </row>
    <row r="39" customFormat="false" ht="15" hidden="false" customHeight="false" outlineLevel="0" collapsed="false">
      <c r="A39" s="4" t="n">
        <v>36</v>
      </c>
      <c r="B39" s="17"/>
      <c r="C39" s="17"/>
      <c r="D39" s="17"/>
      <c r="E39" s="4" t="n">
        <f aca="false">IFERROR(COUNTIFS('2. Raw Votes by Country'!B:B,B39,'2. Raw Votes by Country'!D:D,C39),0)</f>
        <v>0</v>
      </c>
      <c r="F39" s="29" t="n">
        <f aca="false">IFERROR(IF(D39&gt;0,E39/D39*100,0),0)</f>
        <v>0</v>
      </c>
      <c r="G39" s="4" t="n">
        <f aca="false">IFERROR(COUNTIFS('2. Raw Votes by Country'!B:B,B39,'2. Raw Votes by Country'!I:I,"Y"),0)</f>
        <v>0</v>
      </c>
      <c r="H39" s="17"/>
      <c r="I39" s="17"/>
    </row>
    <row r="40" customFormat="false" ht="15" hidden="false" customHeight="false" outlineLevel="0" collapsed="false">
      <c r="A40" s="56" t="n">
        <v>37</v>
      </c>
      <c r="B40" s="57"/>
      <c r="C40" s="57"/>
      <c r="D40" s="57"/>
      <c r="E40" s="56" t="n">
        <f aca="false">IFERROR(COUNTIFS('2. Raw Votes by Country'!B:B,B40,'2. Raw Votes by Country'!D:D,C40),0)</f>
        <v>0</v>
      </c>
      <c r="F40" s="58" t="n">
        <f aca="false">IFERROR(IF(D40&gt;0,E40/D40*100,0),0)</f>
        <v>0</v>
      </c>
      <c r="G40" s="56" t="n">
        <f aca="false">IFERROR(COUNTIFS('2. Raw Votes by Country'!B:B,B40,'2. Raw Votes by Country'!I:I,"Y"),0)</f>
        <v>0</v>
      </c>
      <c r="H40" s="57"/>
      <c r="I40" s="57"/>
    </row>
    <row r="41" customFormat="false" ht="15" hidden="false" customHeight="false" outlineLevel="0" collapsed="false">
      <c r="A41" s="4" t="n">
        <v>38</v>
      </c>
      <c r="B41" s="17"/>
      <c r="C41" s="17"/>
      <c r="D41" s="17"/>
      <c r="E41" s="4" t="n">
        <f aca="false">IFERROR(COUNTIFS('2. Raw Votes by Country'!B:B,B41,'2. Raw Votes by Country'!D:D,C41),0)</f>
        <v>0</v>
      </c>
      <c r="F41" s="29" t="n">
        <f aca="false">IFERROR(IF(D41&gt;0,E41/D41*100,0),0)</f>
        <v>0</v>
      </c>
      <c r="G41" s="4" t="n">
        <f aca="false">IFERROR(COUNTIFS('2. Raw Votes by Country'!B:B,B41,'2. Raw Votes by Country'!I:I,"Y"),0)</f>
        <v>0</v>
      </c>
      <c r="H41" s="17"/>
      <c r="I41" s="17"/>
    </row>
    <row r="42" customFormat="false" ht="15" hidden="false" customHeight="false" outlineLevel="0" collapsed="false">
      <c r="A42" s="56" t="n">
        <v>39</v>
      </c>
      <c r="B42" s="57"/>
      <c r="C42" s="57"/>
      <c r="D42" s="57"/>
      <c r="E42" s="56" t="n">
        <f aca="false">IFERROR(COUNTIFS('2. Raw Votes by Country'!B:B,B42,'2. Raw Votes by Country'!D:D,C42),0)</f>
        <v>0</v>
      </c>
      <c r="F42" s="58" t="n">
        <f aca="false">IFERROR(IF(D42&gt;0,E42/D42*100,0),0)</f>
        <v>0</v>
      </c>
      <c r="G42" s="56" t="n">
        <f aca="false">IFERROR(COUNTIFS('2. Raw Votes by Country'!B:B,B42,'2. Raw Votes by Country'!I:I,"Y"),0)</f>
        <v>0</v>
      </c>
      <c r="H42" s="57"/>
      <c r="I42" s="57"/>
    </row>
    <row r="43" customFormat="false" ht="15" hidden="false" customHeight="false" outlineLevel="0" collapsed="false">
      <c r="A43" s="4" t="n">
        <v>40</v>
      </c>
      <c r="B43" s="17"/>
      <c r="C43" s="17"/>
      <c r="D43" s="17"/>
      <c r="E43" s="4" t="n">
        <f aca="false">IFERROR(COUNTIFS('2. Raw Votes by Country'!B:B,B43,'2. Raw Votes by Country'!D:D,C43),0)</f>
        <v>0</v>
      </c>
      <c r="F43" s="29" t="n">
        <f aca="false">IFERROR(IF(D43&gt;0,E43/D43*100,0),0)</f>
        <v>0</v>
      </c>
      <c r="G43" s="4" t="n">
        <f aca="false">IFERROR(COUNTIFS('2. Raw Votes by Country'!B:B,B43,'2. Raw Votes by Country'!I:I,"Y"),0)</f>
        <v>0</v>
      </c>
      <c r="H43" s="17"/>
      <c r="I43" s="17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J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7" min="7" style="0" width="16"/>
    <col collapsed="false" customWidth="true" hidden="false" outlineLevel="0" max="9" min="8" style="0" width="18"/>
    <col collapsed="false" customWidth="true" hidden="false" outlineLevel="0" max="10" min="10" style="0" width="14"/>
  </cols>
  <sheetData>
    <row r="1" customFormat="false" ht="33.75" hidden="false" customHeight="true" outlineLevel="0" collapsed="false">
      <c r="A1" s="22" t="s">
        <v>455</v>
      </c>
      <c r="B1" s="22"/>
      <c r="C1" s="22"/>
      <c r="D1" s="22"/>
      <c r="E1" s="22"/>
      <c r="F1" s="22"/>
      <c r="G1" s="22"/>
      <c r="H1" s="22"/>
      <c r="I1" s="22"/>
      <c r="J1" s="22"/>
    </row>
    <row r="2" customFormat="false" ht="25.5" hidden="false" customHeight="true" outlineLevel="0" collapsed="false">
      <c r="A2" s="2" t="s">
        <v>456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23" t="s">
        <v>457</v>
      </c>
      <c r="B3" s="23" t="s">
        <v>427</v>
      </c>
      <c r="C3" s="23" t="s">
        <v>422</v>
      </c>
      <c r="D3" s="23" t="s">
        <v>423</v>
      </c>
      <c r="E3" s="23" t="s">
        <v>157</v>
      </c>
      <c r="F3" s="23" t="s">
        <v>458</v>
      </c>
      <c r="G3" s="23" t="s">
        <v>459</v>
      </c>
      <c r="H3" s="23" t="s">
        <v>460</v>
      </c>
      <c r="I3" s="23" t="s">
        <v>461</v>
      </c>
      <c r="J3" s="23" t="s">
        <v>462</v>
      </c>
    </row>
    <row r="4" customFormat="false" ht="15" hidden="false" customHeight="false" outlineLevel="0" collapsed="false">
      <c r="A4" s="30" t="n">
        <f aca="false">IFERROR(RANK(H4,$H$4:$H$43,0),"")</f>
        <v>1</v>
      </c>
      <c r="B4" s="24"/>
      <c r="C4" s="7" t="n">
        <f aca="false">IFERROR(VLOOKUP(B4,'6. Geo Entropy Calc'!$B$4:$I$43,2,FALSE()),0)</f>
        <v>0</v>
      </c>
      <c r="D4" s="7" t="n">
        <f aca="false">IFERROR(VLOOKUP(B4,'6. Geo Entropy Calc'!$B$4:$I$43,3,FALSE()),0)</f>
        <v>0</v>
      </c>
      <c r="E4" s="7" t="n">
        <f aca="false">IFERROR(VLOOKUP(B4,'4. Univ × Continent Matrix'!$A$5:$I$44,8,FALSE()),0)</f>
        <v>0</v>
      </c>
      <c r="F4" s="43" t="n">
        <f aca="false">IFERROR(VLOOKUP(B4,'6. Geo Entropy Calc'!$B$4:$I$43,4,FALSE()),0)</f>
        <v>0</v>
      </c>
      <c r="G4" s="43" t="n">
        <f aca="false">IFERROR(VLOOKUP(B4,'6. Geo Entropy Calc'!$B$4:$I$43,6,FALSE()),0)</f>
        <v>0</v>
      </c>
      <c r="H4" s="59" t="n">
        <f aca="false">IFERROR(VLOOKUP(B4,'6. Geo Entropy Calc'!$B$4:$I$43,7,FALSE()),0)</f>
        <v>0</v>
      </c>
      <c r="I4" s="59" t="n">
        <f aca="false">IFERROR(VLOOKUP(B4,'3. Univ × Country Matrix'!$A$5:$X$44,24,FALSE()),0)</f>
        <v>0</v>
      </c>
      <c r="J4" s="30" t="str">
        <f aca="false">IF(H4&gt;=80,"Very High",IF(H4&gt;=60,"High",IF(H4&gt;=40,"Medium",IF(H4&gt;=20,"Low","Very Low"))))</f>
        <v>Very Low</v>
      </c>
    </row>
    <row r="5" customFormat="false" ht="15" hidden="false" customHeight="false" outlineLevel="0" collapsed="false">
      <c r="A5" s="28" t="n">
        <f aca="false">IFERROR(RANK(H5,$H$4:$H$43,0),"")</f>
        <v>1</v>
      </c>
      <c r="B5" s="17"/>
      <c r="C5" s="4" t="n">
        <f aca="false">IFERROR(VLOOKUP(B5,'6. Geo Entropy Calc'!$B$4:$I$43,2,FALSE()),0)</f>
        <v>0</v>
      </c>
      <c r="D5" s="4" t="n">
        <f aca="false">IFERROR(VLOOKUP(B5,'6. Geo Entropy Calc'!$B$4:$I$43,3,FALSE()),0)</f>
        <v>0</v>
      </c>
      <c r="E5" s="4" t="n">
        <f aca="false">IFERROR(VLOOKUP(B5,'4. Univ × Continent Matrix'!$A$5:$I$44,8,FALSE()),0)</f>
        <v>0</v>
      </c>
      <c r="F5" s="45" t="n">
        <f aca="false">IFERROR(VLOOKUP(B5,'6. Geo Entropy Calc'!$B$4:$I$43,4,FALSE()),0)</f>
        <v>0</v>
      </c>
      <c r="G5" s="45" t="n">
        <f aca="false">IFERROR(VLOOKUP(B5,'6. Geo Entropy Calc'!$B$4:$I$43,6,FALSE()),0)</f>
        <v>0</v>
      </c>
      <c r="H5" s="60" t="n">
        <f aca="false">IFERROR(VLOOKUP(B5,'6. Geo Entropy Calc'!$B$4:$I$43,7,FALSE()),0)</f>
        <v>0</v>
      </c>
      <c r="I5" s="60" t="n">
        <f aca="false">IFERROR(VLOOKUP(B5,'3. Univ × Country Matrix'!$A$5:$X$44,24,FALSE()),0)</f>
        <v>0</v>
      </c>
      <c r="J5" s="28" t="str">
        <f aca="false">IF(H5&gt;=80,"Very High",IF(H5&gt;=60,"High",IF(H5&gt;=40,"Medium",IF(H5&gt;=20,"Low","Very Low"))))</f>
        <v>Very Low</v>
      </c>
    </row>
    <row r="6" customFormat="false" ht="15" hidden="false" customHeight="false" outlineLevel="0" collapsed="false">
      <c r="A6" s="30" t="n">
        <f aca="false">IFERROR(RANK(H6,$H$4:$H$43,0),"")</f>
        <v>1</v>
      </c>
      <c r="B6" s="24"/>
      <c r="C6" s="7" t="n">
        <f aca="false">IFERROR(VLOOKUP(B6,'6. Geo Entropy Calc'!$B$4:$I$43,2,FALSE()),0)</f>
        <v>0</v>
      </c>
      <c r="D6" s="7" t="n">
        <f aca="false">IFERROR(VLOOKUP(B6,'6. Geo Entropy Calc'!$B$4:$I$43,3,FALSE()),0)</f>
        <v>0</v>
      </c>
      <c r="E6" s="7" t="n">
        <f aca="false">IFERROR(VLOOKUP(B6,'4. Univ × Continent Matrix'!$A$5:$I$44,8,FALSE()),0)</f>
        <v>0</v>
      </c>
      <c r="F6" s="43" t="n">
        <f aca="false">IFERROR(VLOOKUP(B6,'6. Geo Entropy Calc'!$B$4:$I$43,4,FALSE()),0)</f>
        <v>0</v>
      </c>
      <c r="G6" s="43" t="n">
        <f aca="false">IFERROR(VLOOKUP(B6,'6. Geo Entropy Calc'!$B$4:$I$43,6,FALSE()),0)</f>
        <v>0</v>
      </c>
      <c r="H6" s="59" t="n">
        <f aca="false">IFERROR(VLOOKUP(B6,'6. Geo Entropy Calc'!$B$4:$I$43,7,FALSE()),0)</f>
        <v>0</v>
      </c>
      <c r="I6" s="59" t="n">
        <f aca="false">IFERROR(VLOOKUP(B6,'3. Univ × Country Matrix'!$A$5:$X$44,24,FALSE()),0)</f>
        <v>0</v>
      </c>
      <c r="J6" s="30" t="str">
        <f aca="false">IF(H6&gt;=80,"Very High",IF(H6&gt;=60,"High",IF(H6&gt;=40,"Medium",IF(H6&gt;=20,"Low","Very Low"))))</f>
        <v>Very Low</v>
      </c>
    </row>
    <row r="7" customFormat="false" ht="15" hidden="false" customHeight="false" outlineLevel="0" collapsed="false">
      <c r="A7" s="28" t="n">
        <f aca="false">IFERROR(RANK(H7,$H$4:$H$43,0),"")</f>
        <v>1</v>
      </c>
      <c r="B7" s="17"/>
      <c r="C7" s="4" t="n">
        <f aca="false">IFERROR(VLOOKUP(B7,'6. Geo Entropy Calc'!$B$4:$I$43,2,FALSE()),0)</f>
        <v>0</v>
      </c>
      <c r="D7" s="4" t="n">
        <f aca="false">IFERROR(VLOOKUP(B7,'6. Geo Entropy Calc'!$B$4:$I$43,3,FALSE()),0)</f>
        <v>0</v>
      </c>
      <c r="E7" s="4" t="n">
        <f aca="false">IFERROR(VLOOKUP(B7,'4. Univ × Continent Matrix'!$A$5:$I$44,8,FALSE()),0)</f>
        <v>0</v>
      </c>
      <c r="F7" s="45" t="n">
        <f aca="false">IFERROR(VLOOKUP(B7,'6. Geo Entropy Calc'!$B$4:$I$43,4,FALSE()),0)</f>
        <v>0</v>
      </c>
      <c r="G7" s="45" t="n">
        <f aca="false">IFERROR(VLOOKUP(B7,'6. Geo Entropy Calc'!$B$4:$I$43,6,FALSE()),0)</f>
        <v>0</v>
      </c>
      <c r="H7" s="60" t="n">
        <f aca="false">IFERROR(VLOOKUP(B7,'6. Geo Entropy Calc'!$B$4:$I$43,7,FALSE()),0)</f>
        <v>0</v>
      </c>
      <c r="I7" s="60" t="n">
        <f aca="false">IFERROR(VLOOKUP(B7,'3. Univ × Country Matrix'!$A$5:$X$44,24,FALSE()),0)</f>
        <v>0</v>
      </c>
      <c r="J7" s="28" t="str">
        <f aca="false">IF(H7&gt;=80,"Very High",IF(H7&gt;=60,"High",IF(H7&gt;=40,"Medium",IF(H7&gt;=20,"Low","Very Low"))))</f>
        <v>Very Low</v>
      </c>
    </row>
    <row r="8" customFormat="false" ht="15" hidden="false" customHeight="false" outlineLevel="0" collapsed="false">
      <c r="A8" s="30" t="n">
        <f aca="false">IFERROR(RANK(H8,$H$4:$H$43,0),"")</f>
        <v>1</v>
      </c>
      <c r="B8" s="24"/>
      <c r="C8" s="7" t="n">
        <f aca="false">IFERROR(VLOOKUP(B8,'6. Geo Entropy Calc'!$B$4:$I$43,2,FALSE()),0)</f>
        <v>0</v>
      </c>
      <c r="D8" s="7" t="n">
        <f aca="false">IFERROR(VLOOKUP(B8,'6. Geo Entropy Calc'!$B$4:$I$43,3,FALSE()),0)</f>
        <v>0</v>
      </c>
      <c r="E8" s="7" t="n">
        <f aca="false">IFERROR(VLOOKUP(B8,'4. Univ × Continent Matrix'!$A$5:$I$44,8,FALSE()),0)</f>
        <v>0</v>
      </c>
      <c r="F8" s="43" t="n">
        <f aca="false">IFERROR(VLOOKUP(B8,'6. Geo Entropy Calc'!$B$4:$I$43,4,FALSE()),0)</f>
        <v>0</v>
      </c>
      <c r="G8" s="43" t="n">
        <f aca="false">IFERROR(VLOOKUP(B8,'6. Geo Entropy Calc'!$B$4:$I$43,6,FALSE()),0)</f>
        <v>0</v>
      </c>
      <c r="H8" s="59" t="n">
        <f aca="false">IFERROR(VLOOKUP(B8,'6. Geo Entropy Calc'!$B$4:$I$43,7,FALSE()),0)</f>
        <v>0</v>
      </c>
      <c r="I8" s="59" t="n">
        <f aca="false">IFERROR(VLOOKUP(B8,'3. Univ × Country Matrix'!$A$5:$X$44,24,FALSE()),0)</f>
        <v>0</v>
      </c>
      <c r="J8" s="30" t="str">
        <f aca="false">IF(H8&gt;=80,"Very High",IF(H8&gt;=60,"High",IF(H8&gt;=40,"Medium",IF(H8&gt;=20,"Low","Very Low"))))</f>
        <v>Very Low</v>
      </c>
    </row>
    <row r="9" customFormat="false" ht="15" hidden="false" customHeight="false" outlineLevel="0" collapsed="false">
      <c r="A9" s="28" t="n">
        <f aca="false">IFERROR(RANK(H9,$H$4:$H$43,0),"")</f>
        <v>1</v>
      </c>
      <c r="B9" s="17"/>
      <c r="C9" s="4" t="n">
        <f aca="false">IFERROR(VLOOKUP(B9,'6. Geo Entropy Calc'!$B$4:$I$43,2,FALSE()),0)</f>
        <v>0</v>
      </c>
      <c r="D9" s="4" t="n">
        <f aca="false">IFERROR(VLOOKUP(B9,'6. Geo Entropy Calc'!$B$4:$I$43,3,FALSE()),0)</f>
        <v>0</v>
      </c>
      <c r="E9" s="4" t="n">
        <f aca="false">IFERROR(VLOOKUP(B9,'4. Univ × Continent Matrix'!$A$5:$I$44,8,FALSE()),0)</f>
        <v>0</v>
      </c>
      <c r="F9" s="45" t="n">
        <f aca="false">IFERROR(VLOOKUP(B9,'6. Geo Entropy Calc'!$B$4:$I$43,4,FALSE()),0)</f>
        <v>0</v>
      </c>
      <c r="G9" s="45" t="n">
        <f aca="false">IFERROR(VLOOKUP(B9,'6. Geo Entropy Calc'!$B$4:$I$43,6,FALSE()),0)</f>
        <v>0</v>
      </c>
      <c r="H9" s="60" t="n">
        <f aca="false">IFERROR(VLOOKUP(B9,'6. Geo Entropy Calc'!$B$4:$I$43,7,FALSE()),0)</f>
        <v>0</v>
      </c>
      <c r="I9" s="60" t="n">
        <f aca="false">IFERROR(VLOOKUP(B9,'3. Univ × Country Matrix'!$A$5:$X$44,24,FALSE()),0)</f>
        <v>0</v>
      </c>
      <c r="J9" s="28" t="str">
        <f aca="false">IF(H9&gt;=80,"Very High",IF(H9&gt;=60,"High",IF(H9&gt;=40,"Medium",IF(H9&gt;=20,"Low","Very Low"))))</f>
        <v>Very Low</v>
      </c>
    </row>
    <row r="10" customFormat="false" ht="15" hidden="false" customHeight="false" outlineLevel="0" collapsed="false">
      <c r="A10" s="30" t="n">
        <f aca="false">IFERROR(RANK(H10,$H$4:$H$43,0),"")</f>
        <v>1</v>
      </c>
      <c r="B10" s="24"/>
      <c r="C10" s="7" t="n">
        <f aca="false">IFERROR(VLOOKUP(B10,'6. Geo Entropy Calc'!$B$4:$I$43,2,FALSE()),0)</f>
        <v>0</v>
      </c>
      <c r="D10" s="7" t="n">
        <f aca="false">IFERROR(VLOOKUP(B10,'6. Geo Entropy Calc'!$B$4:$I$43,3,FALSE()),0)</f>
        <v>0</v>
      </c>
      <c r="E10" s="7" t="n">
        <f aca="false">IFERROR(VLOOKUP(B10,'4. Univ × Continent Matrix'!$A$5:$I$44,8,FALSE()),0)</f>
        <v>0</v>
      </c>
      <c r="F10" s="43" t="n">
        <f aca="false">IFERROR(VLOOKUP(B10,'6. Geo Entropy Calc'!$B$4:$I$43,4,FALSE()),0)</f>
        <v>0</v>
      </c>
      <c r="G10" s="43" t="n">
        <f aca="false">IFERROR(VLOOKUP(B10,'6. Geo Entropy Calc'!$B$4:$I$43,6,FALSE()),0)</f>
        <v>0</v>
      </c>
      <c r="H10" s="59" t="n">
        <f aca="false">IFERROR(VLOOKUP(B10,'6. Geo Entropy Calc'!$B$4:$I$43,7,FALSE()),0)</f>
        <v>0</v>
      </c>
      <c r="I10" s="59" t="n">
        <f aca="false">IFERROR(VLOOKUP(B10,'3. Univ × Country Matrix'!$A$5:$X$44,24,FALSE()),0)</f>
        <v>0</v>
      </c>
      <c r="J10" s="30" t="str">
        <f aca="false">IF(H10&gt;=80,"Very High",IF(H10&gt;=60,"High",IF(H10&gt;=40,"Medium",IF(H10&gt;=20,"Low","Very Low"))))</f>
        <v>Very Low</v>
      </c>
    </row>
    <row r="11" customFormat="false" ht="15" hidden="false" customHeight="false" outlineLevel="0" collapsed="false">
      <c r="A11" s="28" t="n">
        <f aca="false">IFERROR(RANK(H11,$H$4:$H$43,0),"")</f>
        <v>1</v>
      </c>
      <c r="B11" s="17"/>
      <c r="C11" s="4" t="n">
        <f aca="false">IFERROR(VLOOKUP(B11,'6. Geo Entropy Calc'!$B$4:$I$43,2,FALSE()),0)</f>
        <v>0</v>
      </c>
      <c r="D11" s="4" t="n">
        <f aca="false">IFERROR(VLOOKUP(B11,'6. Geo Entropy Calc'!$B$4:$I$43,3,FALSE()),0)</f>
        <v>0</v>
      </c>
      <c r="E11" s="4" t="n">
        <f aca="false">IFERROR(VLOOKUP(B11,'4. Univ × Continent Matrix'!$A$5:$I$44,8,FALSE()),0)</f>
        <v>0</v>
      </c>
      <c r="F11" s="45" t="n">
        <f aca="false">IFERROR(VLOOKUP(B11,'6. Geo Entropy Calc'!$B$4:$I$43,4,FALSE()),0)</f>
        <v>0</v>
      </c>
      <c r="G11" s="45" t="n">
        <f aca="false">IFERROR(VLOOKUP(B11,'6. Geo Entropy Calc'!$B$4:$I$43,6,FALSE()),0)</f>
        <v>0</v>
      </c>
      <c r="H11" s="60" t="n">
        <f aca="false">IFERROR(VLOOKUP(B11,'6. Geo Entropy Calc'!$B$4:$I$43,7,FALSE()),0)</f>
        <v>0</v>
      </c>
      <c r="I11" s="60" t="n">
        <f aca="false">IFERROR(VLOOKUP(B11,'3. Univ × Country Matrix'!$A$5:$X$44,24,FALSE()),0)</f>
        <v>0</v>
      </c>
      <c r="J11" s="28" t="str">
        <f aca="false">IF(H11&gt;=80,"Very High",IF(H11&gt;=60,"High",IF(H11&gt;=40,"Medium",IF(H11&gt;=20,"Low","Very Low"))))</f>
        <v>Very Low</v>
      </c>
    </row>
    <row r="12" customFormat="false" ht="15" hidden="false" customHeight="false" outlineLevel="0" collapsed="false">
      <c r="A12" s="30" t="n">
        <f aca="false">IFERROR(RANK(H12,$H$4:$H$43,0),"")</f>
        <v>1</v>
      </c>
      <c r="B12" s="24"/>
      <c r="C12" s="7" t="n">
        <f aca="false">IFERROR(VLOOKUP(B12,'6. Geo Entropy Calc'!$B$4:$I$43,2,FALSE()),0)</f>
        <v>0</v>
      </c>
      <c r="D12" s="7" t="n">
        <f aca="false">IFERROR(VLOOKUP(B12,'6. Geo Entropy Calc'!$B$4:$I$43,3,FALSE()),0)</f>
        <v>0</v>
      </c>
      <c r="E12" s="7" t="n">
        <f aca="false">IFERROR(VLOOKUP(B12,'4. Univ × Continent Matrix'!$A$5:$I$44,8,FALSE()),0)</f>
        <v>0</v>
      </c>
      <c r="F12" s="43" t="n">
        <f aca="false">IFERROR(VLOOKUP(B12,'6. Geo Entropy Calc'!$B$4:$I$43,4,FALSE()),0)</f>
        <v>0</v>
      </c>
      <c r="G12" s="43" t="n">
        <f aca="false">IFERROR(VLOOKUP(B12,'6. Geo Entropy Calc'!$B$4:$I$43,6,FALSE()),0)</f>
        <v>0</v>
      </c>
      <c r="H12" s="59" t="n">
        <f aca="false">IFERROR(VLOOKUP(B12,'6. Geo Entropy Calc'!$B$4:$I$43,7,FALSE()),0)</f>
        <v>0</v>
      </c>
      <c r="I12" s="59" t="n">
        <f aca="false">IFERROR(VLOOKUP(B12,'3. Univ × Country Matrix'!$A$5:$X$44,24,FALSE()),0)</f>
        <v>0</v>
      </c>
      <c r="J12" s="30" t="str">
        <f aca="false">IF(H12&gt;=80,"Very High",IF(H12&gt;=60,"High",IF(H12&gt;=40,"Medium",IF(H12&gt;=20,"Low","Very Low"))))</f>
        <v>Very Low</v>
      </c>
    </row>
    <row r="13" customFormat="false" ht="15" hidden="false" customHeight="false" outlineLevel="0" collapsed="false">
      <c r="A13" s="28" t="n">
        <f aca="false">IFERROR(RANK(H13,$H$4:$H$43,0),"")</f>
        <v>1</v>
      </c>
      <c r="B13" s="17"/>
      <c r="C13" s="4" t="n">
        <f aca="false">IFERROR(VLOOKUP(B13,'6. Geo Entropy Calc'!$B$4:$I$43,2,FALSE()),0)</f>
        <v>0</v>
      </c>
      <c r="D13" s="4" t="n">
        <f aca="false">IFERROR(VLOOKUP(B13,'6. Geo Entropy Calc'!$B$4:$I$43,3,FALSE()),0)</f>
        <v>0</v>
      </c>
      <c r="E13" s="4" t="n">
        <f aca="false">IFERROR(VLOOKUP(B13,'4. Univ × Continent Matrix'!$A$5:$I$44,8,FALSE()),0)</f>
        <v>0</v>
      </c>
      <c r="F13" s="45" t="n">
        <f aca="false">IFERROR(VLOOKUP(B13,'6. Geo Entropy Calc'!$B$4:$I$43,4,FALSE()),0)</f>
        <v>0</v>
      </c>
      <c r="G13" s="45" t="n">
        <f aca="false">IFERROR(VLOOKUP(B13,'6. Geo Entropy Calc'!$B$4:$I$43,6,FALSE()),0)</f>
        <v>0</v>
      </c>
      <c r="H13" s="60" t="n">
        <f aca="false">IFERROR(VLOOKUP(B13,'6. Geo Entropy Calc'!$B$4:$I$43,7,FALSE()),0)</f>
        <v>0</v>
      </c>
      <c r="I13" s="60" t="n">
        <f aca="false">IFERROR(VLOOKUP(B13,'3. Univ × Country Matrix'!$A$5:$X$44,24,FALSE()),0)</f>
        <v>0</v>
      </c>
      <c r="J13" s="28" t="str">
        <f aca="false">IF(H13&gt;=80,"Very High",IF(H13&gt;=60,"High",IF(H13&gt;=40,"Medium",IF(H13&gt;=20,"Low","Very Low"))))</f>
        <v>Very Low</v>
      </c>
    </row>
    <row r="14" customFormat="false" ht="15" hidden="false" customHeight="false" outlineLevel="0" collapsed="false">
      <c r="A14" s="30" t="n">
        <f aca="false">IFERROR(RANK(H14,$H$4:$H$43,0),"")</f>
        <v>1</v>
      </c>
      <c r="B14" s="24"/>
      <c r="C14" s="7" t="n">
        <f aca="false">IFERROR(VLOOKUP(B14,'6. Geo Entropy Calc'!$B$4:$I$43,2,FALSE()),0)</f>
        <v>0</v>
      </c>
      <c r="D14" s="7" t="n">
        <f aca="false">IFERROR(VLOOKUP(B14,'6. Geo Entropy Calc'!$B$4:$I$43,3,FALSE()),0)</f>
        <v>0</v>
      </c>
      <c r="E14" s="7" t="n">
        <f aca="false">IFERROR(VLOOKUP(B14,'4. Univ × Continent Matrix'!$A$5:$I$44,8,FALSE()),0)</f>
        <v>0</v>
      </c>
      <c r="F14" s="43" t="n">
        <f aca="false">IFERROR(VLOOKUP(B14,'6. Geo Entropy Calc'!$B$4:$I$43,4,FALSE()),0)</f>
        <v>0</v>
      </c>
      <c r="G14" s="43" t="n">
        <f aca="false">IFERROR(VLOOKUP(B14,'6. Geo Entropy Calc'!$B$4:$I$43,6,FALSE()),0)</f>
        <v>0</v>
      </c>
      <c r="H14" s="59" t="n">
        <f aca="false">IFERROR(VLOOKUP(B14,'6. Geo Entropy Calc'!$B$4:$I$43,7,FALSE()),0)</f>
        <v>0</v>
      </c>
      <c r="I14" s="59" t="n">
        <f aca="false">IFERROR(VLOOKUP(B14,'3. Univ × Country Matrix'!$A$5:$X$44,24,FALSE()),0)</f>
        <v>0</v>
      </c>
      <c r="J14" s="30" t="str">
        <f aca="false">IF(H14&gt;=80,"Very High",IF(H14&gt;=60,"High",IF(H14&gt;=40,"Medium",IF(H14&gt;=20,"Low","Very Low"))))</f>
        <v>Very Low</v>
      </c>
    </row>
    <row r="15" customFormat="false" ht="15" hidden="false" customHeight="false" outlineLevel="0" collapsed="false">
      <c r="A15" s="28" t="n">
        <f aca="false">IFERROR(RANK(H15,$H$4:$H$43,0),"")</f>
        <v>1</v>
      </c>
      <c r="B15" s="17"/>
      <c r="C15" s="4" t="n">
        <f aca="false">IFERROR(VLOOKUP(B15,'6. Geo Entropy Calc'!$B$4:$I$43,2,FALSE()),0)</f>
        <v>0</v>
      </c>
      <c r="D15" s="4" t="n">
        <f aca="false">IFERROR(VLOOKUP(B15,'6. Geo Entropy Calc'!$B$4:$I$43,3,FALSE()),0)</f>
        <v>0</v>
      </c>
      <c r="E15" s="4" t="n">
        <f aca="false">IFERROR(VLOOKUP(B15,'4. Univ × Continent Matrix'!$A$5:$I$44,8,FALSE()),0)</f>
        <v>0</v>
      </c>
      <c r="F15" s="45" t="n">
        <f aca="false">IFERROR(VLOOKUP(B15,'6. Geo Entropy Calc'!$B$4:$I$43,4,FALSE()),0)</f>
        <v>0</v>
      </c>
      <c r="G15" s="45" t="n">
        <f aca="false">IFERROR(VLOOKUP(B15,'6. Geo Entropy Calc'!$B$4:$I$43,6,FALSE()),0)</f>
        <v>0</v>
      </c>
      <c r="H15" s="60" t="n">
        <f aca="false">IFERROR(VLOOKUP(B15,'6. Geo Entropy Calc'!$B$4:$I$43,7,FALSE()),0)</f>
        <v>0</v>
      </c>
      <c r="I15" s="60" t="n">
        <f aca="false">IFERROR(VLOOKUP(B15,'3. Univ × Country Matrix'!$A$5:$X$44,24,FALSE()),0)</f>
        <v>0</v>
      </c>
      <c r="J15" s="28" t="str">
        <f aca="false">IF(H15&gt;=80,"Very High",IF(H15&gt;=60,"High",IF(H15&gt;=40,"Medium",IF(H15&gt;=20,"Low","Very Low"))))</f>
        <v>Very Low</v>
      </c>
    </row>
    <row r="16" customFormat="false" ht="15" hidden="false" customHeight="false" outlineLevel="0" collapsed="false">
      <c r="A16" s="30" t="n">
        <f aca="false">IFERROR(RANK(H16,$H$4:$H$43,0),"")</f>
        <v>1</v>
      </c>
      <c r="B16" s="24"/>
      <c r="C16" s="7" t="n">
        <f aca="false">IFERROR(VLOOKUP(B16,'6. Geo Entropy Calc'!$B$4:$I$43,2,FALSE()),0)</f>
        <v>0</v>
      </c>
      <c r="D16" s="7" t="n">
        <f aca="false">IFERROR(VLOOKUP(B16,'6. Geo Entropy Calc'!$B$4:$I$43,3,FALSE()),0)</f>
        <v>0</v>
      </c>
      <c r="E16" s="7" t="n">
        <f aca="false">IFERROR(VLOOKUP(B16,'4. Univ × Continent Matrix'!$A$5:$I$44,8,FALSE()),0)</f>
        <v>0</v>
      </c>
      <c r="F16" s="43" t="n">
        <f aca="false">IFERROR(VLOOKUP(B16,'6. Geo Entropy Calc'!$B$4:$I$43,4,FALSE()),0)</f>
        <v>0</v>
      </c>
      <c r="G16" s="43" t="n">
        <f aca="false">IFERROR(VLOOKUP(B16,'6. Geo Entropy Calc'!$B$4:$I$43,6,FALSE()),0)</f>
        <v>0</v>
      </c>
      <c r="H16" s="59" t="n">
        <f aca="false">IFERROR(VLOOKUP(B16,'6. Geo Entropy Calc'!$B$4:$I$43,7,FALSE()),0)</f>
        <v>0</v>
      </c>
      <c r="I16" s="59" t="n">
        <f aca="false">IFERROR(VLOOKUP(B16,'3. Univ × Country Matrix'!$A$5:$X$44,24,FALSE()),0)</f>
        <v>0</v>
      </c>
      <c r="J16" s="30" t="str">
        <f aca="false">IF(H16&gt;=80,"Very High",IF(H16&gt;=60,"High",IF(H16&gt;=40,"Medium",IF(H16&gt;=20,"Low","Very Low"))))</f>
        <v>Very Low</v>
      </c>
    </row>
    <row r="17" customFormat="false" ht="15" hidden="false" customHeight="false" outlineLevel="0" collapsed="false">
      <c r="A17" s="28" t="n">
        <f aca="false">IFERROR(RANK(H17,$H$4:$H$43,0),"")</f>
        <v>1</v>
      </c>
      <c r="B17" s="17"/>
      <c r="C17" s="4" t="n">
        <f aca="false">IFERROR(VLOOKUP(B17,'6. Geo Entropy Calc'!$B$4:$I$43,2,FALSE()),0)</f>
        <v>0</v>
      </c>
      <c r="D17" s="4" t="n">
        <f aca="false">IFERROR(VLOOKUP(B17,'6. Geo Entropy Calc'!$B$4:$I$43,3,FALSE()),0)</f>
        <v>0</v>
      </c>
      <c r="E17" s="4" t="n">
        <f aca="false">IFERROR(VLOOKUP(B17,'4. Univ × Continent Matrix'!$A$5:$I$44,8,FALSE()),0)</f>
        <v>0</v>
      </c>
      <c r="F17" s="45" t="n">
        <f aca="false">IFERROR(VLOOKUP(B17,'6. Geo Entropy Calc'!$B$4:$I$43,4,FALSE()),0)</f>
        <v>0</v>
      </c>
      <c r="G17" s="45" t="n">
        <f aca="false">IFERROR(VLOOKUP(B17,'6. Geo Entropy Calc'!$B$4:$I$43,6,FALSE()),0)</f>
        <v>0</v>
      </c>
      <c r="H17" s="60" t="n">
        <f aca="false">IFERROR(VLOOKUP(B17,'6. Geo Entropy Calc'!$B$4:$I$43,7,FALSE()),0)</f>
        <v>0</v>
      </c>
      <c r="I17" s="60" t="n">
        <f aca="false">IFERROR(VLOOKUP(B17,'3. Univ × Country Matrix'!$A$5:$X$44,24,FALSE()),0)</f>
        <v>0</v>
      </c>
      <c r="J17" s="28" t="str">
        <f aca="false">IF(H17&gt;=80,"Very High",IF(H17&gt;=60,"High",IF(H17&gt;=40,"Medium",IF(H17&gt;=20,"Low","Very Low"))))</f>
        <v>Very Low</v>
      </c>
    </row>
    <row r="18" customFormat="false" ht="15" hidden="false" customHeight="false" outlineLevel="0" collapsed="false">
      <c r="A18" s="30" t="n">
        <f aca="false">IFERROR(RANK(H18,$H$4:$H$43,0),"")</f>
        <v>1</v>
      </c>
      <c r="B18" s="24"/>
      <c r="C18" s="7" t="n">
        <f aca="false">IFERROR(VLOOKUP(B18,'6. Geo Entropy Calc'!$B$4:$I$43,2,FALSE()),0)</f>
        <v>0</v>
      </c>
      <c r="D18" s="7" t="n">
        <f aca="false">IFERROR(VLOOKUP(B18,'6. Geo Entropy Calc'!$B$4:$I$43,3,FALSE()),0)</f>
        <v>0</v>
      </c>
      <c r="E18" s="7" t="n">
        <f aca="false">IFERROR(VLOOKUP(B18,'4. Univ × Continent Matrix'!$A$5:$I$44,8,FALSE()),0)</f>
        <v>0</v>
      </c>
      <c r="F18" s="43" t="n">
        <f aca="false">IFERROR(VLOOKUP(B18,'6. Geo Entropy Calc'!$B$4:$I$43,4,FALSE()),0)</f>
        <v>0</v>
      </c>
      <c r="G18" s="43" t="n">
        <f aca="false">IFERROR(VLOOKUP(B18,'6. Geo Entropy Calc'!$B$4:$I$43,6,FALSE()),0)</f>
        <v>0</v>
      </c>
      <c r="H18" s="59" t="n">
        <f aca="false">IFERROR(VLOOKUP(B18,'6. Geo Entropy Calc'!$B$4:$I$43,7,FALSE()),0)</f>
        <v>0</v>
      </c>
      <c r="I18" s="59" t="n">
        <f aca="false">IFERROR(VLOOKUP(B18,'3. Univ × Country Matrix'!$A$5:$X$44,24,FALSE()),0)</f>
        <v>0</v>
      </c>
      <c r="J18" s="30" t="str">
        <f aca="false">IF(H18&gt;=80,"Very High",IF(H18&gt;=60,"High",IF(H18&gt;=40,"Medium",IF(H18&gt;=20,"Low","Very Low"))))</f>
        <v>Very Low</v>
      </c>
    </row>
    <row r="19" customFormat="false" ht="15" hidden="false" customHeight="false" outlineLevel="0" collapsed="false">
      <c r="A19" s="28" t="n">
        <f aca="false">IFERROR(RANK(H19,$H$4:$H$43,0),"")</f>
        <v>1</v>
      </c>
      <c r="B19" s="17"/>
      <c r="C19" s="4" t="n">
        <f aca="false">IFERROR(VLOOKUP(B19,'6. Geo Entropy Calc'!$B$4:$I$43,2,FALSE()),0)</f>
        <v>0</v>
      </c>
      <c r="D19" s="4" t="n">
        <f aca="false">IFERROR(VLOOKUP(B19,'6. Geo Entropy Calc'!$B$4:$I$43,3,FALSE()),0)</f>
        <v>0</v>
      </c>
      <c r="E19" s="4" t="n">
        <f aca="false">IFERROR(VLOOKUP(B19,'4. Univ × Continent Matrix'!$A$5:$I$44,8,FALSE()),0)</f>
        <v>0</v>
      </c>
      <c r="F19" s="45" t="n">
        <f aca="false">IFERROR(VLOOKUP(B19,'6. Geo Entropy Calc'!$B$4:$I$43,4,FALSE()),0)</f>
        <v>0</v>
      </c>
      <c r="G19" s="45" t="n">
        <f aca="false">IFERROR(VLOOKUP(B19,'6. Geo Entropy Calc'!$B$4:$I$43,6,FALSE()),0)</f>
        <v>0</v>
      </c>
      <c r="H19" s="60" t="n">
        <f aca="false">IFERROR(VLOOKUP(B19,'6. Geo Entropy Calc'!$B$4:$I$43,7,FALSE()),0)</f>
        <v>0</v>
      </c>
      <c r="I19" s="60" t="n">
        <f aca="false">IFERROR(VLOOKUP(B19,'3. Univ × Country Matrix'!$A$5:$X$44,24,FALSE()),0)</f>
        <v>0</v>
      </c>
      <c r="J19" s="28" t="str">
        <f aca="false">IF(H19&gt;=80,"Very High",IF(H19&gt;=60,"High",IF(H19&gt;=40,"Medium",IF(H19&gt;=20,"Low","Very Low"))))</f>
        <v>Very Low</v>
      </c>
    </row>
    <row r="20" customFormat="false" ht="15" hidden="false" customHeight="false" outlineLevel="0" collapsed="false">
      <c r="A20" s="30" t="n">
        <f aca="false">IFERROR(RANK(H20,$H$4:$H$43,0),"")</f>
        <v>1</v>
      </c>
      <c r="B20" s="24"/>
      <c r="C20" s="7" t="n">
        <f aca="false">IFERROR(VLOOKUP(B20,'6. Geo Entropy Calc'!$B$4:$I$43,2,FALSE()),0)</f>
        <v>0</v>
      </c>
      <c r="D20" s="7" t="n">
        <f aca="false">IFERROR(VLOOKUP(B20,'6. Geo Entropy Calc'!$B$4:$I$43,3,FALSE()),0)</f>
        <v>0</v>
      </c>
      <c r="E20" s="7" t="n">
        <f aca="false">IFERROR(VLOOKUP(B20,'4. Univ × Continent Matrix'!$A$5:$I$44,8,FALSE()),0)</f>
        <v>0</v>
      </c>
      <c r="F20" s="43" t="n">
        <f aca="false">IFERROR(VLOOKUP(B20,'6. Geo Entropy Calc'!$B$4:$I$43,4,FALSE()),0)</f>
        <v>0</v>
      </c>
      <c r="G20" s="43" t="n">
        <f aca="false">IFERROR(VLOOKUP(B20,'6. Geo Entropy Calc'!$B$4:$I$43,6,FALSE()),0)</f>
        <v>0</v>
      </c>
      <c r="H20" s="59" t="n">
        <f aca="false">IFERROR(VLOOKUP(B20,'6. Geo Entropy Calc'!$B$4:$I$43,7,FALSE()),0)</f>
        <v>0</v>
      </c>
      <c r="I20" s="59" t="n">
        <f aca="false">IFERROR(VLOOKUP(B20,'3. Univ × Country Matrix'!$A$5:$X$44,24,FALSE()),0)</f>
        <v>0</v>
      </c>
      <c r="J20" s="30" t="str">
        <f aca="false">IF(H20&gt;=80,"Very High",IF(H20&gt;=60,"High",IF(H20&gt;=40,"Medium",IF(H20&gt;=20,"Low","Very Low"))))</f>
        <v>Very Low</v>
      </c>
    </row>
    <row r="21" customFormat="false" ht="15" hidden="false" customHeight="false" outlineLevel="0" collapsed="false">
      <c r="A21" s="28" t="n">
        <f aca="false">IFERROR(RANK(H21,$H$4:$H$43,0),"")</f>
        <v>1</v>
      </c>
      <c r="B21" s="17"/>
      <c r="C21" s="4" t="n">
        <f aca="false">IFERROR(VLOOKUP(B21,'6. Geo Entropy Calc'!$B$4:$I$43,2,FALSE()),0)</f>
        <v>0</v>
      </c>
      <c r="D21" s="4" t="n">
        <f aca="false">IFERROR(VLOOKUP(B21,'6. Geo Entropy Calc'!$B$4:$I$43,3,FALSE()),0)</f>
        <v>0</v>
      </c>
      <c r="E21" s="4" t="n">
        <f aca="false">IFERROR(VLOOKUP(B21,'4. Univ × Continent Matrix'!$A$5:$I$44,8,FALSE()),0)</f>
        <v>0</v>
      </c>
      <c r="F21" s="45" t="n">
        <f aca="false">IFERROR(VLOOKUP(B21,'6. Geo Entropy Calc'!$B$4:$I$43,4,FALSE()),0)</f>
        <v>0</v>
      </c>
      <c r="G21" s="45" t="n">
        <f aca="false">IFERROR(VLOOKUP(B21,'6. Geo Entropy Calc'!$B$4:$I$43,6,FALSE()),0)</f>
        <v>0</v>
      </c>
      <c r="H21" s="60" t="n">
        <f aca="false">IFERROR(VLOOKUP(B21,'6. Geo Entropy Calc'!$B$4:$I$43,7,FALSE()),0)</f>
        <v>0</v>
      </c>
      <c r="I21" s="60" t="n">
        <f aca="false">IFERROR(VLOOKUP(B21,'3. Univ × Country Matrix'!$A$5:$X$44,24,FALSE()),0)</f>
        <v>0</v>
      </c>
      <c r="J21" s="28" t="str">
        <f aca="false">IF(H21&gt;=80,"Very High",IF(H21&gt;=60,"High",IF(H21&gt;=40,"Medium",IF(H21&gt;=20,"Low","Very Low"))))</f>
        <v>Very Low</v>
      </c>
    </row>
    <row r="22" customFormat="false" ht="15" hidden="false" customHeight="false" outlineLevel="0" collapsed="false">
      <c r="A22" s="30" t="n">
        <f aca="false">IFERROR(RANK(H22,$H$4:$H$43,0),"")</f>
        <v>1</v>
      </c>
      <c r="B22" s="24"/>
      <c r="C22" s="7" t="n">
        <f aca="false">IFERROR(VLOOKUP(B22,'6. Geo Entropy Calc'!$B$4:$I$43,2,FALSE()),0)</f>
        <v>0</v>
      </c>
      <c r="D22" s="7" t="n">
        <f aca="false">IFERROR(VLOOKUP(B22,'6. Geo Entropy Calc'!$B$4:$I$43,3,FALSE()),0)</f>
        <v>0</v>
      </c>
      <c r="E22" s="7" t="n">
        <f aca="false">IFERROR(VLOOKUP(B22,'4. Univ × Continent Matrix'!$A$5:$I$44,8,FALSE()),0)</f>
        <v>0</v>
      </c>
      <c r="F22" s="43" t="n">
        <f aca="false">IFERROR(VLOOKUP(B22,'6. Geo Entropy Calc'!$B$4:$I$43,4,FALSE()),0)</f>
        <v>0</v>
      </c>
      <c r="G22" s="43" t="n">
        <f aca="false">IFERROR(VLOOKUP(B22,'6. Geo Entropy Calc'!$B$4:$I$43,6,FALSE()),0)</f>
        <v>0</v>
      </c>
      <c r="H22" s="59" t="n">
        <f aca="false">IFERROR(VLOOKUP(B22,'6. Geo Entropy Calc'!$B$4:$I$43,7,FALSE()),0)</f>
        <v>0</v>
      </c>
      <c r="I22" s="59" t="n">
        <f aca="false">IFERROR(VLOOKUP(B22,'3. Univ × Country Matrix'!$A$5:$X$44,24,FALSE()),0)</f>
        <v>0</v>
      </c>
      <c r="J22" s="30" t="str">
        <f aca="false">IF(H22&gt;=80,"Very High",IF(H22&gt;=60,"High",IF(H22&gt;=40,"Medium",IF(H22&gt;=20,"Low","Very Low"))))</f>
        <v>Very Low</v>
      </c>
    </row>
    <row r="23" customFormat="false" ht="15" hidden="false" customHeight="false" outlineLevel="0" collapsed="false">
      <c r="A23" s="28" t="n">
        <f aca="false">IFERROR(RANK(H23,$H$4:$H$43,0),"")</f>
        <v>1</v>
      </c>
      <c r="B23" s="17"/>
      <c r="C23" s="4" t="n">
        <f aca="false">IFERROR(VLOOKUP(B23,'6. Geo Entropy Calc'!$B$4:$I$43,2,FALSE()),0)</f>
        <v>0</v>
      </c>
      <c r="D23" s="4" t="n">
        <f aca="false">IFERROR(VLOOKUP(B23,'6. Geo Entropy Calc'!$B$4:$I$43,3,FALSE()),0)</f>
        <v>0</v>
      </c>
      <c r="E23" s="4" t="n">
        <f aca="false">IFERROR(VLOOKUP(B23,'4. Univ × Continent Matrix'!$A$5:$I$44,8,FALSE()),0)</f>
        <v>0</v>
      </c>
      <c r="F23" s="45" t="n">
        <f aca="false">IFERROR(VLOOKUP(B23,'6. Geo Entropy Calc'!$B$4:$I$43,4,FALSE()),0)</f>
        <v>0</v>
      </c>
      <c r="G23" s="45" t="n">
        <f aca="false">IFERROR(VLOOKUP(B23,'6. Geo Entropy Calc'!$B$4:$I$43,6,FALSE()),0)</f>
        <v>0</v>
      </c>
      <c r="H23" s="60" t="n">
        <f aca="false">IFERROR(VLOOKUP(B23,'6. Geo Entropy Calc'!$B$4:$I$43,7,FALSE()),0)</f>
        <v>0</v>
      </c>
      <c r="I23" s="60" t="n">
        <f aca="false">IFERROR(VLOOKUP(B23,'3. Univ × Country Matrix'!$A$5:$X$44,24,FALSE()),0)</f>
        <v>0</v>
      </c>
      <c r="J23" s="28" t="str">
        <f aca="false">IF(H23&gt;=80,"Very High",IF(H23&gt;=60,"High",IF(H23&gt;=40,"Medium",IF(H23&gt;=20,"Low","Very Low"))))</f>
        <v>Very Low</v>
      </c>
    </row>
    <row r="24" customFormat="false" ht="15" hidden="false" customHeight="false" outlineLevel="0" collapsed="false">
      <c r="A24" s="30" t="n">
        <f aca="false">IFERROR(RANK(H24,$H$4:$H$43,0),"")</f>
        <v>1</v>
      </c>
      <c r="B24" s="24"/>
      <c r="C24" s="7" t="n">
        <f aca="false">IFERROR(VLOOKUP(B24,'6. Geo Entropy Calc'!$B$4:$I$43,2,FALSE()),0)</f>
        <v>0</v>
      </c>
      <c r="D24" s="7" t="n">
        <f aca="false">IFERROR(VLOOKUP(B24,'6. Geo Entropy Calc'!$B$4:$I$43,3,FALSE()),0)</f>
        <v>0</v>
      </c>
      <c r="E24" s="7" t="n">
        <f aca="false">IFERROR(VLOOKUP(B24,'4. Univ × Continent Matrix'!$A$5:$I$44,8,FALSE()),0)</f>
        <v>0</v>
      </c>
      <c r="F24" s="43" t="n">
        <f aca="false">IFERROR(VLOOKUP(B24,'6. Geo Entropy Calc'!$B$4:$I$43,4,FALSE()),0)</f>
        <v>0</v>
      </c>
      <c r="G24" s="43" t="n">
        <f aca="false">IFERROR(VLOOKUP(B24,'6. Geo Entropy Calc'!$B$4:$I$43,6,FALSE()),0)</f>
        <v>0</v>
      </c>
      <c r="H24" s="59" t="n">
        <f aca="false">IFERROR(VLOOKUP(B24,'6. Geo Entropy Calc'!$B$4:$I$43,7,FALSE()),0)</f>
        <v>0</v>
      </c>
      <c r="I24" s="59" t="n">
        <f aca="false">IFERROR(VLOOKUP(B24,'3. Univ × Country Matrix'!$A$5:$X$44,24,FALSE()),0)</f>
        <v>0</v>
      </c>
      <c r="J24" s="30" t="str">
        <f aca="false">IF(H24&gt;=80,"Very High",IF(H24&gt;=60,"High",IF(H24&gt;=40,"Medium",IF(H24&gt;=20,"Low","Very Low"))))</f>
        <v>Very Low</v>
      </c>
    </row>
    <row r="25" customFormat="false" ht="15" hidden="false" customHeight="false" outlineLevel="0" collapsed="false">
      <c r="A25" s="28" t="n">
        <f aca="false">IFERROR(RANK(H25,$H$4:$H$43,0),"")</f>
        <v>1</v>
      </c>
      <c r="B25" s="17"/>
      <c r="C25" s="4" t="n">
        <f aca="false">IFERROR(VLOOKUP(B25,'6. Geo Entropy Calc'!$B$4:$I$43,2,FALSE()),0)</f>
        <v>0</v>
      </c>
      <c r="D25" s="4" t="n">
        <f aca="false">IFERROR(VLOOKUP(B25,'6. Geo Entropy Calc'!$B$4:$I$43,3,FALSE()),0)</f>
        <v>0</v>
      </c>
      <c r="E25" s="4" t="n">
        <f aca="false">IFERROR(VLOOKUP(B25,'4. Univ × Continent Matrix'!$A$5:$I$44,8,FALSE()),0)</f>
        <v>0</v>
      </c>
      <c r="F25" s="45" t="n">
        <f aca="false">IFERROR(VLOOKUP(B25,'6. Geo Entropy Calc'!$B$4:$I$43,4,FALSE()),0)</f>
        <v>0</v>
      </c>
      <c r="G25" s="45" t="n">
        <f aca="false">IFERROR(VLOOKUP(B25,'6. Geo Entropy Calc'!$B$4:$I$43,6,FALSE()),0)</f>
        <v>0</v>
      </c>
      <c r="H25" s="60" t="n">
        <f aca="false">IFERROR(VLOOKUP(B25,'6. Geo Entropy Calc'!$B$4:$I$43,7,FALSE()),0)</f>
        <v>0</v>
      </c>
      <c r="I25" s="60" t="n">
        <f aca="false">IFERROR(VLOOKUP(B25,'3. Univ × Country Matrix'!$A$5:$X$44,24,FALSE()),0)</f>
        <v>0</v>
      </c>
      <c r="J25" s="28" t="str">
        <f aca="false">IF(H25&gt;=80,"Very High",IF(H25&gt;=60,"High",IF(H25&gt;=40,"Medium",IF(H25&gt;=20,"Low","Very Low"))))</f>
        <v>Very Low</v>
      </c>
    </row>
    <row r="26" customFormat="false" ht="15" hidden="false" customHeight="false" outlineLevel="0" collapsed="false">
      <c r="A26" s="30" t="n">
        <f aca="false">IFERROR(RANK(H26,$H$4:$H$43,0),"")</f>
        <v>1</v>
      </c>
      <c r="B26" s="24"/>
      <c r="C26" s="7" t="n">
        <f aca="false">IFERROR(VLOOKUP(B26,'6. Geo Entropy Calc'!$B$4:$I$43,2,FALSE()),0)</f>
        <v>0</v>
      </c>
      <c r="D26" s="7" t="n">
        <f aca="false">IFERROR(VLOOKUP(B26,'6. Geo Entropy Calc'!$B$4:$I$43,3,FALSE()),0)</f>
        <v>0</v>
      </c>
      <c r="E26" s="7" t="n">
        <f aca="false">IFERROR(VLOOKUP(B26,'4. Univ × Continent Matrix'!$A$5:$I$44,8,FALSE()),0)</f>
        <v>0</v>
      </c>
      <c r="F26" s="43" t="n">
        <f aca="false">IFERROR(VLOOKUP(B26,'6. Geo Entropy Calc'!$B$4:$I$43,4,FALSE()),0)</f>
        <v>0</v>
      </c>
      <c r="G26" s="43" t="n">
        <f aca="false">IFERROR(VLOOKUP(B26,'6. Geo Entropy Calc'!$B$4:$I$43,6,FALSE()),0)</f>
        <v>0</v>
      </c>
      <c r="H26" s="59" t="n">
        <f aca="false">IFERROR(VLOOKUP(B26,'6. Geo Entropy Calc'!$B$4:$I$43,7,FALSE()),0)</f>
        <v>0</v>
      </c>
      <c r="I26" s="59" t="n">
        <f aca="false">IFERROR(VLOOKUP(B26,'3. Univ × Country Matrix'!$A$5:$X$44,24,FALSE()),0)</f>
        <v>0</v>
      </c>
      <c r="J26" s="30" t="str">
        <f aca="false">IF(H26&gt;=80,"Very High",IF(H26&gt;=60,"High",IF(H26&gt;=40,"Medium",IF(H26&gt;=20,"Low","Very Low"))))</f>
        <v>Very Low</v>
      </c>
    </row>
    <row r="27" customFormat="false" ht="15" hidden="false" customHeight="false" outlineLevel="0" collapsed="false">
      <c r="A27" s="28" t="n">
        <f aca="false">IFERROR(RANK(H27,$H$4:$H$43,0),"")</f>
        <v>1</v>
      </c>
      <c r="B27" s="17"/>
      <c r="C27" s="4" t="n">
        <f aca="false">IFERROR(VLOOKUP(B27,'6. Geo Entropy Calc'!$B$4:$I$43,2,FALSE()),0)</f>
        <v>0</v>
      </c>
      <c r="D27" s="4" t="n">
        <f aca="false">IFERROR(VLOOKUP(B27,'6. Geo Entropy Calc'!$B$4:$I$43,3,FALSE()),0)</f>
        <v>0</v>
      </c>
      <c r="E27" s="4" t="n">
        <f aca="false">IFERROR(VLOOKUP(B27,'4. Univ × Continent Matrix'!$A$5:$I$44,8,FALSE()),0)</f>
        <v>0</v>
      </c>
      <c r="F27" s="45" t="n">
        <f aca="false">IFERROR(VLOOKUP(B27,'6. Geo Entropy Calc'!$B$4:$I$43,4,FALSE()),0)</f>
        <v>0</v>
      </c>
      <c r="G27" s="45" t="n">
        <f aca="false">IFERROR(VLOOKUP(B27,'6. Geo Entropy Calc'!$B$4:$I$43,6,FALSE()),0)</f>
        <v>0</v>
      </c>
      <c r="H27" s="60" t="n">
        <f aca="false">IFERROR(VLOOKUP(B27,'6. Geo Entropy Calc'!$B$4:$I$43,7,FALSE()),0)</f>
        <v>0</v>
      </c>
      <c r="I27" s="60" t="n">
        <f aca="false">IFERROR(VLOOKUP(B27,'3. Univ × Country Matrix'!$A$5:$X$44,24,FALSE()),0)</f>
        <v>0</v>
      </c>
      <c r="J27" s="28" t="str">
        <f aca="false">IF(H27&gt;=80,"Very High",IF(H27&gt;=60,"High",IF(H27&gt;=40,"Medium",IF(H27&gt;=20,"Low","Very Low"))))</f>
        <v>Very Low</v>
      </c>
    </row>
    <row r="28" customFormat="false" ht="15" hidden="false" customHeight="false" outlineLevel="0" collapsed="false">
      <c r="A28" s="30" t="n">
        <f aca="false">IFERROR(RANK(H28,$H$4:$H$43,0),"")</f>
        <v>1</v>
      </c>
      <c r="B28" s="24"/>
      <c r="C28" s="7" t="n">
        <f aca="false">IFERROR(VLOOKUP(B28,'6. Geo Entropy Calc'!$B$4:$I$43,2,FALSE()),0)</f>
        <v>0</v>
      </c>
      <c r="D28" s="7" t="n">
        <f aca="false">IFERROR(VLOOKUP(B28,'6. Geo Entropy Calc'!$B$4:$I$43,3,FALSE()),0)</f>
        <v>0</v>
      </c>
      <c r="E28" s="7" t="n">
        <f aca="false">IFERROR(VLOOKUP(B28,'4. Univ × Continent Matrix'!$A$5:$I$44,8,FALSE()),0)</f>
        <v>0</v>
      </c>
      <c r="F28" s="43" t="n">
        <f aca="false">IFERROR(VLOOKUP(B28,'6. Geo Entropy Calc'!$B$4:$I$43,4,FALSE()),0)</f>
        <v>0</v>
      </c>
      <c r="G28" s="43" t="n">
        <f aca="false">IFERROR(VLOOKUP(B28,'6. Geo Entropy Calc'!$B$4:$I$43,6,FALSE()),0)</f>
        <v>0</v>
      </c>
      <c r="H28" s="59" t="n">
        <f aca="false">IFERROR(VLOOKUP(B28,'6. Geo Entropy Calc'!$B$4:$I$43,7,FALSE()),0)</f>
        <v>0</v>
      </c>
      <c r="I28" s="59" t="n">
        <f aca="false">IFERROR(VLOOKUP(B28,'3. Univ × Country Matrix'!$A$5:$X$44,24,FALSE()),0)</f>
        <v>0</v>
      </c>
      <c r="J28" s="30" t="str">
        <f aca="false">IF(H28&gt;=80,"Very High",IF(H28&gt;=60,"High",IF(H28&gt;=40,"Medium",IF(H28&gt;=20,"Low","Very Low"))))</f>
        <v>Very Low</v>
      </c>
    </row>
    <row r="29" customFormat="false" ht="15" hidden="false" customHeight="false" outlineLevel="0" collapsed="false">
      <c r="A29" s="28" t="n">
        <f aca="false">IFERROR(RANK(H29,$H$4:$H$43,0),"")</f>
        <v>1</v>
      </c>
      <c r="B29" s="17"/>
      <c r="C29" s="4" t="n">
        <f aca="false">IFERROR(VLOOKUP(B29,'6. Geo Entropy Calc'!$B$4:$I$43,2,FALSE()),0)</f>
        <v>0</v>
      </c>
      <c r="D29" s="4" t="n">
        <f aca="false">IFERROR(VLOOKUP(B29,'6. Geo Entropy Calc'!$B$4:$I$43,3,FALSE()),0)</f>
        <v>0</v>
      </c>
      <c r="E29" s="4" t="n">
        <f aca="false">IFERROR(VLOOKUP(B29,'4. Univ × Continent Matrix'!$A$5:$I$44,8,FALSE()),0)</f>
        <v>0</v>
      </c>
      <c r="F29" s="45" t="n">
        <f aca="false">IFERROR(VLOOKUP(B29,'6. Geo Entropy Calc'!$B$4:$I$43,4,FALSE()),0)</f>
        <v>0</v>
      </c>
      <c r="G29" s="45" t="n">
        <f aca="false">IFERROR(VLOOKUP(B29,'6. Geo Entropy Calc'!$B$4:$I$43,6,FALSE()),0)</f>
        <v>0</v>
      </c>
      <c r="H29" s="60" t="n">
        <f aca="false">IFERROR(VLOOKUP(B29,'6. Geo Entropy Calc'!$B$4:$I$43,7,FALSE()),0)</f>
        <v>0</v>
      </c>
      <c r="I29" s="60" t="n">
        <f aca="false">IFERROR(VLOOKUP(B29,'3. Univ × Country Matrix'!$A$5:$X$44,24,FALSE()),0)</f>
        <v>0</v>
      </c>
      <c r="J29" s="28" t="str">
        <f aca="false">IF(H29&gt;=80,"Very High",IF(H29&gt;=60,"High",IF(H29&gt;=40,"Medium",IF(H29&gt;=20,"Low","Very Low"))))</f>
        <v>Very Low</v>
      </c>
    </row>
    <row r="30" customFormat="false" ht="15" hidden="false" customHeight="false" outlineLevel="0" collapsed="false">
      <c r="A30" s="30" t="n">
        <f aca="false">IFERROR(RANK(H30,$H$4:$H$43,0),"")</f>
        <v>1</v>
      </c>
      <c r="B30" s="24"/>
      <c r="C30" s="7" t="n">
        <f aca="false">IFERROR(VLOOKUP(B30,'6. Geo Entropy Calc'!$B$4:$I$43,2,FALSE()),0)</f>
        <v>0</v>
      </c>
      <c r="D30" s="7" t="n">
        <f aca="false">IFERROR(VLOOKUP(B30,'6. Geo Entropy Calc'!$B$4:$I$43,3,FALSE()),0)</f>
        <v>0</v>
      </c>
      <c r="E30" s="7" t="n">
        <f aca="false">IFERROR(VLOOKUP(B30,'4. Univ × Continent Matrix'!$A$5:$I$44,8,FALSE()),0)</f>
        <v>0</v>
      </c>
      <c r="F30" s="43" t="n">
        <f aca="false">IFERROR(VLOOKUP(B30,'6. Geo Entropy Calc'!$B$4:$I$43,4,FALSE()),0)</f>
        <v>0</v>
      </c>
      <c r="G30" s="43" t="n">
        <f aca="false">IFERROR(VLOOKUP(B30,'6. Geo Entropy Calc'!$B$4:$I$43,6,FALSE()),0)</f>
        <v>0</v>
      </c>
      <c r="H30" s="59" t="n">
        <f aca="false">IFERROR(VLOOKUP(B30,'6. Geo Entropy Calc'!$B$4:$I$43,7,FALSE()),0)</f>
        <v>0</v>
      </c>
      <c r="I30" s="59" t="n">
        <f aca="false">IFERROR(VLOOKUP(B30,'3. Univ × Country Matrix'!$A$5:$X$44,24,FALSE()),0)</f>
        <v>0</v>
      </c>
      <c r="J30" s="30" t="str">
        <f aca="false">IF(H30&gt;=80,"Very High",IF(H30&gt;=60,"High",IF(H30&gt;=40,"Medium",IF(H30&gt;=20,"Low","Very Low"))))</f>
        <v>Very Low</v>
      </c>
    </row>
    <row r="31" customFormat="false" ht="15" hidden="false" customHeight="false" outlineLevel="0" collapsed="false">
      <c r="A31" s="28" t="n">
        <f aca="false">IFERROR(RANK(H31,$H$4:$H$43,0),"")</f>
        <v>1</v>
      </c>
      <c r="B31" s="17"/>
      <c r="C31" s="4" t="n">
        <f aca="false">IFERROR(VLOOKUP(B31,'6. Geo Entropy Calc'!$B$4:$I$43,2,FALSE()),0)</f>
        <v>0</v>
      </c>
      <c r="D31" s="4" t="n">
        <f aca="false">IFERROR(VLOOKUP(B31,'6. Geo Entropy Calc'!$B$4:$I$43,3,FALSE()),0)</f>
        <v>0</v>
      </c>
      <c r="E31" s="4" t="n">
        <f aca="false">IFERROR(VLOOKUP(B31,'4. Univ × Continent Matrix'!$A$5:$I$44,8,FALSE()),0)</f>
        <v>0</v>
      </c>
      <c r="F31" s="45" t="n">
        <f aca="false">IFERROR(VLOOKUP(B31,'6. Geo Entropy Calc'!$B$4:$I$43,4,FALSE()),0)</f>
        <v>0</v>
      </c>
      <c r="G31" s="45" t="n">
        <f aca="false">IFERROR(VLOOKUP(B31,'6. Geo Entropy Calc'!$B$4:$I$43,6,FALSE()),0)</f>
        <v>0</v>
      </c>
      <c r="H31" s="60" t="n">
        <f aca="false">IFERROR(VLOOKUP(B31,'6. Geo Entropy Calc'!$B$4:$I$43,7,FALSE()),0)</f>
        <v>0</v>
      </c>
      <c r="I31" s="60" t="n">
        <f aca="false">IFERROR(VLOOKUP(B31,'3. Univ × Country Matrix'!$A$5:$X$44,24,FALSE()),0)</f>
        <v>0</v>
      </c>
      <c r="J31" s="28" t="str">
        <f aca="false">IF(H31&gt;=80,"Very High",IF(H31&gt;=60,"High",IF(H31&gt;=40,"Medium",IF(H31&gt;=20,"Low","Very Low"))))</f>
        <v>Very Low</v>
      </c>
    </row>
    <row r="32" customFormat="false" ht="15" hidden="false" customHeight="false" outlineLevel="0" collapsed="false">
      <c r="A32" s="30" t="n">
        <f aca="false">IFERROR(RANK(H32,$H$4:$H$43,0),"")</f>
        <v>1</v>
      </c>
      <c r="B32" s="24"/>
      <c r="C32" s="7" t="n">
        <f aca="false">IFERROR(VLOOKUP(B32,'6. Geo Entropy Calc'!$B$4:$I$43,2,FALSE()),0)</f>
        <v>0</v>
      </c>
      <c r="D32" s="7" t="n">
        <f aca="false">IFERROR(VLOOKUP(B32,'6. Geo Entropy Calc'!$B$4:$I$43,3,FALSE()),0)</f>
        <v>0</v>
      </c>
      <c r="E32" s="7" t="n">
        <f aca="false">IFERROR(VLOOKUP(B32,'4. Univ × Continent Matrix'!$A$5:$I$44,8,FALSE()),0)</f>
        <v>0</v>
      </c>
      <c r="F32" s="43" t="n">
        <f aca="false">IFERROR(VLOOKUP(B32,'6. Geo Entropy Calc'!$B$4:$I$43,4,FALSE()),0)</f>
        <v>0</v>
      </c>
      <c r="G32" s="43" t="n">
        <f aca="false">IFERROR(VLOOKUP(B32,'6. Geo Entropy Calc'!$B$4:$I$43,6,FALSE()),0)</f>
        <v>0</v>
      </c>
      <c r="H32" s="59" t="n">
        <f aca="false">IFERROR(VLOOKUP(B32,'6. Geo Entropy Calc'!$B$4:$I$43,7,FALSE()),0)</f>
        <v>0</v>
      </c>
      <c r="I32" s="59" t="n">
        <f aca="false">IFERROR(VLOOKUP(B32,'3. Univ × Country Matrix'!$A$5:$X$44,24,FALSE()),0)</f>
        <v>0</v>
      </c>
      <c r="J32" s="30" t="str">
        <f aca="false">IF(H32&gt;=80,"Very High",IF(H32&gt;=60,"High",IF(H32&gt;=40,"Medium",IF(H32&gt;=20,"Low","Very Low"))))</f>
        <v>Very Low</v>
      </c>
    </row>
    <row r="33" customFormat="false" ht="15" hidden="false" customHeight="false" outlineLevel="0" collapsed="false">
      <c r="A33" s="28" t="n">
        <f aca="false">IFERROR(RANK(H33,$H$4:$H$43,0),"")</f>
        <v>1</v>
      </c>
      <c r="B33" s="17"/>
      <c r="C33" s="4" t="n">
        <f aca="false">IFERROR(VLOOKUP(B33,'6. Geo Entropy Calc'!$B$4:$I$43,2,FALSE()),0)</f>
        <v>0</v>
      </c>
      <c r="D33" s="4" t="n">
        <f aca="false">IFERROR(VLOOKUP(B33,'6. Geo Entropy Calc'!$B$4:$I$43,3,FALSE()),0)</f>
        <v>0</v>
      </c>
      <c r="E33" s="4" t="n">
        <f aca="false">IFERROR(VLOOKUP(B33,'4. Univ × Continent Matrix'!$A$5:$I$44,8,FALSE()),0)</f>
        <v>0</v>
      </c>
      <c r="F33" s="45" t="n">
        <f aca="false">IFERROR(VLOOKUP(B33,'6. Geo Entropy Calc'!$B$4:$I$43,4,FALSE()),0)</f>
        <v>0</v>
      </c>
      <c r="G33" s="45" t="n">
        <f aca="false">IFERROR(VLOOKUP(B33,'6. Geo Entropy Calc'!$B$4:$I$43,6,FALSE()),0)</f>
        <v>0</v>
      </c>
      <c r="H33" s="60" t="n">
        <f aca="false">IFERROR(VLOOKUP(B33,'6. Geo Entropy Calc'!$B$4:$I$43,7,FALSE()),0)</f>
        <v>0</v>
      </c>
      <c r="I33" s="60" t="n">
        <f aca="false">IFERROR(VLOOKUP(B33,'3. Univ × Country Matrix'!$A$5:$X$44,24,FALSE()),0)</f>
        <v>0</v>
      </c>
      <c r="J33" s="28" t="str">
        <f aca="false">IF(H33&gt;=80,"Very High",IF(H33&gt;=60,"High",IF(H33&gt;=40,"Medium",IF(H33&gt;=20,"Low","Very Low"))))</f>
        <v>Very Low</v>
      </c>
    </row>
    <row r="34" customFormat="false" ht="15" hidden="false" customHeight="false" outlineLevel="0" collapsed="false">
      <c r="A34" s="30" t="n">
        <f aca="false">IFERROR(RANK(H34,$H$4:$H$43,0),"")</f>
        <v>1</v>
      </c>
      <c r="B34" s="24"/>
      <c r="C34" s="7" t="n">
        <f aca="false">IFERROR(VLOOKUP(B34,'6. Geo Entropy Calc'!$B$4:$I$43,2,FALSE()),0)</f>
        <v>0</v>
      </c>
      <c r="D34" s="7" t="n">
        <f aca="false">IFERROR(VLOOKUP(B34,'6. Geo Entropy Calc'!$B$4:$I$43,3,FALSE()),0)</f>
        <v>0</v>
      </c>
      <c r="E34" s="7" t="n">
        <f aca="false">IFERROR(VLOOKUP(B34,'4. Univ × Continent Matrix'!$A$5:$I$44,8,FALSE()),0)</f>
        <v>0</v>
      </c>
      <c r="F34" s="43" t="n">
        <f aca="false">IFERROR(VLOOKUP(B34,'6. Geo Entropy Calc'!$B$4:$I$43,4,FALSE()),0)</f>
        <v>0</v>
      </c>
      <c r="G34" s="43" t="n">
        <f aca="false">IFERROR(VLOOKUP(B34,'6. Geo Entropy Calc'!$B$4:$I$43,6,FALSE()),0)</f>
        <v>0</v>
      </c>
      <c r="H34" s="59" t="n">
        <f aca="false">IFERROR(VLOOKUP(B34,'6. Geo Entropy Calc'!$B$4:$I$43,7,FALSE()),0)</f>
        <v>0</v>
      </c>
      <c r="I34" s="59" t="n">
        <f aca="false">IFERROR(VLOOKUP(B34,'3. Univ × Country Matrix'!$A$5:$X$44,24,FALSE()),0)</f>
        <v>0</v>
      </c>
      <c r="J34" s="30" t="str">
        <f aca="false">IF(H34&gt;=80,"Very High",IF(H34&gt;=60,"High",IF(H34&gt;=40,"Medium",IF(H34&gt;=20,"Low","Very Low"))))</f>
        <v>Very Low</v>
      </c>
    </row>
    <row r="35" customFormat="false" ht="15" hidden="false" customHeight="false" outlineLevel="0" collapsed="false">
      <c r="A35" s="28" t="n">
        <f aca="false">IFERROR(RANK(H35,$H$4:$H$43,0),"")</f>
        <v>1</v>
      </c>
      <c r="B35" s="17"/>
      <c r="C35" s="4" t="n">
        <f aca="false">IFERROR(VLOOKUP(B35,'6. Geo Entropy Calc'!$B$4:$I$43,2,FALSE()),0)</f>
        <v>0</v>
      </c>
      <c r="D35" s="4" t="n">
        <f aca="false">IFERROR(VLOOKUP(B35,'6. Geo Entropy Calc'!$B$4:$I$43,3,FALSE()),0)</f>
        <v>0</v>
      </c>
      <c r="E35" s="4" t="n">
        <f aca="false">IFERROR(VLOOKUP(B35,'4. Univ × Continent Matrix'!$A$5:$I$44,8,FALSE()),0)</f>
        <v>0</v>
      </c>
      <c r="F35" s="45" t="n">
        <f aca="false">IFERROR(VLOOKUP(B35,'6. Geo Entropy Calc'!$B$4:$I$43,4,FALSE()),0)</f>
        <v>0</v>
      </c>
      <c r="G35" s="45" t="n">
        <f aca="false">IFERROR(VLOOKUP(B35,'6. Geo Entropy Calc'!$B$4:$I$43,6,FALSE()),0)</f>
        <v>0</v>
      </c>
      <c r="H35" s="60" t="n">
        <f aca="false">IFERROR(VLOOKUP(B35,'6. Geo Entropy Calc'!$B$4:$I$43,7,FALSE()),0)</f>
        <v>0</v>
      </c>
      <c r="I35" s="60" t="n">
        <f aca="false">IFERROR(VLOOKUP(B35,'3. Univ × Country Matrix'!$A$5:$X$44,24,FALSE()),0)</f>
        <v>0</v>
      </c>
      <c r="J35" s="28" t="str">
        <f aca="false">IF(H35&gt;=80,"Very High",IF(H35&gt;=60,"High",IF(H35&gt;=40,"Medium",IF(H35&gt;=20,"Low","Very Low"))))</f>
        <v>Very Low</v>
      </c>
    </row>
    <row r="36" customFormat="false" ht="15" hidden="false" customHeight="false" outlineLevel="0" collapsed="false">
      <c r="A36" s="30" t="n">
        <f aca="false">IFERROR(RANK(H36,$H$4:$H$43,0),"")</f>
        <v>1</v>
      </c>
      <c r="B36" s="24"/>
      <c r="C36" s="7" t="n">
        <f aca="false">IFERROR(VLOOKUP(B36,'6. Geo Entropy Calc'!$B$4:$I$43,2,FALSE()),0)</f>
        <v>0</v>
      </c>
      <c r="D36" s="7" t="n">
        <f aca="false">IFERROR(VLOOKUP(B36,'6. Geo Entropy Calc'!$B$4:$I$43,3,FALSE()),0)</f>
        <v>0</v>
      </c>
      <c r="E36" s="7" t="n">
        <f aca="false">IFERROR(VLOOKUP(B36,'4. Univ × Continent Matrix'!$A$5:$I$44,8,FALSE()),0)</f>
        <v>0</v>
      </c>
      <c r="F36" s="43" t="n">
        <f aca="false">IFERROR(VLOOKUP(B36,'6. Geo Entropy Calc'!$B$4:$I$43,4,FALSE()),0)</f>
        <v>0</v>
      </c>
      <c r="G36" s="43" t="n">
        <f aca="false">IFERROR(VLOOKUP(B36,'6. Geo Entropy Calc'!$B$4:$I$43,6,FALSE()),0)</f>
        <v>0</v>
      </c>
      <c r="H36" s="59" t="n">
        <f aca="false">IFERROR(VLOOKUP(B36,'6. Geo Entropy Calc'!$B$4:$I$43,7,FALSE()),0)</f>
        <v>0</v>
      </c>
      <c r="I36" s="59" t="n">
        <f aca="false">IFERROR(VLOOKUP(B36,'3. Univ × Country Matrix'!$A$5:$X$44,24,FALSE()),0)</f>
        <v>0</v>
      </c>
      <c r="J36" s="30" t="str">
        <f aca="false">IF(H36&gt;=80,"Very High",IF(H36&gt;=60,"High",IF(H36&gt;=40,"Medium",IF(H36&gt;=20,"Low","Very Low"))))</f>
        <v>Very Low</v>
      </c>
    </row>
    <row r="37" customFormat="false" ht="15" hidden="false" customHeight="false" outlineLevel="0" collapsed="false">
      <c r="A37" s="28" t="n">
        <f aca="false">IFERROR(RANK(H37,$H$4:$H$43,0),"")</f>
        <v>1</v>
      </c>
      <c r="B37" s="17"/>
      <c r="C37" s="4" t="n">
        <f aca="false">IFERROR(VLOOKUP(B37,'6. Geo Entropy Calc'!$B$4:$I$43,2,FALSE()),0)</f>
        <v>0</v>
      </c>
      <c r="D37" s="4" t="n">
        <f aca="false">IFERROR(VLOOKUP(B37,'6. Geo Entropy Calc'!$B$4:$I$43,3,FALSE()),0)</f>
        <v>0</v>
      </c>
      <c r="E37" s="4" t="n">
        <f aca="false">IFERROR(VLOOKUP(B37,'4. Univ × Continent Matrix'!$A$5:$I$44,8,FALSE()),0)</f>
        <v>0</v>
      </c>
      <c r="F37" s="45" t="n">
        <f aca="false">IFERROR(VLOOKUP(B37,'6. Geo Entropy Calc'!$B$4:$I$43,4,FALSE()),0)</f>
        <v>0</v>
      </c>
      <c r="G37" s="45" t="n">
        <f aca="false">IFERROR(VLOOKUP(B37,'6. Geo Entropy Calc'!$B$4:$I$43,6,FALSE()),0)</f>
        <v>0</v>
      </c>
      <c r="H37" s="60" t="n">
        <f aca="false">IFERROR(VLOOKUP(B37,'6. Geo Entropy Calc'!$B$4:$I$43,7,FALSE()),0)</f>
        <v>0</v>
      </c>
      <c r="I37" s="60" t="n">
        <f aca="false">IFERROR(VLOOKUP(B37,'3. Univ × Country Matrix'!$A$5:$X$44,24,FALSE()),0)</f>
        <v>0</v>
      </c>
      <c r="J37" s="28" t="str">
        <f aca="false">IF(H37&gt;=80,"Very High",IF(H37&gt;=60,"High",IF(H37&gt;=40,"Medium",IF(H37&gt;=20,"Low","Very Low"))))</f>
        <v>Very Low</v>
      </c>
    </row>
    <row r="38" customFormat="false" ht="15" hidden="false" customHeight="false" outlineLevel="0" collapsed="false">
      <c r="A38" s="30" t="n">
        <f aca="false">IFERROR(RANK(H38,$H$4:$H$43,0),"")</f>
        <v>1</v>
      </c>
      <c r="B38" s="24"/>
      <c r="C38" s="7" t="n">
        <f aca="false">IFERROR(VLOOKUP(B38,'6. Geo Entropy Calc'!$B$4:$I$43,2,FALSE()),0)</f>
        <v>0</v>
      </c>
      <c r="D38" s="7" t="n">
        <f aca="false">IFERROR(VLOOKUP(B38,'6. Geo Entropy Calc'!$B$4:$I$43,3,FALSE()),0)</f>
        <v>0</v>
      </c>
      <c r="E38" s="7" t="n">
        <f aca="false">IFERROR(VLOOKUP(B38,'4. Univ × Continent Matrix'!$A$5:$I$44,8,FALSE()),0)</f>
        <v>0</v>
      </c>
      <c r="F38" s="43" t="n">
        <f aca="false">IFERROR(VLOOKUP(B38,'6. Geo Entropy Calc'!$B$4:$I$43,4,FALSE()),0)</f>
        <v>0</v>
      </c>
      <c r="G38" s="43" t="n">
        <f aca="false">IFERROR(VLOOKUP(B38,'6. Geo Entropy Calc'!$B$4:$I$43,6,FALSE()),0)</f>
        <v>0</v>
      </c>
      <c r="H38" s="59" t="n">
        <f aca="false">IFERROR(VLOOKUP(B38,'6. Geo Entropy Calc'!$B$4:$I$43,7,FALSE()),0)</f>
        <v>0</v>
      </c>
      <c r="I38" s="59" t="n">
        <f aca="false">IFERROR(VLOOKUP(B38,'3. Univ × Country Matrix'!$A$5:$X$44,24,FALSE()),0)</f>
        <v>0</v>
      </c>
      <c r="J38" s="30" t="str">
        <f aca="false">IF(H38&gt;=80,"Very High",IF(H38&gt;=60,"High",IF(H38&gt;=40,"Medium",IF(H38&gt;=20,"Low","Very Low"))))</f>
        <v>Very Low</v>
      </c>
    </row>
    <row r="39" customFormat="false" ht="15" hidden="false" customHeight="false" outlineLevel="0" collapsed="false">
      <c r="A39" s="28" t="n">
        <f aca="false">IFERROR(RANK(H39,$H$4:$H$43,0),"")</f>
        <v>1</v>
      </c>
      <c r="B39" s="17"/>
      <c r="C39" s="4" t="n">
        <f aca="false">IFERROR(VLOOKUP(B39,'6. Geo Entropy Calc'!$B$4:$I$43,2,FALSE()),0)</f>
        <v>0</v>
      </c>
      <c r="D39" s="4" t="n">
        <f aca="false">IFERROR(VLOOKUP(B39,'6. Geo Entropy Calc'!$B$4:$I$43,3,FALSE()),0)</f>
        <v>0</v>
      </c>
      <c r="E39" s="4" t="n">
        <f aca="false">IFERROR(VLOOKUP(B39,'4. Univ × Continent Matrix'!$A$5:$I$44,8,FALSE()),0)</f>
        <v>0</v>
      </c>
      <c r="F39" s="45" t="n">
        <f aca="false">IFERROR(VLOOKUP(B39,'6. Geo Entropy Calc'!$B$4:$I$43,4,FALSE()),0)</f>
        <v>0</v>
      </c>
      <c r="G39" s="45" t="n">
        <f aca="false">IFERROR(VLOOKUP(B39,'6. Geo Entropy Calc'!$B$4:$I$43,6,FALSE()),0)</f>
        <v>0</v>
      </c>
      <c r="H39" s="60" t="n">
        <f aca="false">IFERROR(VLOOKUP(B39,'6. Geo Entropy Calc'!$B$4:$I$43,7,FALSE()),0)</f>
        <v>0</v>
      </c>
      <c r="I39" s="60" t="n">
        <f aca="false">IFERROR(VLOOKUP(B39,'3. Univ × Country Matrix'!$A$5:$X$44,24,FALSE()),0)</f>
        <v>0</v>
      </c>
      <c r="J39" s="28" t="str">
        <f aca="false">IF(H39&gt;=80,"Very High",IF(H39&gt;=60,"High",IF(H39&gt;=40,"Medium",IF(H39&gt;=20,"Low","Very Low"))))</f>
        <v>Very Low</v>
      </c>
    </row>
    <row r="40" customFormat="false" ht="15" hidden="false" customHeight="false" outlineLevel="0" collapsed="false">
      <c r="A40" s="30" t="n">
        <f aca="false">IFERROR(RANK(H40,$H$4:$H$43,0),"")</f>
        <v>1</v>
      </c>
      <c r="B40" s="24"/>
      <c r="C40" s="7" t="n">
        <f aca="false">IFERROR(VLOOKUP(B40,'6. Geo Entropy Calc'!$B$4:$I$43,2,FALSE()),0)</f>
        <v>0</v>
      </c>
      <c r="D40" s="7" t="n">
        <f aca="false">IFERROR(VLOOKUP(B40,'6. Geo Entropy Calc'!$B$4:$I$43,3,FALSE()),0)</f>
        <v>0</v>
      </c>
      <c r="E40" s="7" t="n">
        <f aca="false">IFERROR(VLOOKUP(B40,'4. Univ × Continent Matrix'!$A$5:$I$44,8,FALSE()),0)</f>
        <v>0</v>
      </c>
      <c r="F40" s="43" t="n">
        <f aca="false">IFERROR(VLOOKUP(B40,'6. Geo Entropy Calc'!$B$4:$I$43,4,FALSE()),0)</f>
        <v>0</v>
      </c>
      <c r="G40" s="43" t="n">
        <f aca="false">IFERROR(VLOOKUP(B40,'6. Geo Entropy Calc'!$B$4:$I$43,6,FALSE()),0)</f>
        <v>0</v>
      </c>
      <c r="H40" s="59" t="n">
        <f aca="false">IFERROR(VLOOKUP(B40,'6. Geo Entropy Calc'!$B$4:$I$43,7,FALSE()),0)</f>
        <v>0</v>
      </c>
      <c r="I40" s="59" t="n">
        <f aca="false">IFERROR(VLOOKUP(B40,'3. Univ × Country Matrix'!$A$5:$X$44,24,FALSE()),0)</f>
        <v>0</v>
      </c>
      <c r="J40" s="30" t="str">
        <f aca="false">IF(H40&gt;=80,"Very High",IF(H40&gt;=60,"High",IF(H40&gt;=40,"Medium",IF(H40&gt;=20,"Low","Very Low"))))</f>
        <v>Very Low</v>
      </c>
    </row>
    <row r="41" customFormat="false" ht="15" hidden="false" customHeight="false" outlineLevel="0" collapsed="false">
      <c r="A41" s="28" t="n">
        <f aca="false">IFERROR(RANK(H41,$H$4:$H$43,0),"")</f>
        <v>1</v>
      </c>
      <c r="B41" s="17"/>
      <c r="C41" s="4" t="n">
        <f aca="false">IFERROR(VLOOKUP(B41,'6. Geo Entropy Calc'!$B$4:$I$43,2,FALSE()),0)</f>
        <v>0</v>
      </c>
      <c r="D41" s="4" t="n">
        <f aca="false">IFERROR(VLOOKUP(B41,'6. Geo Entropy Calc'!$B$4:$I$43,3,FALSE()),0)</f>
        <v>0</v>
      </c>
      <c r="E41" s="4" t="n">
        <f aca="false">IFERROR(VLOOKUP(B41,'4. Univ × Continent Matrix'!$A$5:$I$44,8,FALSE()),0)</f>
        <v>0</v>
      </c>
      <c r="F41" s="45" t="n">
        <f aca="false">IFERROR(VLOOKUP(B41,'6. Geo Entropy Calc'!$B$4:$I$43,4,FALSE()),0)</f>
        <v>0</v>
      </c>
      <c r="G41" s="45" t="n">
        <f aca="false">IFERROR(VLOOKUP(B41,'6. Geo Entropy Calc'!$B$4:$I$43,6,FALSE()),0)</f>
        <v>0</v>
      </c>
      <c r="H41" s="60" t="n">
        <f aca="false">IFERROR(VLOOKUP(B41,'6. Geo Entropy Calc'!$B$4:$I$43,7,FALSE()),0)</f>
        <v>0</v>
      </c>
      <c r="I41" s="60" t="n">
        <f aca="false">IFERROR(VLOOKUP(B41,'3. Univ × Country Matrix'!$A$5:$X$44,24,FALSE()),0)</f>
        <v>0</v>
      </c>
      <c r="J41" s="28" t="str">
        <f aca="false">IF(H41&gt;=80,"Very High",IF(H41&gt;=60,"High",IF(H41&gt;=40,"Medium",IF(H41&gt;=20,"Low","Very Low"))))</f>
        <v>Very Low</v>
      </c>
    </row>
    <row r="42" customFormat="false" ht="15" hidden="false" customHeight="false" outlineLevel="0" collapsed="false">
      <c r="A42" s="30" t="n">
        <f aca="false">IFERROR(RANK(H42,$H$4:$H$43,0),"")</f>
        <v>1</v>
      </c>
      <c r="B42" s="24"/>
      <c r="C42" s="7" t="n">
        <f aca="false">IFERROR(VLOOKUP(B42,'6. Geo Entropy Calc'!$B$4:$I$43,2,FALSE()),0)</f>
        <v>0</v>
      </c>
      <c r="D42" s="7" t="n">
        <f aca="false">IFERROR(VLOOKUP(B42,'6. Geo Entropy Calc'!$B$4:$I$43,3,FALSE()),0)</f>
        <v>0</v>
      </c>
      <c r="E42" s="7" t="n">
        <f aca="false">IFERROR(VLOOKUP(B42,'4. Univ × Continent Matrix'!$A$5:$I$44,8,FALSE()),0)</f>
        <v>0</v>
      </c>
      <c r="F42" s="43" t="n">
        <f aca="false">IFERROR(VLOOKUP(B42,'6. Geo Entropy Calc'!$B$4:$I$43,4,FALSE()),0)</f>
        <v>0</v>
      </c>
      <c r="G42" s="43" t="n">
        <f aca="false">IFERROR(VLOOKUP(B42,'6. Geo Entropy Calc'!$B$4:$I$43,6,FALSE()),0)</f>
        <v>0</v>
      </c>
      <c r="H42" s="59" t="n">
        <f aca="false">IFERROR(VLOOKUP(B42,'6. Geo Entropy Calc'!$B$4:$I$43,7,FALSE()),0)</f>
        <v>0</v>
      </c>
      <c r="I42" s="59" t="n">
        <f aca="false">IFERROR(VLOOKUP(B42,'3. Univ × Country Matrix'!$A$5:$X$44,24,FALSE()),0)</f>
        <v>0</v>
      </c>
      <c r="J42" s="30" t="str">
        <f aca="false">IF(H42&gt;=80,"Very High",IF(H42&gt;=60,"High",IF(H42&gt;=40,"Medium",IF(H42&gt;=20,"Low","Very Low"))))</f>
        <v>Very Low</v>
      </c>
    </row>
    <row r="43" customFormat="false" ht="15" hidden="false" customHeight="false" outlineLevel="0" collapsed="false">
      <c r="A43" s="28" t="n">
        <f aca="false">IFERROR(RANK(H43,$H$4:$H$43,0),"")</f>
        <v>1</v>
      </c>
      <c r="B43" s="17"/>
      <c r="C43" s="4" t="n">
        <f aca="false">IFERROR(VLOOKUP(B43,'6. Geo Entropy Calc'!$B$4:$I$43,2,FALSE()),0)</f>
        <v>0</v>
      </c>
      <c r="D43" s="4" t="n">
        <f aca="false">IFERROR(VLOOKUP(B43,'6. Geo Entropy Calc'!$B$4:$I$43,3,FALSE()),0)</f>
        <v>0</v>
      </c>
      <c r="E43" s="4" t="n">
        <f aca="false">IFERROR(VLOOKUP(B43,'4. Univ × Continent Matrix'!$A$5:$I$44,8,FALSE()),0)</f>
        <v>0</v>
      </c>
      <c r="F43" s="45" t="n">
        <f aca="false">IFERROR(VLOOKUP(B43,'6. Geo Entropy Calc'!$B$4:$I$43,4,FALSE()),0)</f>
        <v>0</v>
      </c>
      <c r="G43" s="45" t="n">
        <f aca="false">IFERROR(VLOOKUP(B43,'6. Geo Entropy Calc'!$B$4:$I$43,6,FALSE()),0)</f>
        <v>0</v>
      </c>
      <c r="H43" s="60" t="n">
        <f aca="false">IFERROR(VLOOKUP(B43,'6. Geo Entropy Calc'!$B$4:$I$43,7,FALSE()),0)</f>
        <v>0</v>
      </c>
      <c r="I43" s="60" t="n">
        <f aca="false">IFERROR(VLOOKUP(B43,'3. Univ × Country Matrix'!$A$5:$X$44,24,FALSE()),0)</f>
        <v>0</v>
      </c>
      <c r="J43" s="28" t="str">
        <f aca="false">IF(H43&gt;=80,"Very High",IF(H43&gt;=60,"High",IF(H43&gt;=40,"Medium",IF(H43&gt;=20,"Low","Very Low"))))</f>
        <v>Very Low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8102E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40"/>
    <col collapsed="false" customWidth="true" hidden="false" outlineLevel="0" max="5" min="4" style="0" width="16"/>
    <col collapsed="false" customWidth="true" hidden="false" outlineLevel="0" max="6" min="6" style="0" width="22"/>
  </cols>
  <sheetData>
    <row r="1" customFormat="false" ht="33.75" hidden="false" customHeight="true" outlineLevel="0" collapsed="false">
      <c r="A1" s="22" t="s">
        <v>463</v>
      </c>
      <c r="B1" s="22"/>
      <c r="C1" s="22"/>
      <c r="D1" s="22"/>
      <c r="E1" s="22"/>
      <c r="F1" s="22"/>
    </row>
    <row r="2" customFormat="false" ht="25.5" hidden="false" customHeight="true" outlineLevel="0" collapsed="false">
      <c r="A2" s="2" t="s">
        <v>464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3" t="s">
        <v>2</v>
      </c>
      <c r="B3" s="23" t="s">
        <v>465</v>
      </c>
      <c r="C3" s="23" t="s">
        <v>4</v>
      </c>
      <c r="D3" s="23" t="s">
        <v>466</v>
      </c>
      <c r="E3" s="23" t="s">
        <v>168</v>
      </c>
      <c r="F3" s="23" t="s">
        <v>467</v>
      </c>
    </row>
    <row r="4" customFormat="false" ht="31.5" hidden="false" customHeight="true" outlineLevel="0" collapsed="false">
      <c r="A4" s="7" t="n">
        <v>1</v>
      </c>
      <c r="B4" s="8" t="s">
        <v>468</v>
      </c>
      <c r="C4" s="9" t="s">
        <v>469</v>
      </c>
      <c r="D4" s="24"/>
      <c r="E4" s="24"/>
      <c r="F4" s="24"/>
    </row>
    <row r="5" customFormat="false" ht="31.5" hidden="false" customHeight="true" outlineLevel="0" collapsed="false">
      <c r="A5" s="4" t="n">
        <v>2</v>
      </c>
      <c r="B5" s="5" t="s">
        <v>470</v>
      </c>
      <c r="C5" s="6" t="s">
        <v>471</v>
      </c>
      <c r="D5" s="17"/>
      <c r="E5" s="17"/>
      <c r="F5" s="17"/>
    </row>
    <row r="6" customFormat="false" ht="31.5" hidden="false" customHeight="true" outlineLevel="0" collapsed="false">
      <c r="A6" s="7" t="n">
        <v>3</v>
      </c>
      <c r="B6" s="8" t="s">
        <v>472</v>
      </c>
      <c r="C6" s="9" t="s">
        <v>473</v>
      </c>
      <c r="D6" s="24"/>
      <c r="E6" s="24"/>
      <c r="F6" s="24"/>
    </row>
    <row r="7" customFormat="false" ht="31.5" hidden="false" customHeight="true" outlineLevel="0" collapsed="false">
      <c r="A7" s="4" t="n">
        <v>4</v>
      </c>
      <c r="B7" s="5" t="s">
        <v>474</v>
      </c>
      <c r="C7" s="6" t="s">
        <v>475</v>
      </c>
      <c r="D7" s="17"/>
      <c r="E7" s="17"/>
      <c r="F7" s="17"/>
    </row>
    <row r="8" customFormat="false" ht="31.5" hidden="false" customHeight="true" outlineLevel="0" collapsed="false">
      <c r="A8" s="7" t="n">
        <v>5</v>
      </c>
      <c r="B8" s="8" t="s">
        <v>476</v>
      </c>
      <c r="C8" s="9" t="s">
        <v>477</v>
      </c>
      <c r="D8" s="24"/>
      <c r="E8" s="24"/>
      <c r="F8" s="24"/>
    </row>
    <row r="9" customFormat="false" ht="31.5" hidden="false" customHeight="true" outlineLevel="0" collapsed="false">
      <c r="A9" s="4" t="n">
        <v>6</v>
      </c>
      <c r="B9" s="5" t="s">
        <v>478</v>
      </c>
      <c r="C9" s="6" t="s">
        <v>479</v>
      </c>
      <c r="D9" s="17"/>
      <c r="E9" s="17"/>
      <c r="F9" s="17"/>
    </row>
    <row r="10" customFormat="false" ht="31.5" hidden="false" customHeight="true" outlineLevel="0" collapsed="false">
      <c r="A10" s="7" t="n">
        <v>7</v>
      </c>
      <c r="B10" s="8" t="s">
        <v>480</v>
      </c>
      <c r="C10" s="9" t="s">
        <v>481</v>
      </c>
      <c r="D10" s="24"/>
      <c r="E10" s="24"/>
      <c r="F10" s="24"/>
    </row>
    <row r="11" customFormat="false" ht="31.5" hidden="false" customHeight="true" outlineLevel="0" collapsed="false">
      <c r="A11" s="4" t="n">
        <v>8</v>
      </c>
      <c r="B11" s="5" t="s">
        <v>482</v>
      </c>
      <c r="C11" s="6" t="s">
        <v>483</v>
      </c>
      <c r="D11" s="17"/>
      <c r="E11" s="17"/>
      <c r="F11" s="17"/>
    </row>
    <row r="12" customFormat="false" ht="31.5" hidden="false" customHeight="true" outlineLevel="0" collapsed="false">
      <c r="A12" s="7" t="n">
        <v>9</v>
      </c>
      <c r="B12" s="8" t="s">
        <v>484</v>
      </c>
      <c r="C12" s="9" t="s">
        <v>485</v>
      </c>
      <c r="D12" s="24"/>
      <c r="E12" s="24"/>
      <c r="F12" s="24"/>
    </row>
    <row r="13" customFormat="false" ht="31.5" hidden="false" customHeight="true" outlineLevel="0" collapsed="false">
      <c r="A13" s="4" t="n">
        <v>10</v>
      </c>
      <c r="B13" s="5" t="s">
        <v>486</v>
      </c>
      <c r="C13" s="6" t="s">
        <v>487</v>
      </c>
      <c r="D13" s="17"/>
      <c r="E13" s="17"/>
      <c r="F13" s="17"/>
    </row>
    <row r="14" customFormat="false" ht="31.5" hidden="false" customHeight="true" outlineLevel="0" collapsed="false">
      <c r="A14" s="7" t="n">
        <v>11</v>
      </c>
      <c r="B14" s="8" t="s">
        <v>488</v>
      </c>
      <c r="C14" s="9" t="s">
        <v>489</v>
      </c>
      <c r="D14" s="24"/>
      <c r="E14" s="24"/>
      <c r="F14" s="24"/>
    </row>
    <row r="15" customFormat="false" ht="31.5" hidden="false" customHeight="true" outlineLevel="0" collapsed="false">
      <c r="A15" s="4" t="n">
        <v>12</v>
      </c>
      <c r="B15" s="5" t="s">
        <v>490</v>
      </c>
      <c r="C15" s="6" t="s">
        <v>491</v>
      </c>
      <c r="D15" s="17"/>
      <c r="E15" s="17"/>
      <c r="F15" s="17"/>
    </row>
    <row r="16" customFormat="false" ht="31.5" hidden="false" customHeight="true" outlineLevel="0" collapsed="false">
      <c r="A16" s="7" t="n">
        <v>13</v>
      </c>
      <c r="B16" s="8" t="s">
        <v>492</v>
      </c>
      <c r="C16" s="9" t="s">
        <v>493</v>
      </c>
      <c r="D16" s="24"/>
      <c r="E16" s="24"/>
      <c r="F16" s="24"/>
    </row>
    <row r="17" customFormat="false" ht="31.5" hidden="false" customHeight="true" outlineLevel="0" collapsed="false">
      <c r="A17" s="4" t="n">
        <v>14</v>
      </c>
      <c r="B17" s="5" t="s">
        <v>494</v>
      </c>
      <c r="C17" s="6" t="s">
        <v>495</v>
      </c>
      <c r="D17" s="17"/>
      <c r="E17" s="17"/>
      <c r="F17" s="17"/>
    </row>
    <row r="18" customFormat="false" ht="31.5" hidden="false" customHeight="true" outlineLevel="0" collapsed="false">
      <c r="A18" s="7" t="n">
        <v>15</v>
      </c>
      <c r="B18" s="8" t="s">
        <v>496</v>
      </c>
      <c r="C18" s="9" t="s">
        <v>497</v>
      </c>
      <c r="D18" s="24"/>
      <c r="E18" s="24"/>
      <c r="F18" s="24"/>
    </row>
    <row r="19" customFormat="false" ht="31.5" hidden="false" customHeight="true" outlineLevel="0" collapsed="false">
      <c r="A19" s="4" t="n">
        <v>16</v>
      </c>
      <c r="B19" s="5" t="s">
        <v>498</v>
      </c>
      <c r="C19" s="6" t="s">
        <v>499</v>
      </c>
      <c r="D19" s="17"/>
      <c r="E19" s="17"/>
      <c r="F19" s="17"/>
    </row>
    <row r="20" customFormat="false" ht="31.5" hidden="false" customHeight="true" outlineLevel="0" collapsed="false">
      <c r="A20" s="7" t="n">
        <v>17</v>
      </c>
      <c r="B20" s="8" t="s">
        <v>500</v>
      </c>
      <c r="C20" s="9" t="s">
        <v>501</v>
      </c>
      <c r="D20" s="24"/>
      <c r="E20" s="24"/>
      <c r="F20" s="24"/>
    </row>
    <row r="21" customFormat="false" ht="31.5" hidden="false" customHeight="true" outlineLevel="0" collapsed="false">
      <c r="A21" s="4" t="n">
        <v>18</v>
      </c>
      <c r="B21" s="5" t="s">
        <v>502</v>
      </c>
      <c r="C21" s="6" t="s">
        <v>503</v>
      </c>
      <c r="D21" s="17"/>
      <c r="E21" s="17"/>
      <c r="F21" s="17"/>
    </row>
    <row r="22" customFormat="false" ht="31.5" hidden="false" customHeight="true" outlineLevel="0" collapsed="false">
      <c r="A22" s="7" t="n">
        <v>19</v>
      </c>
      <c r="B22" s="8" t="s">
        <v>504</v>
      </c>
      <c r="C22" s="9" t="s">
        <v>505</v>
      </c>
      <c r="D22" s="24"/>
      <c r="E22" s="24"/>
      <c r="F22" s="24"/>
    </row>
    <row r="23" customFormat="false" ht="31.5" hidden="false" customHeight="true" outlineLevel="0" collapsed="false">
      <c r="A23" s="4" t="n">
        <v>20</v>
      </c>
      <c r="B23" s="5" t="s">
        <v>506</v>
      </c>
      <c r="C23" s="6" t="s">
        <v>507</v>
      </c>
      <c r="D23" s="17"/>
      <c r="E23" s="17"/>
      <c r="F23" s="17"/>
    </row>
    <row r="24" customFormat="false" ht="31.5" hidden="false" customHeight="true" outlineLevel="0" collapsed="false">
      <c r="A24" s="7" t="n">
        <v>21</v>
      </c>
      <c r="B24" s="8" t="s">
        <v>508</v>
      </c>
      <c r="C24" s="9" t="s">
        <v>509</v>
      </c>
      <c r="D24" s="24"/>
      <c r="E24" s="24"/>
      <c r="F24" s="24"/>
    </row>
    <row r="25" customFormat="false" ht="31.5" hidden="false" customHeight="true" outlineLevel="0" collapsed="false">
      <c r="A25" s="4" t="n">
        <v>22</v>
      </c>
      <c r="B25" s="5" t="s">
        <v>510</v>
      </c>
      <c r="C25" s="6" t="s">
        <v>511</v>
      </c>
      <c r="D25" s="17"/>
      <c r="E25" s="17"/>
      <c r="F25" s="17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2026-04-17T12:55:52Z</dcterms:created>
  <dc:creator>openpyxl</dc:creator>
  <dc:description/>
  <dc:language>en-US</dc:language>
  <cp:lastModifiedBy/>
  <dcterms:modified xsi:type="dcterms:W3CDTF">2026-04-17T12:55:52Z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