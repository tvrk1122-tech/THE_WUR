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ethodology Overview" sheetId="1" state="visible" r:id="rId3"/>
    <sheet name="1. Total Income" sheetId="2" state="visible" r:id="rId4"/>
    <sheet name="2. PPP Conversion" sheetId="3" state="visible" r:id="rId5"/>
    <sheet name="3. Staff FTE" sheetId="4" state="visible" r:id="rId6"/>
    <sheet name="4. Scoring" sheetId="5" state="visible" r:id="rId7"/>
    <sheet name="5. Revenue Diversification" sheetId="6" state="visible" r:id="rId8"/>
    <sheet name="6. YoY Trend" sheetId="7" state="visible" r:id="rId9"/>
    <sheet name="7. Income Rules" sheetId="8" state="visible" r:id="rId10"/>
    <sheet name="8. Revenue Action Plan" sheetId="9" state="visible" r:id="rId11"/>
    <sheet name="9. Benchmarking" sheetId="10" state="visible" r:id="rId12"/>
    <sheet name="10. Risk Assessment" sheetId="11" state="visible" r:id="rId13"/>
    <sheet name="11. Data Quality Audit" sheetId="12" state="visible" r:id="rId1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<sst xmlns="http://schemas.openxmlformats.org/spreadsheetml/2006/main" count="422" uniqueCount="323">
  <si>
    <t xml:space="preserve">THE WUR — Teaching (29.5%) → Institutional Income Scaled for PPP (2.5%)</t>
  </si>
  <si>
    <t xml:space="preserve">Proxy for Overall Teaching Resources &amp; Investment | PPP-Adjusted per FTE | 2.5% of Total WUR Score</t>
  </si>
  <si>
    <t xml:space="preserve">#</t>
  </si>
  <si>
    <t xml:space="preserve">Component</t>
  </si>
  <si>
    <t xml:space="preserve">Description &amp; Methodology</t>
  </si>
  <si>
    <t xml:space="preserve">Weight</t>
  </si>
  <si>
    <t xml:space="preserve">Institutional Income (PPP-Scaled)</t>
  </si>
  <si>
    <t xml:space="preserve">Total institutional income (revenue) normalized by academic staff FTE AND adjusted for Purchasing Power Parity (PPP). Signals the overall financial health and investment capacity available for the teaching environment. THE uses this as a broad proxy for teaching resources — institutions with higher per-capita income can invest more in facilities, technology, learning materials, and faculty development.</t>
  </si>
  <si>
    <t xml:space="preserve">2.5% of WUR</t>
  </si>
  <si>
    <t xml:space="preserve">Total Institutional Income (Numerator)</t>
  </si>
  <si>
    <t xml:space="preserve">Aggregate annual revenue from ALL sources: government block grants, tuition fees, research grants, industry income, endowment returns, philanthropy/donations, hospital/clinical income (if part of university), consultancy revenue, and other operating income. THE requests the most recent audited fiscal year. Excludes: capital grants for construction (one-time), proceeds from asset sales.</t>
  </si>
  <si>
    <t xml:space="preserve">Numerator</t>
  </si>
  <si>
    <t xml:space="preserve">Academic Staff FTE (Denominator)</t>
  </si>
  <si>
    <t xml:space="preserve">Same THE-compliant FTE definition used across all Teaching sub-indicators. Full-time equivalent academic staff with teaching duties. Professors, associate/assistant professors, lecturers, research fellows WITH teaching. Excludes admin, technical, support, research-only staff.</t>
  </si>
  <si>
    <t xml:space="preserve">Denominator</t>
  </si>
  <si>
    <t xml:space="preserve">PPP Adjustment</t>
  </si>
  <si>
    <t xml:space="preserve">All income figures converted to USD using World Bank Purchasing Power Parity (PPP) conversion factors for the relevant year. PPP adjusts for cost-of-living differences between countries — $1 buys different amounts in India vs USA vs Switzerland. Without PPP, institutions in high-cost countries would be artificially advantaged. THE uses IMF/World Bank PPP rates.</t>
  </si>
  <si>
    <t xml:space="preserve">Normalization</t>
  </si>
  <si>
    <t xml:space="preserve">Scoring Logic</t>
  </si>
  <si>
    <t xml:space="preserve">THE computes: (Total Income in PPP-USD) ÷ Academic Staff FTE → z-scored across all ranked universities. Higher income per staff = higher z-score = better rank. This indicator is rated 🟢 Easy to collect but 🟡 Moderate to improve (depends on revenue diversification and institutional funding model).</t>
  </si>
  <si>
    <t xml:space="preserve">Context: Teaching Pillar</t>
  </si>
  <si>
    <t xml:space="preserve">Teaching (29.5%) = Teaching Reputation (15%) + Staff-to-Student Ratio (4.5%) + Doctorates Awarded per Staff (5.5%) + Doctorate-to-Bachelor's Ratio (2%) + Institutional Income (2.5%). At 2.5%, this is the smallest Teaching sub-indicator but still matters for overall pillar score.</t>
  </si>
  <si>
    <t xml:space="preserve">2.5% of 29.5%</t>
  </si>
  <si>
    <t xml:space="preserve">Improvement Strategies</t>
  </si>
  <si>
    <t xml:space="preserve">• Diversify revenue streams: industry partnerships, consultancy, philanthropy, endowments, executive education.</t>
  </si>
  <si>
    <t xml:space="preserve">• Pursue international collaborations that bring grant income and co-funding.</t>
  </si>
  <si>
    <t xml:space="preserve">• Establish an institutional advancement / fundraising office for donor cultivation.</t>
  </si>
  <si>
    <t xml:space="preserve">• Maximize government grant capture through competitive proposal submissions.</t>
  </si>
  <si>
    <t xml:space="preserve">• Launch fee-based executive education / continuing professional development programmes.</t>
  </si>
  <si>
    <t xml:space="preserve">• Build an alumni engagement programme for philanthropic giving.</t>
  </si>
  <si>
    <t xml:space="preserve">• Difficulty: 🟡 Moderate (1–3 years). Revenue diversification takes time but data collection is straightforward (🟢 Easy).</t>
  </si>
  <si>
    <t xml:space="preserve">Total Institutional Income — Revenue by Source (Most Recent Fiscal Year)</t>
  </si>
  <si>
    <t xml:space="preserve">All revenue sources | Local currency → converted to PPP-USD | Audited figures only</t>
  </si>
  <si>
    <t xml:space="preserve">S.No.</t>
  </si>
  <si>
    <t xml:space="preserve">University Name</t>
  </si>
  <si>
    <t xml:space="preserve">Country</t>
  </si>
  <si>
    <t xml:space="preserve">Govt Block Grants / Funding (Local Currency)</t>
  </si>
  <si>
    <t xml:space="preserve">Tuition &amp; Student Fees</t>
  </si>
  <si>
    <t xml:space="preserve">Research Grants &amp; Contracts</t>
  </si>
  <si>
    <t xml:space="preserve">Industry / Corporate Income</t>
  </si>
  <si>
    <t xml:space="preserve">Endowment / Investment Returns</t>
  </si>
  <si>
    <t xml:space="preserve">Philanthropy / Donations / CSR</t>
  </si>
  <si>
    <t xml:space="preserve">Other Operating Income</t>
  </si>
  <si>
    <t xml:space="preserve">Total Institutional Income (Local Currency)</t>
  </si>
  <si>
    <t xml:space="preserve">Supplementary Revenue Detail (If Applicable)</t>
  </si>
  <si>
    <t xml:space="preserve">Hospital / Clinical Revenue</t>
  </si>
  <si>
    <t xml:space="preserve">Consultancy &amp; Technical Services</t>
  </si>
  <si>
    <t xml:space="preserve">Executive Education / CPD Revenue</t>
  </si>
  <si>
    <t xml:space="preserve">Facility Rental / Usage Income</t>
  </si>
  <si>
    <t xml:space="preserve">Alumni Fund Contributions</t>
  </si>
  <si>
    <t xml:space="preserve">International Student Fee Premium</t>
  </si>
  <si>
    <t xml:space="preserve">Other Supplementary Income</t>
  </si>
  <si>
    <t xml:space="preserve">Total Supplementary</t>
  </si>
  <si>
    <t xml:space="preserve">PPP Conversion — Local Currency to PPP-Adjusted USD</t>
  </si>
  <si>
    <t xml:space="preserve">World Bank PPP conversion factors | Income (Local) ÷ PPP Factor = Income (PPP-USD)</t>
  </si>
  <si>
    <t xml:space="preserve">Total Income (Local Currency)</t>
  </si>
  <si>
    <t xml:space="preserve">PPP Conversion Factor (World Bank)</t>
  </si>
  <si>
    <t xml:space="preserve">Total Income (PPP-USD)</t>
  </si>
  <si>
    <t xml:space="preserve">Income per Staff FTE (PPP-USD)</t>
  </si>
  <si>
    <t xml:space="preserve">Reporting Year</t>
  </si>
  <si>
    <t xml:space="preserve">PPP Conversion Factor Reference (Select Countries)</t>
  </si>
  <si>
    <t xml:space="preserve">ISO Code</t>
  </si>
  <si>
    <t xml:space="preserve">PPP Factor (LCU per Intl $)</t>
  </si>
  <si>
    <t xml:space="preserve">Source</t>
  </si>
  <si>
    <t xml:space="preserve">Year</t>
  </si>
  <si>
    <t xml:space="preserve">India</t>
  </si>
  <si>
    <t xml:space="preserve">IND</t>
  </si>
  <si>
    <t xml:space="preserve">22.88</t>
  </si>
  <si>
    <t xml:space="preserve">World Bank ICP</t>
  </si>
  <si>
    <t xml:space="preserve">2023</t>
  </si>
  <si>
    <t xml:space="preserve">United States</t>
  </si>
  <si>
    <t xml:space="preserve">USA</t>
  </si>
  <si>
    <t xml:space="preserve">1.00</t>
  </si>
  <si>
    <t xml:space="preserve">Baseline</t>
  </si>
  <si>
    <t xml:space="preserve">United Kingdom</t>
  </si>
  <si>
    <t xml:space="preserve">GBR</t>
  </si>
  <si>
    <t xml:space="preserve">0.69</t>
  </si>
  <si>
    <t xml:space="preserve">China</t>
  </si>
  <si>
    <t xml:space="preserve">CHN</t>
  </si>
  <si>
    <t xml:space="preserve">4.19</t>
  </si>
  <si>
    <t xml:space="preserve">Germany</t>
  </si>
  <si>
    <t xml:space="preserve">DEU</t>
  </si>
  <si>
    <t xml:space="preserve">0.74</t>
  </si>
  <si>
    <t xml:space="preserve">Japan</t>
  </si>
  <si>
    <t xml:space="preserve">JPN</t>
  </si>
  <si>
    <t xml:space="preserve">97.69</t>
  </si>
  <si>
    <t xml:space="preserve">Australia</t>
  </si>
  <si>
    <t xml:space="preserve">AUS</t>
  </si>
  <si>
    <t xml:space="preserve">1.48</t>
  </si>
  <si>
    <t xml:space="preserve">Canada</t>
  </si>
  <si>
    <t xml:space="preserve">CAN</t>
  </si>
  <si>
    <t xml:space="preserve">1.21</t>
  </si>
  <si>
    <t xml:space="preserve">Singapore</t>
  </si>
  <si>
    <t xml:space="preserve">SGP</t>
  </si>
  <si>
    <t xml:space="preserve">0.84</t>
  </si>
  <si>
    <t xml:space="preserve">South Korea</t>
  </si>
  <si>
    <t xml:space="preserve">KOR</t>
  </si>
  <si>
    <t xml:space="preserve">855.76</t>
  </si>
  <si>
    <t xml:space="preserve">Brazil</t>
  </si>
  <si>
    <t xml:space="preserve">BRA</t>
  </si>
  <si>
    <t xml:space="preserve">2.55</t>
  </si>
  <si>
    <t xml:space="preserve">South Africa</t>
  </si>
  <si>
    <t xml:space="preserve">ZAF</t>
  </si>
  <si>
    <t xml:space="preserve">7.40</t>
  </si>
  <si>
    <t xml:space="preserve">Academic Staff FTE — Same Definition as Staff-to-Student Ratio &amp; Doctorates-per-Staff</t>
  </si>
  <si>
    <t xml:space="preserve">THE-compliant: professors, assoc/asst prof, lecturers, research fellows with teaching | Must match other indicators</t>
  </si>
  <si>
    <t xml:space="preserve">Professors (FTE)</t>
  </si>
  <si>
    <t xml:space="preserve">Assoc. Prof (FTE)</t>
  </si>
  <si>
    <t xml:space="preserve">Asst. Prof (FTE)</t>
  </si>
  <si>
    <t xml:space="preserve">Lecturers (FTE)</t>
  </si>
  <si>
    <t xml:space="preserve">Res. Fellows (Teaching) FTE</t>
  </si>
  <si>
    <t xml:space="preserve">Other Teaching FTE</t>
  </si>
  <si>
    <t xml:space="preserve">Total Academic Staff FTE</t>
  </si>
  <si>
    <t xml:space="preserve">Institutional Income per FTE (PPP-USD) — Scoring</t>
  </si>
  <si>
    <t xml:space="preserve">Income per Staff = Total PPP-USD Income ÷ Staff FTE | Z-scored | Higher = better</t>
  </si>
  <si>
    <t xml:space="preserve">Academic Staff FTE</t>
  </si>
  <si>
    <t xml:space="preserve">Income per Staff (PPP-USD)</t>
  </si>
  <si>
    <t xml:space="preserve">Z-Score</t>
  </si>
  <si>
    <t xml:space="preserve">Normalized Score (0–100)</t>
  </si>
  <si>
    <t xml:space="preserve">Summary Statistics</t>
  </si>
  <si>
    <t xml:space="preserve">Average Income per Staff (PPP-USD)</t>
  </si>
  <si>
    <t xml:space="preserve">Highest Income per Staff</t>
  </si>
  <si>
    <t xml:space="preserve">Lowest Income per Staff</t>
  </si>
  <si>
    <t xml:space="preserve">Median</t>
  </si>
  <si>
    <t xml:space="preserve">Std Deviation</t>
  </si>
  <si>
    <t xml:space="preserve">Revenue Diversification Analysis — Source Proportions &amp; Entropy</t>
  </si>
  <si>
    <t xml:space="preserve">% share by source | Shannon entropy on revenue mix | More diversified = more sustainable funding</t>
  </si>
  <si>
    <t xml:space="preserve">% Govt Grants</t>
  </si>
  <si>
    <t xml:space="preserve">% Tuition Fees</t>
  </si>
  <si>
    <t xml:space="preserve">% Research Grants</t>
  </si>
  <si>
    <t xml:space="preserve">% Industry</t>
  </si>
  <si>
    <t xml:space="preserve">% Endowment</t>
  </si>
  <si>
    <t xml:space="preserve">% Philanthropy</t>
  </si>
  <si>
    <t xml:space="preserve">% Other</t>
  </si>
  <si>
    <t xml:space="preserve">Entropy H (bits)</t>
  </si>
  <si>
    <t xml:space="preserve">Diversification Tier</t>
  </si>
  <si>
    <t xml:space="preserve">Institutional Income — 5-Year Trend (PPP-USD per Staff)</t>
  </si>
  <si>
    <t xml:space="preserve">Track income growth trajectory | CAGR calculation</t>
  </si>
  <si>
    <t xml:space="preserve">Year 1 (Income/FTE)</t>
  </si>
  <si>
    <t xml:space="preserve">Year 2</t>
  </si>
  <si>
    <t xml:space="preserve">Year 3</t>
  </si>
  <si>
    <t xml:space="preserve">Year 4</t>
  </si>
  <si>
    <t xml:space="preserve">Year 5 (Current)</t>
  </si>
  <si>
    <t xml:space="preserve">CAGR (%)</t>
  </si>
  <si>
    <t xml:space="preserve">5-Year Absolute Growth (%)</t>
  </si>
  <si>
    <t xml:space="preserve">Trend</t>
  </si>
  <si>
    <t xml:space="preserve">Income Counting Rules — Inclusions &amp; Exclusions per THE Definition</t>
  </si>
  <si>
    <t xml:space="preserve">What counts as 'institutional income' for this indicator</t>
  </si>
  <si>
    <t xml:space="preserve">Category</t>
  </si>
  <si>
    <t xml:space="preserve">Revenue Item</t>
  </si>
  <si>
    <t xml:space="preserve">Include / Exclude</t>
  </si>
  <si>
    <t xml:space="preserve">Notes</t>
  </si>
  <si>
    <t xml:space="preserve">Operating</t>
  </si>
  <si>
    <t xml:space="preserve">Government block grant / recurrent funding</t>
  </si>
  <si>
    <t xml:space="preserve">Include</t>
  </si>
  <si>
    <t xml:space="preserve">Core government allocation</t>
  </si>
  <si>
    <t xml:space="preserve">Government performance-based funding</t>
  </si>
  <si>
    <t xml:space="preserve">Outcome-linked grants</t>
  </si>
  <si>
    <t xml:space="preserve">Tuition fees (domestic students)</t>
  </si>
  <si>
    <t xml:space="preserve">All programme levels</t>
  </si>
  <si>
    <t xml:space="preserve">Tuition fees (international students)</t>
  </si>
  <si>
    <t xml:space="preserve">Student accommodation / housing revenue</t>
  </si>
  <si>
    <t xml:space="preserve">If part of university accounts</t>
  </si>
  <si>
    <t xml:space="preserve">Research</t>
  </si>
  <si>
    <t xml:space="preserve">Research grants (government agencies)</t>
  </si>
  <si>
    <t xml:space="preserve">Competitive &amp; block research grants</t>
  </si>
  <si>
    <t xml:space="preserve">Research grants (international agencies)</t>
  </si>
  <si>
    <t xml:space="preserve">EU, UNDP, World Bank, bilateral</t>
  </si>
  <si>
    <t xml:space="preserve">Industry-sponsored research income</t>
  </si>
  <si>
    <t xml:space="preserve">Contract research, co-funded R&amp;D</t>
  </si>
  <si>
    <t xml:space="preserve">Commercial</t>
  </si>
  <si>
    <t xml:space="preserve">Consultancy &amp; technical services revenue</t>
  </si>
  <si>
    <t xml:space="preserve">Applied knowledge services</t>
  </si>
  <si>
    <t xml:space="preserve">Executive education / CPD revenue</t>
  </si>
  <si>
    <t xml:space="preserve">Fee-based professional programmes</t>
  </si>
  <si>
    <t xml:space="preserve">Facility rental / conference income</t>
  </si>
  <si>
    <t xml:space="preserve">Campus-generated revenue</t>
  </si>
  <si>
    <t xml:space="preserve">Investment</t>
  </si>
  <si>
    <t xml:space="preserve">Endowment investment returns</t>
  </si>
  <si>
    <t xml:space="preserve">Annual yield, not principal</t>
  </si>
  <si>
    <t xml:space="preserve">Philanthropy</t>
  </si>
  <si>
    <t xml:space="preserve">Donations / philanthropic gifts</t>
  </si>
  <si>
    <t xml:space="preserve">Annual giving, not pledges</t>
  </si>
  <si>
    <t xml:space="preserve">CSR-funded research / programmes</t>
  </si>
  <si>
    <t xml:space="preserve">If received as revenue</t>
  </si>
  <si>
    <t xml:space="preserve">Clinical</t>
  </si>
  <si>
    <t xml:space="preserve">Hospital / clinical income (if part of university)</t>
  </si>
  <si>
    <t xml:space="preserve">Only if consolidated in accounts</t>
  </si>
  <si>
    <t xml:space="preserve">Capital</t>
  </si>
  <si>
    <t xml:space="preserve">Capital grants for building construction</t>
  </si>
  <si>
    <t xml:space="preserve">Exclude</t>
  </si>
  <si>
    <t xml:space="preserve">One-time, not recurring revenue</t>
  </si>
  <si>
    <t xml:space="preserve">Proceeds from sale of land / assets</t>
  </si>
  <si>
    <t xml:space="preserve">Non-recurring</t>
  </si>
  <si>
    <t xml:space="preserve">Endowment principal (new donations to corpus)</t>
  </si>
  <si>
    <t xml:space="preserve">Only returns counted, not principal</t>
  </si>
  <si>
    <t xml:space="preserve">Transfer</t>
  </si>
  <si>
    <t xml:space="preserve">Internal transfers between university entities</t>
  </si>
  <si>
    <t xml:space="preserve">Avoid double-counting</t>
  </si>
  <si>
    <t xml:space="preserve">Government loans (to be repaid)</t>
  </si>
  <si>
    <t xml:space="preserve">Not revenue; liability</t>
  </si>
  <si>
    <t xml:space="preserve">Revenue Growth &amp; Diversification — Strategic Action Plan</t>
  </si>
  <si>
    <t xml:space="preserve">Actions to increase institutional income per FTE | Short &amp; medium-term strategies</t>
  </si>
  <si>
    <t xml:space="preserve">Action Item</t>
  </si>
  <si>
    <t xml:space="preserve">Phase</t>
  </si>
  <si>
    <t xml:space="preserve">Status</t>
  </si>
  <si>
    <t xml:space="preserve">Target Date</t>
  </si>
  <si>
    <t xml:space="preserve">Remarks</t>
  </si>
  <si>
    <t xml:space="preserve">Audit current revenue streams and identify growth opportunities</t>
  </si>
  <si>
    <t xml:space="preserve">1 (0–6mo)</t>
  </si>
  <si>
    <t xml:space="preserve">Establish institutional advancement / fundraising office</t>
  </si>
  <si>
    <t xml:space="preserve">Launch alumni engagement programme for philanthropic giving</t>
  </si>
  <si>
    <t xml:space="preserve">Maximize government grant capture — competitive proposal training</t>
  </si>
  <si>
    <t xml:space="preserve">Pursue industry partnerships for sponsored R&amp;D income growth</t>
  </si>
  <si>
    <t xml:space="preserve">2 (6–18mo)</t>
  </si>
  <si>
    <t xml:space="preserve">Launch fee-based executive education / CPD programmes</t>
  </si>
  <si>
    <t xml:space="preserve">Establish consultancy &amp; technical services unit</t>
  </si>
  <si>
    <t xml:space="preserve">Grow international student enrolment (higher-fee cohort)</t>
  </si>
  <si>
    <t xml:space="preserve">Create endowment fund with target corpus and annual yield</t>
  </si>
  <si>
    <t xml:space="preserve">Develop CSR-to-research pipeline with corporate partners</t>
  </si>
  <si>
    <t xml:space="preserve">Build commercial conference / facility rental business</t>
  </si>
  <si>
    <t xml:space="preserve">Diversify into online / hybrid programmes generating fee revenue</t>
  </si>
  <si>
    <t xml:space="preserve">3 (18–36mo)</t>
  </si>
  <si>
    <t xml:space="preserve">Grow total income by 20–30% from Year 1 baseline (PPP-adjusted)</t>
  </si>
  <si>
    <t xml:space="preserve">Achieve revenue entropy &gt;2.0 bits (strong diversification)</t>
  </si>
  <si>
    <t xml:space="preserve">Progress Summary</t>
  </si>
  <si>
    <t xml:space="preserve">Completed</t>
  </si>
  <si>
    <t xml:space="preserve">In Progress</t>
  </si>
  <si>
    <t xml:space="preserve">Completion (%)</t>
  </si>
  <si>
    <t xml:space="preserve">Benchmarking — Institutional Income (PPP-Scaled per FTE)</t>
  </si>
  <si>
    <t xml:space="preserve">University / Benchmark</t>
  </si>
  <si>
    <t xml:space="preserve">Staff FTE</t>
  </si>
  <si>
    <t xml:space="preserve">Income/FTE (PPP-USD)</t>
  </si>
  <si>
    <t xml:space="preserve">Score (0–100)</t>
  </si>
  <si>
    <t xml:space="preserve">Peer Group</t>
  </si>
  <si>
    <t xml:space="preserve">Your Institution</t>
  </si>
  <si>
    <t xml:space="preserve">Target</t>
  </si>
  <si>
    <t xml:space="preserve">Global Top 10 Average</t>
  </si>
  <si>
    <t xml:space="preserve">Aspirational</t>
  </si>
  <si>
    <t xml:space="preserve">National Average</t>
  </si>
  <si>
    <t xml:space="preserve">National</t>
  </si>
  <si>
    <t xml:space="preserve">Peer Group Average</t>
  </si>
  <si>
    <t xml:space="preserve">Peer</t>
  </si>
  <si>
    <t xml:space="preserve">Institutional Income — Risk Assessment &amp; Mitigation</t>
  </si>
  <si>
    <t xml:space="preserve">Risk</t>
  </si>
  <si>
    <t xml:space="preserve">Level</t>
  </si>
  <si>
    <t xml:space="preserve">Impact</t>
  </si>
  <si>
    <t xml:space="preserve">Mitigation</t>
  </si>
  <si>
    <t xml:space="preserve">Owner</t>
  </si>
  <si>
    <t xml:space="preserve">Over-reliance on single revenue source</t>
  </si>
  <si>
    <t xml:space="preserve">🟡 Medium</t>
  </si>
  <si>
    <t xml:space="preserve">Low entropy; vulnerable to funding cuts; score stagnates</t>
  </si>
  <si>
    <t xml:space="preserve">Diversify across 5+ sources; target entropy &gt;2.0 bits</t>
  </si>
  <si>
    <t xml:space="preserve">Government funding reduction</t>
  </si>
  <si>
    <t xml:space="preserve">Block grant cut reduces total income</t>
  </si>
  <si>
    <t xml:space="preserve">Grow alternative revenue: fees, industry, philanthropy, endowment</t>
  </si>
  <si>
    <t xml:space="preserve">PPP rate fluctuation</t>
  </si>
  <si>
    <t xml:space="preserve">🟢 Low</t>
  </si>
  <si>
    <t xml:space="preserve">Year-to-year PPP changes affect comparability</t>
  </si>
  <si>
    <t xml:space="preserve">Use consistent World Bank PPP rate; document year and source</t>
  </si>
  <si>
    <t xml:space="preserve">Incorrect PPP factor used</t>
  </si>
  <si>
    <t xml:space="preserve">🔴 High</t>
  </si>
  <si>
    <t xml:space="preserve">Income inflated or deflated vs peers; rank impact</t>
  </si>
  <si>
    <t xml:space="preserve">Verify PPP against World Bank databank for exact year; double-check</t>
  </si>
  <si>
    <t xml:space="preserve">Capital income included in revenue</t>
  </si>
  <si>
    <t xml:space="preserve">One-time grants inflate income; audit risk</t>
  </si>
  <si>
    <t xml:space="preserve">Exclude capital grants, asset sales, endowment principal per THE rules</t>
  </si>
  <si>
    <t xml:space="preserve">Internal transfers double-counted</t>
  </si>
  <si>
    <t xml:space="preserve">Inflated total income; audit failure</t>
  </si>
  <si>
    <t xml:space="preserve">Eliminate inter-entity transfers in consolidation</t>
  </si>
  <si>
    <t xml:space="preserve">Staff FTE inconsistency across indicators</t>
  </si>
  <si>
    <t xml:space="preserve">Different FTE for income/staff-ratio/doctoral indicators</t>
  </si>
  <si>
    <t xml:space="preserve">Use SAME Academic Staff FTE across all Teaching sub-indicators</t>
  </si>
  <si>
    <t xml:space="preserve">Revenue reporting on accrual vs cash basis</t>
  </si>
  <si>
    <t xml:space="preserve">Timing differences affect year comparison</t>
  </si>
  <si>
    <t xml:space="preserve">Document accounting basis; use same basis consistently</t>
  </si>
  <si>
    <t xml:space="preserve">Institutional Income (PPP) — Data Quality &amp; Audit Checklist</t>
  </si>
  <si>
    <t xml:space="preserve">Validation checks for this indicator (2.5% of total WUR score)</t>
  </si>
  <si>
    <t xml:space="preserve">Quality Check</t>
  </si>
  <si>
    <t xml:space="preserve">Description</t>
  </si>
  <si>
    <t xml:space="preserve">Status (✓/✗/IP)</t>
  </si>
  <si>
    <t xml:space="preserve">Date</t>
  </si>
  <si>
    <t xml:space="preserve">Reviewer</t>
  </si>
  <si>
    <t xml:space="preserve">Audited accounts verification</t>
  </si>
  <si>
    <t xml:space="preserve">All income figures verified against audited institutional financial statements</t>
  </si>
  <si>
    <t xml:space="preserve">Revenue source completeness</t>
  </si>
  <si>
    <t xml:space="preserve">All 7 revenue categories populated; no major source omitted</t>
  </si>
  <si>
    <t xml:space="preserve">Capital income exclusion</t>
  </si>
  <si>
    <t xml:space="preserve">Capital grants, asset sale proceeds, endowment principal excluded from total</t>
  </si>
  <si>
    <t xml:space="preserve">Internal transfer elimination</t>
  </si>
  <si>
    <t xml:space="preserve">Inter-entity transfers removed to prevent double-counting</t>
  </si>
  <si>
    <t xml:space="preserve">Hospital income treatment</t>
  </si>
  <si>
    <t xml:space="preserve">Clinical/hospital revenue included only if consolidated in university accounts</t>
  </si>
  <si>
    <t xml:space="preserve">PPP rate accuracy</t>
  </si>
  <si>
    <t xml:space="preserve">PPP conversion factor matches World Bank databank for the exact submission year</t>
  </si>
  <si>
    <t xml:space="preserve">PPP rate source documentation</t>
  </si>
  <si>
    <t xml:space="preserve">Year, source, and specific rate documented in submission</t>
  </si>
  <si>
    <t xml:space="preserve">Local currency consistency</t>
  </si>
  <si>
    <t xml:space="preserve">All revenue items in same local currency before PPP conversion</t>
  </si>
  <si>
    <t xml:space="preserve">Academic Staff FTE consistency</t>
  </si>
  <si>
    <t xml:space="preserve">SAME Staff FTE used here AND in Staff-to-Student Ratio (4.5%) AND Doctorates-per-Staff (5.5%)</t>
  </si>
  <si>
    <t xml:space="preserve">FTE THE-compliant</t>
  </si>
  <si>
    <t xml:space="preserve">Staff FTE follows THE definition; research-only, admin, technical excluded</t>
  </si>
  <si>
    <t xml:space="preserve">Income per FTE calculation</t>
  </si>
  <si>
    <t xml:space="preserve">Total PPP-USD ÷ Staff FTE verified independently by 2 reviewers</t>
  </si>
  <si>
    <t xml:space="preserve">Source breakdown reconciliation</t>
  </si>
  <si>
    <t xml:space="preserve">Sum of 7 revenue categories = total income (within ±1% tolerance)</t>
  </si>
  <si>
    <t xml:space="preserve">Supplementary income handling</t>
  </si>
  <si>
    <t xml:space="preserve">Hospital/consultancy/exec ed properly classified (not double-counted with main categories)</t>
  </si>
  <si>
    <t xml:space="preserve">Fiscal year definition</t>
  </si>
  <si>
    <t xml:space="preserve">Fiscal year start/end months documented; consistent with other indicator submissions</t>
  </si>
  <si>
    <t xml:space="preserve">Accounting basis documented</t>
  </si>
  <si>
    <t xml:space="preserve">Accrual vs cash basis stated; same basis used across all years</t>
  </si>
  <si>
    <t xml:space="preserve">Year-on-year consistency</t>
  </si>
  <si>
    <t xml:space="preserve">Current income compared with previous year; changes &gt;20% documented</t>
  </si>
  <si>
    <t xml:space="preserve">Revenue entropy calculation</t>
  </si>
  <si>
    <t xml:space="preserve">Shannon entropy on source proportions verified; log₂ used consistently</t>
  </si>
  <si>
    <t xml:space="preserve">Outlier detection</t>
  </si>
  <si>
    <t xml:space="preserve">Income per FTE &gt;3 SD from mean flagged for verification</t>
  </si>
  <si>
    <t xml:space="preserve">THE Portal field mapping</t>
  </si>
  <si>
    <t xml:space="preserve">Income figure and PPP rate correctly mapped to THE submission fields</t>
  </si>
  <si>
    <t xml:space="preserve">Reproducibility test</t>
  </si>
  <si>
    <t xml:space="preserve">Income per FTE independently reproducible from audited accounts + HR records within ±2%</t>
  </si>
</sst>
</file>

<file path=xl/styles.xml><?xml version="1.0" encoding="utf-8"?>
<styleSheet xmlns="http://schemas.openxmlformats.org/spreadsheetml/2006/main">
  <numFmts count="6">
    <numFmt numFmtId="164" formatCode="General"/>
    <numFmt numFmtId="165" formatCode="#,##0.00"/>
    <numFmt numFmtId="166" formatCode="#,##0"/>
    <numFmt numFmtId="167" formatCode="0.00"/>
    <numFmt numFmtId="168" formatCode="0.0"/>
    <numFmt numFmtId="169" formatCode="0.000"/>
  </numFmts>
  <fonts count="11">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1"/>
      <color rgb="FFFFFFFF"/>
      <name val="Arial"/>
      <family val="0"/>
      <charset val="1"/>
    </font>
    <font>
      <b val="true"/>
      <sz val="10"/>
      <color rgb="FFFFFFFF"/>
      <name val="Arial"/>
      <family val="0"/>
      <charset val="1"/>
    </font>
    <font>
      <sz val="10"/>
      <color rgb="FF404040"/>
      <name val="Arial"/>
      <family val="0"/>
      <charset val="1"/>
    </font>
    <font>
      <b val="true"/>
      <sz val="10"/>
      <color rgb="FF1A2E4F"/>
      <name val="Arial"/>
      <family val="0"/>
      <charset val="1"/>
    </font>
    <font>
      <b val="true"/>
      <sz val="10"/>
      <name val="Arial"/>
      <family val="0"/>
      <charset val="1"/>
    </font>
    <font>
      <sz val="10"/>
      <color rgb="FF0000FF"/>
      <name val="Arial"/>
      <family val="0"/>
      <charset val="1"/>
    </font>
  </fonts>
  <fills count="17">
    <fill>
      <patternFill patternType="none"/>
    </fill>
    <fill>
      <patternFill patternType="gray125"/>
    </fill>
    <fill>
      <patternFill patternType="solid">
        <fgColor rgb="FFBF8F00"/>
        <bgColor rgb="FFED7D31"/>
      </patternFill>
    </fill>
    <fill>
      <patternFill patternType="solid">
        <fgColor rgb="FFFFFFFF"/>
        <bgColor rgb="FFF2F2F2"/>
      </patternFill>
    </fill>
    <fill>
      <patternFill patternType="solid">
        <fgColor rgb="FFF2F2F2"/>
        <bgColor rgb="FFFFF5D9"/>
      </patternFill>
    </fill>
    <fill>
      <patternFill patternType="solid">
        <fgColor rgb="FF1A2E4F"/>
        <bgColor rgb="FF404040"/>
      </patternFill>
    </fill>
    <fill>
      <patternFill patternType="solid">
        <fgColor rgb="FFC8102E"/>
        <bgColor rgb="FF8B0000"/>
      </patternFill>
    </fill>
    <fill>
      <patternFill patternType="solid">
        <fgColor rgb="FF7030A0"/>
        <bgColor rgb="FF993366"/>
      </patternFill>
    </fill>
    <fill>
      <patternFill patternType="solid">
        <fgColor rgb="FFED7D31"/>
        <bgColor rgb="FFFF8080"/>
      </patternFill>
    </fill>
    <fill>
      <patternFill patternType="solid">
        <fgColor rgb="FF3F51B5"/>
        <bgColor rgb="FF666699"/>
      </patternFill>
    </fill>
    <fill>
      <patternFill patternType="solid">
        <fgColor rgb="FFFFF5D9"/>
        <bgColor rgb="FFF2F2F2"/>
      </patternFill>
    </fill>
    <fill>
      <patternFill patternType="solid">
        <fgColor rgb="FF2F8F9D"/>
        <bgColor rgb="FF2E75B6"/>
      </patternFill>
    </fill>
    <fill>
      <patternFill patternType="solid">
        <fgColor rgb="FF548235"/>
        <bgColor rgb="FF808080"/>
      </patternFill>
    </fill>
    <fill>
      <patternFill patternType="solid">
        <fgColor rgb="FFE2EFDA"/>
        <bgColor rgb="FFF2F2F2"/>
      </patternFill>
    </fill>
    <fill>
      <patternFill patternType="solid">
        <fgColor rgb="FF8B0000"/>
        <bgColor rgb="FF800000"/>
      </patternFill>
    </fill>
    <fill>
      <patternFill patternType="solid">
        <fgColor rgb="FFFCE4D6"/>
        <bgColor rgb="FFFFF5D9"/>
      </patternFill>
    </fill>
    <fill>
      <patternFill patternType="solid">
        <fgColor rgb="FF2E75B6"/>
        <bgColor rgb="FF2F8F9D"/>
      </patternFill>
    </fill>
  </fills>
  <borders count="2">
    <border diagonalUp="false" diagonalDown="false">
      <left/>
      <right/>
      <top/>
      <bottom/>
      <diagonal/>
    </border>
    <border diagonalUp="false" diagonalDown="false">
      <left style="thin">
        <color rgb="FFB4B4B4"/>
      </left>
      <right style="thin">
        <color rgb="FFB4B4B4"/>
      </right>
      <top style="thin">
        <color rgb="FFB4B4B4"/>
      </top>
      <bottom style="thin">
        <color rgb="FFB4B4B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2" borderId="0" xfId="0" applyFont="true" applyBorder="true" applyAlignment="true" applyProtection="false">
      <alignment horizontal="center" vertical="center"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left" vertical="center" textRotation="0" wrapText="true" indent="0" shrinkToFit="false"/>
      <protection locked="true" hidden="false"/>
    </xf>
    <xf numFmtId="164" fontId="7" fillId="3" borderId="1" xfId="0" applyFont="true" applyBorder="true" applyAlignment="true" applyProtection="false">
      <alignment horizontal="left" vertical="center" textRotation="0" wrapText="tru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left" vertical="center" textRotation="0" wrapText="true" indent="0" shrinkToFit="false"/>
      <protection locked="true" hidden="false"/>
    </xf>
    <xf numFmtId="164" fontId="7" fillId="4" borderId="1" xfId="0" applyFont="true" applyBorder="true" applyAlignment="true" applyProtection="false">
      <alignment horizontal="left" vertical="center" textRotation="0" wrapText="tru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5" fillId="5" borderId="0"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true" applyAlignment="true" applyProtection="false">
      <alignment horizontal="left" vertical="center" textRotation="0" wrapText="true" indent="0" shrinkToFit="false"/>
      <protection locked="true" hidden="false"/>
    </xf>
    <xf numFmtId="164" fontId="4" fillId="6" borderId="0" xfId="0" applyFont="true" applyBorder="true" applyAlignment="true" applyProtection="false">
      <alignment horizontal="center" vertical="center" textRotation="0" wrapText="true" indent="0" shrinkToFit="false"/>
      <protection locked="true" hidden="false"/>
    </xf>
    <xf numFmtId="164" fontId="5" fillId="6" borderId="0" xfId="0" applyFont="true" applyBorder="true" applyAlignment="true" applyProtection="false">
      <alignment horizontal="center" vertical="center" textRotation="0" wrapText="true" indent="0" shrinkToFit="false"/>
      <protection locked="true" hidden="false"/>
    </xf>
    <xf numFmtId="164" fontId="6" fillId="6" borderId="1" xfId="0" applyFont="true" applyBorder="true" applyAlignment="true" applyProtection="false">
      <alignment horizontal="center" vertical="center" textRotation="0" wrapText="tru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5" fontId="7" fillId="4" borderId="1" xfId="0" applyFont="true" applyBorder="true" applyAlignment="true" applyProtection="false">
      <alignment horizontal="center" vertical="center" textRotation="0" wrapText="true" indent="0" shrinkToFit="false"/>
      <protection locked="true" hidden="false"/>
    </xf>
    <xf numFmtId="164" fontId="10" fillId="3" borderId="1" xfId="0" applyFont="true" applyBorder="true" applyAlignment="true" applyProtection="false">
      <alignment horizontal="center" vertical="center" textRotation="0" wrapText="true" indent="0" shrinkToFit="false"/>
      <protection locked="true" hidden="false"/>
    </xf>
    <xf numFmtId="165" fontId="7" fillId="3" borderId="1" xfId="0" applyFont="true" applyBorder="true" applyAlignment="true" applyProtection="false">
      <alignment horizontal="center" vertical="center" textRotation="0" wrapText="true" indent="0" shrinkToFit="false"/>
      <protection locked="true" hidden="false"/>
    </xf>
    <xf numFmtId="164" fontId="5" fillId="7" borderId="0" xfId="0" applyFont="true" applyBorder="true" applyAlignment="true" applyProtection="false">
      <alignment horizontal="center" vertical="center" textRotation="0" wrapText="true" indent="0" shrinkToFit="false"/>
      <protection locked="true" hidden="false"/>
    </xf>
    <xf numFmtId="164" fontId="6" fillId="7" borderId="1" xfId="0" applyFont="true" applyBorder="true" applyAlignment="true" applyProtection="false">
      <alignment horizontal="center" vertical="center" textRotation="0" wrapText="true" indent="0" shrinkToFit="false"/>
      <protection locked="true" hidden="false"/>
    </xf>
    <xf numFmtId="165" fontId="9" fillId="3" borderId="1" xfId="0" applyFont="true" applyBorder="true" applyAlignment="true" applyProtection="false">
      <alignment horizontal="center" vertical="center" textRotation="0" wrapText="true" indent="0" shrinkToFit="false"/>
      <protection locked="true" hidden="false"/>
    </xf>
    <xf numFmtId="165" fontId="9" fillId="4" borderId="1" xfId="0" applyFont="true" applyBorder="true" applyAlignment="true" applyProtection="false">
      <alignment horizontal="center" vertical="center" textRotation="0" wrapText="true" indent="0" shrinkToFit="false"/>
      <protection locked="true" hidden="false"/>
    </xf>
    <xf numFmtId="164" fontId="4" fillId="8" borderId="0" xfId="0" applyFont="true" applyBorder="true" applyAlignment="true" applyProtection="false">
      <alignment horizontal="center" vertical="center" textRotation="0" wrapText="true" indent="0" shrinkToFit="false"/>
      <protection locked="true" hidden="false"/>
    </xf>
    <xf numFmtId="164" fontId="5" fillId="8" borderId="0" xfId="0" applyFont="true" applyBorder="true" applyAlignment="true" applyProtection="false">
      <alignment horizontal="center" vertical="center" textRotation="0" wrapText="true" indent="0" shrinkToFit="false"/>
      <protection locked="true" hidden="false"/>
    </xf>
    <xf numFmtId="164" fontId="6" fillId="8" borderId="1" xfId="0" applyFont="true" applyBorder="true" applyAlignment="true" applyProtection="false">
      <alignment horizontal="center" vertical="center" textRotation="0" wrapText="true" indent="0" shrinkToFit="false"/>
      <protection locked="true" hidden="false"/>
    </xf>
    <xf numFmtId="164" fontId="5" fillId="9" borderId="0" xfId="0" applyFont="true" applyBorder="true" applyAlignment="true" applyProtection="false">
      <alignment horizontal="center" vertical="center" textRotation="0" wrapText="true" indent="0" shrinkToFit="false"/>
      <protection locked="true" hidden="false"/>
    </xf>
    <xf numFmtId="164" fontId="6" fillId="9" borderId="1" xfId="0" applyFont="true" applyBorder="true" applyAlignment="true" applyProtection="false">
      <alignment horizontal="center" vertical="center" textRotation="0" wrapText="true" indent="0" shrinkToFit="false"/>
      <protection locked="true" hidden="false"/>
    </xf>
    <xf numFmtId="164" fontId="7" fillId="10" borderId="1" xfId="0" applyFont="true" applyBorder="true" applyAlignment="true" applyProtection="false">
      <alignment horizontal="center" vertical="center" textRotation="0" wrapText="true" indent="0" shrinkToFit="false"/>
      <protection locked="true" hidden="false"/>
    </xf>
    <xf numFmtId="164" fontId="8" fillId="10" borderId="1" xfId="0" applyFont="true" applyBorder="true" applyAlignment="true" applyProtection="false">
      <alignment horizontal="left" vertical="center" textRotation="0" wrapText="true" indent="0" shrinkToFit="false"/>
      <protection locked="true" hidden="false"/>
    </xf>
    <xf numFmtId="164" fontId="9" fillId="10" borderId="1" xfId="0" applyFont="true" applyBorder="true" applyAlignment="true" applyProtection="false">
      <alignment horizontal="center" vertical="center" textRotation="0" wrapText="true" indent="0" shrinkToFit="false"/>
      <protection locked="true" hidden="false"/>
    </xf>
    <xf numFmtId="164" fontId="4" fillId="11" borderId="0" xfId="0" applyFont="true" applyBorder="true" applyAlignment="true" applyProtection="false">
      <alignment horizontal="center" vertical="center" textRotation="0" wrapText="true" indent="0" shrinkToFit="false"/>
      <protection locked="true" hidden="false"/>
    </xf>
    <xf numFmtId="164" fontId="5" fillId="11" borderId="0" xfId="0" applyFont="true" applyBorder="true" applyAlignment="true" applyProtection="false">
      <alignment horizontal="center" vertical="center" textRotation="0" wrapText="true" indent="0" shrinkToFit="false"/>
      <protection locked="true" hidden="false"/>
    </xf>
    <xf numFmtId="164" fontId="6" fillId="11" borderId="1" xfId="0" applyFont="true" applyBorder="true" applyAlignment="true" applyProtection="false">
      <alignment horizontal="center" vertical="center" textRotation="0" wrapText="true" indent="0" shrinkToFit="false"/>
      <protection locked="true" hidden="false"/>
    </xf>
    <xf numFmtId="164" fontId="4" fillId="12" borderId="0" xfId="0" applyFont="true" applyBorder="true" applyAlignment="true" applyProtection="false">
      <alignment horizontal="center" vertical="center" textRotation="0" wrapText="true" indent="0" shrinkToFit="false"/>
      <protection locked="true" hidden="false"/>
    </xf>
    <xf numFmtId="164" fontId="5" fillId="12" borderId="0" xfId="0" applyFont="true" applyBorder="true" applyAlignment="true" applyProtection="false">
      <alignment horizontal="center" vertical="center" textRotation="0" wrapText="true" indent="0" shrinkToFit="false"/>
      <protection locked="true" hidden="false"/>
    </xf>
    <xf numFmtId="164" fontId="6" fillId="12" borderId="1" xfId="0" applyFont="true" applyBorder="true" applyAlignment="true" applyProtection="false">
      <alignment horizontal="center" vertical="center" textRotation="0" wrapText="true" indent="0" shrinkToFit="false"/>
      <protection locked="true" hidden="false"/>
    </xf>
    <xf numFmtId="166" fontId="7" fillId="4" borderId="1" xfId="0" applyFont="true" applyBorder="true" applyAlignment="true" applyProtection="false">
      <alignment horizontal="center" vertical="center" textRotation="0" wrapText="true" indent="0" shrinkToFit="false"/>
      <protection locked="true" hidden="false"/>
    </xf>
    <xf numFmtId="166" fontId="9" fillId="4" borderId="1" xfId="0" applyFont="true" applyBorder="true" applyAlignment="true" applyProtection="false">
      <alignment horizontal="center" vertical="center" textRotation="0" wrapText="true" indent="0" shrinkToFit="false"/>
      <protection locked="true" hidden="false"/>
    </xf>
    <xf numFmtId="167" fontId="7" fillId="4" borderId="1" xfId="0" applyFont="true" applyBorder="true" applyAlignment="true" applyProtection="false">
      <alignment horizontal="center" vertical="center" textRotation="0" wrapText="true" indent="0" shrinkToFit="false"/>
      <protection locked="true" hidden="false"/>
    </xf>
    <xf numFmtId="168" fontId="9" fillId="4" borderId="1" xfId="0" applyFont="true" applyBorder="true" applyAlignment="true" applyProtection="false">
      <alignment horizontal="center" vertical="center" textRotation="0" wrapText="true" indent="0" shrinkToFit="false"/>
      <protection locked="true" hidden="false"/>
    </xf>
    <xf numFmtId="166" fontId="7" fillId="3" borderId="1" xfId="0" applyFont="true" applyBorder="true" applyAlignment="true" applyProtection="false">
      <alignment horizontal="center" vertical="center" textRotation="0" wrapText="true" indent="0" shrinkToFit="false"/>
      <protection locked="true" hidden="false"/>
    </xf>
    <xf numFmtId="166" fontId="9" fillId="3" borderId="1" xfId="0" applyFont="true" applyBorder="true" applyAlignment="true" applyProtection="false">
      <alignment horizontal="center" vertical="center" textRotation="0" wrapText="true" indent="0" shrinkToFit="false"/>
      <protection locked="true" hidden="false"/>
    </xf>
    <xf numFmtId="167" fontId="7" fillId="3" borderId="1" xfId="0" applyFont="true" applyBorder="true" applyAlignment="true" applyProtection="false">
      <alignment horizontal="center" vertical="center" textRotation="0" wrapText="true" indent="0" shrinkToFit="false"/>
      <protection locked="true" hidden="false"/>
    </xf>
    <xf numFmtId="168" fontId="9" fillId="3" borderId="1" xfId="0" applyFont="true" applyBorder="true" applyAlignment="true" applyProtection="false">
      <alignment horizontal="center" vertical="center" textRotation="0" wrapText="true" indent="0" shrinkToFit="false"/>
      <protection locked="true" hidden="false"/>
    </xf>
    <xf numFmtId="164" fontId="8" fillId="13" borderId="1" xfId="0" applyFont="true" applyBorder="true" applyAlignment="true" applyProtection="false">
      <alignment horizontal="left" vertical="center" textRotation="0" wrapText="true" indent="0" shrinkToFit="false"/>
      <protection locked="true" hidden="false"/>
    </xf>
    <xf numFmtId="166" fontId="9" fillId="13" borderId="1" xfId="0" applyFont="true" applyBorder="true" applyAlignment="true" applyProtection="false">
      <alignment horizontal="center" vertical="center" textRotation="0" wrapText="true" indent="0" shrinkToFit="false"/>
      <protection locked="true" hidden="false"/>
    </xf>
    <xf numFmtId="164" fontId="0" fillId="13" borderId="1" xfId="0" applyFont="false" applyBorder="true" applyAlignment="false" applyProtection="false">
      <alignment horizontal="general" vertical="bottom" textRotation="0" wrapText="false" indent="0" shrinkToFit="false"/>
      <protection locked="true" hidden="false"/>
    </xf>
    <xf numFmtId="164" fontId="4" fillId="7" borderId="0" xfId="0" applyFont="true" applyBorder="true" applyAlignment="true" applyProtection="false">
      <alignment horizontal="center" vertical="center" textRotation="0" wrapText="true" indent="0" shrinkToFit="false"/>
      <protection locked="true" hidden="false"/>
    </xf>
    <xf numFmtId="168" fontId="7" fillId="4" borderId="1" xfId="0" applyFont="true" applyBorder="true" applyAlignment="true" applyProtection="false">
      <alignment horizontal="center" vertical="center" textRotation="0" wrapText="true" indent="0" shrinkToFit="false"/>
      <protection locked="true" hidden="false"/>
    </xf>
    <xf numFmtId="169" fontId="9" fillId="4" borderId="1" xfId="0" applyFont="true" applyBorder="true" applyAlignment="true" applyProtection="false">
      <alignment horizontal="center" vertical="center" textRotation="0" wrapText="true" indent="0" shrinkToFit="false"/>
      <protection locked="true" hidden="false"/>
    </xf>
    <xf numFmtId="168" fontId="7" fillId="3" borderId="1" xfId="0" applyFont="true" applyBorder="true" applyAlignment="true" applyProtection="false">
      <alignment horizontal="center" vertical="center" textRotation="0" wrapText="true" indent="0" shrinkToFit="false"/>
      <protection locked="true" hidden="false"/>
    </xf>
    <xf numFmtId="169" fontId="9" fillId="3" borderId="1" xfId="0" applyFont="true" applyBorder="true" applyAlignment="true" applyProtection="false">
      <alignment horizontal="center" vertical="center" textRotation="0" wrapText="true" indent="0" shrinkToFit="false"/>
      <protection locked="true" hidden="false"/>
    </xf>
    <xf numFmtId="164" fontId="4" fillId="14" borderId="0" xfId="0" applyFont="true" applyBorder="true" applyAlignment="true" applyProtection="false">
      <alignment horizontal="center" vertical="center" textRotation="0" wrapText="true" indent="0" shrinkToFit="false"/>
      <protection locked="true" hidden="false"/>
    </xf>
    <xf numFmtId="164" fontId="5" fillId="14" borderId="0" xfId="0" applyFont="true" applyBorder="true" applyAlignment="true" applyProtection="false">
      <alignment horizontal="center" vertical="center" textRotation="0" wrapText="true" indent="0" shrinkToFit="false"/>
      <protection locked="true" hidden="false"/>
    </xf>
    <xf numFmtId="164" fontId="6" fillId="14" borderId="1" xfId="0" applyFont="true" applyBorder="true" applyAlignment="true" applyProtection="false">
      <alignment horizontal="center" vertical="center" textRotation="0" wrapText="true" indent="0" shrinkToFit="false"/>
      <protection locked="true" hidden="false"/>
    </xf>
    <xf numFmtId="164" fontId="9" fillId="13" borderId="1" xfId="0" applyFont="true" applyBorder="true" applyAlignment="true" applyProtection="false">
      <alignment horizontal="center" vertical="center" textRotation="0" wrapText="true" indent="0" shrinkToFit="false"/>
      <protection locked="true" hidden="false"/>
    </xf>
    <xf numFmtId="164" fontId="9" fillId="15" borderId="1" xfId="0" applyFont="true" applyBorder="true" applyAlignment="true" applyProtection="false">
      <alignment horizontal="center" vertical="center" textRotation="0" wrapText="true" indent="0" shrinkToFit="false"/>
      <protection locked="true" hidden="false"/>
    </xf>
    <xf numFmtId="164" fontId="4" fillId="9" borderId="0" xfId="0" applyFont="true" applyBorder="true" applyAlignment="true" applyProtection="false">
      <alignment horizontal="center" vertical="center" textRotation="0" wrapText="true" indent="0" shrinkToFit="false"/>
      <protection locked="true" hidden="false"/>
    </xf>
    <xf numFmtId="168" fontId="9" fillId="13" borderId="1" xfId="0" applyFont="true" applyBorder="true" applyAlignment="true" applyProtection="false">
      <alignment horizontal="center" vertical="center" textRotation="0" wrapText="true" indent="0" shrinkToFit="false"/>
      <protection locked="true" hidden="false"/>
    </xf>
    <xf numFmtId="164" fontId="10" fillId="10" borderId="1" xfId="0" applyFont="true" applyBorder="true" applyAlignment="true" applyProtection="false">
      <alignment horizontal="center" vertical="center" textRotation="0" wrapText="true" indent="0" shrinkToFit="false"/>
      <protection locked="true" hidden="false"/>
    </xf>
    <xf numFmtId="164" fontId="5" fillId="16" borderId="0"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8102E"/>
      <rgbColor rgb="FF00FF00"/>
      <rgbColor rgb="FF0000FF"/>
      <rgbColor rgb="FFFFFF00"/>
      <rgbColor rgb="FFFF00FF"/>
      <rgbColor rgb="FF00FFFF"/>
      <rgbColor rgb="FF8B0000"/>
      <rgbColor rgb="FF008000"/>
      <rgbColor rgb="FF000080"/>
      <rgbColor rgb="FF548235"/>
      <rgbColor rgb="FF800080"/>
      <rgbColor rgb="FF008080"/>
      <rgbColor rgb="FFB4B4B4"/>
      <rgbColor rgb="FF808080"/>
      <rgbColor rgb="FF9999FF"/>
      <rgbColor rgb="FF7030A0"/>
      <rgbColor rgb="FFFFF5D9"/>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2E75B6"/>
      <rgbColor rgb="FF33CCCC"/>
      <rgbColor rgb="FF99CC00"/>
      <rgbColor rgb="FFFFCC00"/>
      <rgbColor rgb="FFBF8F00"/>
      <rgbColor rgb="FFED7D31"/>
      <rgbColor rgb="FF666699"/>
      <rgbColor rgb="FF969696"/>
      <rgbColor rgb="FF1A2E4F"/>
      <rgbColor rgb="FF2F8F9D"/>
      <rgbColor rgb="FF003300"/>
      <rgbColor rgb="FF333300"/>
      <rgbColor rgb="FF993300"/>
      <rgbColor rgb="FF993366"/>
      <rgbColor rgb="FF3F51B5"/>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8F00"/>
    <pageSetUpPr fitToPage="false"/>
  </sheetPr>
  <dimension ref="A1:D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8"/>
    <col collapsed="false" customWidth="true" hidden="false" outlineLevel="0" max="3" min="3" style="0" width="55"/>
    <col collapsed="false" customWidth="true" hidden="false" outlineLevel="0" max="4" min="4" style="0" width="16"/>
  </cols>
  <sheetData>
    <row r="1" customFormat="false" ht="33.75" hidden="false" customHeight="true" outlineLevel="0" collapsed="false">
      <c r="A1" s="1" t="s">
        <v>0</v>
      </c>
      <c r="B1" s="1"/>
      <c r="C1" s="1"/>
      <c r="D1" s="1"/>
    </row>
    <row r="2" customFormat="false" ht="25.5" hidden="false" customHeight="true" outlineLevel="0" collapsed="false">
      <c r="A2" s="2" t="s">
        <v>1</v>
      </c>
      <c r="B2" s="2"/>
      <c r="C2" s="2"/>
      <c r="D2" s="2"/>
    </row>
    <row r="4" customFormat="false" ht="15" hidden="false" customHeight="false" outlineLevel="0" collapsed="false">
      <c r="A4" s="3" t="s">
        <v>2</v>
      </c>
      <c r="B4" s="3" t="s">
        <v>3</v>
      </c>
      <c r="C4" s="3" t="s">
        <v>4</v>
      </c>
      <c r="D4" s="3" t="s">
        <v>5</v>
      </c>
    </row>
    <row r="5" customFormat="false" ht="84.75" hidden="false" customHeight="true" outlineLevel="0" collapsed="false">
      <c r="A5" s="4" t="n">
        <v>1</v>
      </c>
      <c r="B5" s="5" t="s">
        <v>6</v>
      </c>
      <c r="C5" s="6" t="s">
        <v>7</v>
      </c>
      <c r="D5" s="7" t="s">
        <v>8</v>
      </c>
    </row>
    <row r="6" customFormat="false" ht="84.75" hidden="false" customHeight="true" outlineLevel="0" collapsed="false">
      <c r="A6" s="8" t="n">
        <v>2</v>
      </c>
      <c r="B6" s="9" t="s">
        <v>9</v>
      </c>
      <c r="C6" s="10" t="s">
        <v>10</v>
      </c>
      <c r="D6" s="11" t="s">
        <v>11</v>
      </c>
    </row>
    <row r="7" customFormat="false" ht="84.75" hidden="false" customHeight="true" outlineLevel="0" collapsed="false">
      <c r="A7" s="4" t="n">
        <v>3</v>
      </c>
      <c r="B7" s="5" t="s">
        <v>12</v>
      </c>
      <c r="C7" s="6" t="s">
        <v>13</v>
      </c>
      <c r="D7" s="7" t="s">
        <v>14</v>
      </c>
    </row>
    <row r="8" customFormat="false" ht="84.75" hidden="false" customHeight="true" outlineLevel="0" collapsed="false">
      <c r="A8" s="8" t="n">
        <v>4</v>
      </c>
      <c r="B8" s="9" t="s">
        <v>15</v>
      </c>
      <c r="C8" s="10" t="s">
        <v>16</v>
      </c>
      <c r="D8" s="11" t="s">
        <v>17</v>
      </c>
    </row>
    <row r="9" customFormat="false" ht="84.75" hidden="false" customHeight="true" outlineLevel="0" collapsed="false">
      <c r="A9" s="4" t="n">
        <v>5</v>
      </c>
      <c r="B9" s="5" t="s">
        <v>18</v>
      </c>
      <c r="C9" s="6" t="s">
        <v>19</v>
      </c>
      <c r="D9" s="7" t="s">
        <v>17</v>
      </c>
    </row>
    <row r="10" customFormat="false" ht="84.75" hidden="false" customHeight="true" outlineLevel="0" collapsed="false">
      <c r="A10" s="8" t="n">
        <v>6</v>
      </c>
      <c r="B10" s="9" t="s">
        <v>20</v>
      </c>
      <c r="C10" s="10" t="s">
        <v>21</v>
      </c>
      <c r="D10" s="11" t="s">
        <v>22</v>
      </c>
    </row>
    <row r="12" customFormat="false" ht="25.5" hidden="false" customHeight="true" outlineLevel="0" collapsed="false">
      <c r="A12" s="12" t="s">
        <v>23</v>
      </c>
      <c r="B12" s="12"/>
      <c r="C12" s="12"/>
      <c r="D12" s="12"/>
    </row>
    <row r="13" customFormat="false" ht="15" hidden="false" customHeight="true" outlineLevel="0" collapsed="false">
      <c r="A13" s="13" t="s">
        <v>24</v>
      </c>
      <c r="B13" s="13"/>
      <c r="C13" s="13"/>
      <c r="D13" s="13"/>
    </row>
    <row r="14" customFormat="false" ht="15" hidden="false" customHeight="true" outlineLevel="0" collapsed="false">
      <c r="A14" s="13" t="s">
        <v>25</v>
      </c>
      <c r="B14" s="13"/>
      <c r="C14" s="13"/>
      <c r="D14" s="13"/>
    </row>
    <row r="15" customFormat="false" ht="15" hidden="false" customHeight="true" outlineLevel="0" collapsed="false">
      <c r="A15" s="13" t="s">
        <v>26</v>
      </c>
      <c r="B15" s="13"/>
      <c r="C15" s="13"/>
      <c r="D15" s="13"/>
    </row>
    <row r="16" customFormat="false" ht="15" hidden="false" customHeight="true" outlineLevel="0" collapsed="false">
      <c r="A16" s="13" t="s">
        <v>27</v>
      </c>
      <c r="B16" s="13"/>
      <c r="C16" s="13"/>
      <c r="D16" s="13"/>
    </row>
    <row r="17" customFormat="false" ht="15" hidden="false" customHeight="true" outlineLevel="0" collapsed="false">
      <c r="A17" s="13" t="s">
        <v>28</v>
      </c>
      <c r="B17" s="13"/>
      <c r="C17" s="13"/>
      <c r="D17" s="13"/>
    </row>
    <row r="18" customFormat="false" ht="15" hidden="false" customHeight="true" outlineLevel="0" collapsed="false">
      <c r="A18" s="13" t="s">
        <v>29</v>
      </c>
      <c r="B18" s="13"/>
      <c r="C18" s="13"/>
      <c r="D18" s="13"/>
    </row>
    <row r="19" customFormat="false" ht="15" hidden="false" customHeight="true" outlineLevel="0" collapsed="false">
      <c r="A19" s="13" t="s">
        <v>30</v>
      </c>
      <c r="B19" s="13"/>
      <c r="C19" s="13"/>
      <c r="D19" s="13"/>
    </row>
  </sheetData>
  <mergeCells count="10">
    <mergeCell ref="A1:D1"/>
    <mergeCell ref="A2:D2"/>
    <mergeCell ref="A12:D12"/>
    <mergeCell ref="A13:D13"/>
    <mergeCell ref="A14:D14"/>
    <mergeCell ref="A15:D15"/>
    <mergeCell ref="A16:D16"/>
    <mergeCell ref="A17:D17"/>
    <mergeCell ref="A18:D18"/>
    <mergeCell ref="A19:D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8102E"/>
    <pageSetUpPr fitToPage="false"/>
  </sheetPr>
  <dimension ref="A1:K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6"/>
    <col collapsed="false" customWidth="true" hidden="false" outlineLevel="0" max="3" min="3" style="0" width="14"/>
    <col collapsed="false" customWidth="true" hidden="false" outlineLevel="0" max="10" min="4" style="0" width="20"/>
    <col collapsed="false" customWidth="true" hidden="false" outlineLevel="0" max="11" min="11" style="0" width="14"/>
  </cols>
  <sheetData>
    <row r="1" customFormat="false" ht="33.75" hidden="false" customHeight="true" outlineLevel="0" collapsed="false">
      <c r="A1" s="14" t="s">
        <v>31</v>
      </c>
      <c r="B1" s="14"/>
      <c r="C1" s="14"/>
      <c r="D1" s="14"/>
      <c r="E1" s="14"/>
      <c r="F1" s="14"/>
      <c r="G1" s="14"/>
      <c r="H1" s="14"/>
      <c r="I1" s="14"/>
      <c r="J1" s="14"/>
      <c r="K1" s="14"/>
    </row>
    <row r="2" customFormat="false" ht="25.5" hidden="false" customHeight="true" outlineLevel="0" collapsed="false">
      <c r="A2" s="15" t="s">
        <v>32</v>
      </c>
      <c r="B2" s="15"/>
      <c r="C2" s="15"/>
      <c r="D2" s="15"/>
      <c r="E2" s="15"/>
      <c r="F2" s="15"/>
      <c r="G2" s="15"/>
      <c r="H2" s="15"/>
      <c r="I2" s="15"/>
      <c r="J2" s="15"/>
      <c r="K2" s="15"/>
    </row>
    <row r="3" customFormat="false" ht="46.25" hidden="false" customHeight="false" outlineLevel="0" collapsed="false">
      <c r="A3" s="16" t="s">
        <v>33</v>
      </c>
      <c r="B3" s="16" t="s">
        <v>34</v>
      </c>
      <c r="C3" s="16" t="s">
        <v>35</v>
      </c>
      <c r="D3" s="16" t="s">
        <v>36</v>
      </c>
      <c r="E3" s="16" t="s">
        <v>37</v>
      </c>
      <c r="F3" s="16" t="s">
        <v>38</v>
      </c>
      <c r="G3" s="16" t="s">
        <v>39</v>
      </c>
      <c r="H3" s="16" t="s">
        <v>40</v>
      </c>
      <c r="I3" s="16" t="s">
        <v>41</v>
      </c>
      <c r="J3" s="16" t="s">
        <v>42</v>
      </c>
      <c r="K3" s="16" t="s">
        <v>43</v>
      </c>
    </row>
    <row r="4" customFormat="false" ht="15" hidden="false" customHeight="false" outlineLevel="0" collapsed="false">
      <c r="A4" s="8" t="n">
        <v>1</v>
      </c>
      <c r="B4" s="17"/>
      <c r="C4" s="17"/>
      <c r="D4" s="17"/>
      <c r="E4" s="17"/>
      <c r="F4" s="17"/>
      <c r="G4" s="17"/>
      <c r="H4" s="17"/>
      <c r="I4" s="17"/>
      <c r="J4" s="17"/>
      <c r="K4" s="18" t="n">
        <f aca="false">SUM(D4:J4)</f>
        <v>0</v>
      </c>
    </row>
    <row r="5" customFormat="false" ht="15" hidden="false" customHeight="false" outlineLevel="0" collapsed="false">
      <c r="A5" s="4" t="n">
        <v>2</v>
      </c>
      <c r="B5" s="19"/>
      <c r="C5" s="19"/>
      <c r="D5" s="19"/>
      <c r="E5" s="19"/>
      <c r="F5" s="19"/>
      <c r="G5" s="19"/>
      <c r="H5" s="19"/>
      <c r="I5" s="19"/>
      <c r="J5" s="19"/>
      <c r="K5" s="20" t="n">
        <f aca="false">SUM(D5:J5)</f>
        <v>0</v>
      </c>
    </row>
    <row r="6" customFormat="false" ht="15" hidden="false" customHeight="false" outlineLevel="0" collapsed="false">
      <c r="A6" s="8" t="n">
        <v>3</v>
      </c>
      <c r="B6" s="17"/>
      <c r="C6" s="17"/>
      <c r="D6" s="17"/>
      <c r="E6" s="17"/>
      <c r="F6" s="17"/>
      <c r="G6" s="17"/>
      <c r="H6" s="17"/>
      <c r="I6" s="17"/>
      <c r="J6" s="17"/>
      <c r="K6" s="18" t="n">
        <f aca="false">SUM(D6:J6)</f>
        <v>0</v>
      </c>
    </row>
    <row r="7" customFormat="false" ht="15" hidden="false" customHeight="false" outlineLevel="0" collapsed="false">
      <c r="A7" s="4" t="n">
        <v>4</v>
      </c>
      <c r="B7" s="19"/>
      <c r="C7" s="19"/>
      <c r="D7" s="19"/>
      <c r="E7" s="19"/>
      <c r="F7" s="19"/>
      <c r="G7" s="19"/>
      <c r="H7" s="19"/>
      <c r="I7" s="19"/>
      <c r="J7" s="19"/>
      <c r="K7" s="20" t="n">
        <f aca="false">SUM(D7:J7)</f>
        <v>0</v>
      </c>
    </row>
    <row r="8" customFormat="false" ht="15" hidden="false" customHeight="false" outlineLevel="0" collapsed="false">
      <c r="A8" s="8" t="n">
        <v>5</v>
      </c>
      <c r="B8" s="17"/>
      <c r="C8" s="17"/>
      <c r="D8" s="17"/>
      <c r="E8" s="17"/>
      <c r="F8" s="17"/>
      <c r="G8" s="17"/>
      <c r="H8" s="17"/>
      <c r="I8" s="17"/>
      <c r="J8" s="17"/>
      <c r="K8" s="18" t="n">
        <f aca="false">SUM(D8:J8)</f>
        <v>0</v>
      </c>
    </row>
    <row r="9" customFormat="false" ht="15" hidden="false" customHeight="false" outlineLevel="0" collapsed="false">
      <c r="A9" s="4" t="n">
        <v>6</v>
      </c>
      <c r="B9" s="19"/>
      <c r="C9" s="19"/>
      <c r="D9" s="19"/>
      <c r="E9" s="19"/>
      <c r="F9" s="19"/>
      <c r="G9" s="19"/>
      <c r="H9" s="19"/>
      <c r="I9" s="19"/>
      <c r="J9" s="19"/>
      <c r="K9" s="20" t="n">
        <f aca="false">SUM(D9:J9)</f>
        <v>0</v>
      </c>
    </row>
    <row r="10" customFormat="false" ht="15" hidden="false" customHeight="false" outlineLevel="0" collapsed="false">
      <c r="A10" s="8" t="n">
        <v>7</v>
      </c>
      <c r="B10" s="17"/>
      <c r="C10" s="17"/>
      <c r="D10" s="17"/>
      <c r="E10" s="17"/>
      <c r="F10" s="17"/>
      <c r="G10" s="17"/>
      <c r="H10" s="17"/>
      <c r="I10" s="17"/>
      <c r="J10" s="17"/>
      <c r="K10" s="18" t="n">
        <f aca="false">SUM(D10:J10)</f>
        <v>0</v>
      </c>
    </row>
    <row r="11" customFormat="false" ht="15" hidden="false" customHeight="false" outlineLevel="0" collapsed="false">
      <c r="A11" s="4" t="n">
        <v>8</v>
      </c>
      <c r="B11" s="19"/>
      <c r="C11" s="19"/>
      <c r="D11" s="19"/>
      <c r="E11" s="19"/>
      <c r="F11" s="19"/>
      <c r="G11" s="19"/>
      <c r="H11" s="19"/>
      <c r="I11" s="19"/>
      <c r="J11" s="19"/>
      <c r="K11" s="20" t="n">
        <f aca="false">SUM(D11:J11)</f>
        <v>0</v>
      </c>
    </row>
    <row r="12" customFormat="false" ht="15" hidden="false" customHeight="false" outlineLevel="0" collapsed="false">
      <c r="A12" s="8" t="n">
        <v>9</v>
      </c>
      <c r="B12" s="17"/>
      <c r="C12" s="17"/>
      <c r="D12" s="17"/>
      <c r="E12" s="17"/>
      <c r="F12" s="17"/>
      <c r="G12" s="17"/>
      <c r="H12" s="17"/>
      <c r="I12" s="17"/>
      <c r="J12" s="17"/>
      <c r="K12" s="18" t="n">
        <f aca="false">SUM(D12:J12)</f>
        <v>0</v>
      </c>
    </row>
    <row r="13" customFormat="false" ht="15" hidden="false" customHeight="false" outlineLevel="0" collapsed="false">
      <c r="A13" s="4" t="n">
        <v>10</v>
      </c>
      <c r="B13" s="19"/>
      <c r="C13" s="19"/>
      <c r="D13" s="19"/>
      <c r="E13" s="19"/>
      <c r="F13" s="19"/>
      <c r="G13" s="19"/>
      <c r="H13" s="19"/>
      <c r="I13" s="19"/>
      <c r="J13" s="19"/>
      <c r="K13" s="20" t="n">
        <f aca="false">SUM(D13:J13)</f>
        <v>0</v>
      </c>
    </row>
    <row r="14" customFormat="false" ht="15" hidden="false" customHeight="false" outlineLevel="0" collapsed="false">
      <c r="A14" s="8" t="n">
        <v>11</v>
      </c>
      <c r="B14" s="17"/>
      <c r="C14" s="17"/>
      <c r="D14" s="17"/>
      <c r="E14" s="17"/>
      <c r="F14" s="17"/>
      <c r="G14" s="17"/>
      <c r="H14" s="17"/>
      <c r="I14" s="17"/>
      <c r="J14" s="17"/>
      <c r="K14" s="18" t="n">
        <f aca="false">SUM(D14:J14)</f>
        <v>0</v>
      </c>
    </row>
    <row r="15" customFormat="false" ht="15" hidden="false" customHeight="false" outlineLevel="0" collapsed="false">
      <c r="A15" s="4" t="n">
        <v>12</v>
      </c>
      <c r="B15" s="19"/>
      <c r="C15" s="19"/>
      <c r="D15" s="19"/>
      <c r="E15" s="19"/>
      <c r="F15" s="19"/>
      <c r="G15" s="19"/>
      <c r="H15" s="19"/>
      <c r="I15" s="19"/>
      <c r="J15" s="19"/>
      <c r="K15" s="20" t="n">
        <f aca="false">SUM(D15:J15)</f>
        <v>0</v>
      </c>
    </row>
    <row r="16" customFormat="false" ht="15" hidden="false" customHeight="false" outlineLevel="0" collapsed="false">
      <c r="A16" s="8" t="n">
        <v>13</v>
      </c>
      <c r="B16" s="17"/>
      <c r="C16" s="17"/>
      <c r="D16" s="17"/>
      <c r="E16" s="17"/>
      <c r="F16" s="17"/>
      <c r="G16" s="17"/>
      <c r="H16" s="17"/>
      <c r="I16" s="17"/>
      <c r="J16" s="17"/>
      <c r="K16" s="18" t="n">
        <f aca="false">SUM(D16:J16)</f>
        <v>0</v>
      </c>
    </row>
    <row r="17" customFormat="false" ht="15" hidden="false" customHeight="false" outlineLevel="0" collapsed="false">
      <c r="A17" s="4" t="n">
        <v>14</v>
      </c>
      <c r="B17" s="19"/>
      <c r="C17" s="19"/>
      <c r="D17" s="19"/>
      <c r="E17" s="19"/>
      <c r="F17" s="19"/>
      <c r="G17" s="19"/>
      <c r="H17" s="19"/>
      <c r="I17" s="19"/>
      <c r="J17" s="19"/>
      <c r="K17" s="20" t="n">
        <f aca="false">SUM(D17:J17)</f>
        <v>0</v>
      </c>
    </row>
    <row r="18" customFormat="false" ht="15" hidden="false" customHeight="false" outlineLevel="0" collapsed="false">
      <c r="A18" s="8" t="n">
        <v>15</v>
      </c>
      <c r="B18" s="17"/>
      <c r="C18" s="17"/>
      <c r="D18" s="17"/>
      <c r="E18" s="17"/>
      <c r="F18" s="17"/>
      <c r="G18" s="17"/>
      <c r="H18" s="17"/>
      <c r="I18" s="17"/>
      <c r="J18" s="17"/>
      <c r="K18" s="18" t="n">
        <f aca="false">SUM(D18:J18)</f>
        <v>0</v>
      </c>
    </row>
    <row r="19" customFormat="false" ht="15" hidden="false" customHeight="false" outlineLevel="0" collapsed="false">
      <c r="A19" s="4" t="n">
        <v>16</v>
      </c>
      <c r="B19" s="19"/>
      <c r="C19" s="19"/>
      <c r="D19" s="19"/>
      <c r="E19" s="19"/>
      <c r="F19" s="19"/>
      <c r="G19" s="19"/>
      <c r="H19" s="19"/>
      <c r="I19" s="19"/>
      <c r="J19" s="19"/>
      <c r="K19" s="20" t="n">
        <f aca="false">SUM(D19:J19)</f>
        <v>0</v>
      </c>
    </row>
    <row r="20" customFormat="false" ht="15" hidden="false" customHeight="false" outlineLevel="0" collapsed="false">
      <c r="A20" s="8" t="n">
        <v>17</v>
      </c>
      <c r="B20" s="17"/>
      <c r="C20" s="17"/>
      <c r="D20" s="17"/>
      <c r="E20" s="17"/>
      <c r="F20" s="17"/>
      <c r="G20" s="17"/>
      <c r="H20" s="17"/>
      <c r="I20" s="17"/>
      <c r="J20" s="17"/>
      <c r="K20" s="18" t="n">
        <f aca="false">SUM(D20:J20)</f>
        <v>0</v>
      </c>
    </row>
    <row r="21" customFormat="false" ht="15" hidden="false" customHeight="false" outlineLevel="0" collapsed="false">
      <c r="A21" s="4" t="n">
        <v>18</v>
      </c>
      <c r="B21" s="19"/>
      <c r="C21" s="19"/>
      <c r="D21" s="19"/>
      <c r="E21" s="19"/>
      <c r="F21" s="19"/>
      <c r="G21" s="19"/>
      <c r="H21" s="19"/>
      <c r="I21" s="19"/>
      <c r="J21" s="19"/>
      <c r="K21" s="20" t="n">
        <f aca="false">SUM(D21:J21)</f>
        <v>0</v>
      </c>
    </row>
    <row r="22" customFormat="false" ht="15" hidden="false" customHeight="false" outlineLevel="0" collapsed="false">
      <c r="A22" s="8" t="n">
        <v>19</v>
      </c>
      <c r="B22" s="17"/>
      <c r="C22" s="17"/>
      <c r="D22" s="17"/>
      <c r="E22" s="17"/>
      <c r="F22" s="17"/>
      <c r="G22" s="17"/>
      <c r="H22" s="17"/>
      <c r="I22" s="17"/>
      <c r="J22" s="17"/>
      <c r="K22" s="18" t="n">
        <f aca="false">SUM(D22:J22)</f>
        <v>0</v>
      </c>
    </row>
    <row r="23" customFormat="false" ht="15" hidden="false" customHeight="false" outlineLevel="0" collapsed="false">
      <c r="A23" s="4" t="n">
        <v>20</v>
      </c>
      <c r="B23" s="19"/>
      <c r="C23" s="19"/>
      <c r="D23" s="19"/>
      <c r="E23" s="19"/>
      <c r="F23" s="19"/>
      <c r="G23" s="19"/>
      <c r="H23" s="19"/>
      <c r="I23" s="19"/>
      <c r="J23" s="19"/>
      <c r="K23" s="20" t="n">
        <f aca="false">SUM(D23:J23)</f>
        <v>0</v>
      </c>
    </row>
    <row r="24" customFormat="false" ht="15" hidden="false" customHeight="false" outlineLevel="0" collapsed="false">
      <c r="A24" s="8" t="n">
        <v>21</v>
      </c>
      <c r="B24" s="17"/>
      <c r="C24" s="17"/>
      <c r="D24" s="17"/>
      <c r="E24" s="17"/>
      <c r="F24" s="17"/>
      <c r="G24" s="17"/>
      <c r="H24" s="17"/>
      <c r="I24" s="17"/>
      <c r="J24" s="17"/>
      <c r="K24" s="18" t="n">
        <f aca="false">SUM(D24:J24)</f>
        <v>0</v>
      </c>
    </row>
    <row r="25" customFormat="false" ht="15" hidden="false" customHeight="false" outlineLevel="0" collapsed="false">
      <c r="A25" s="4" t="n">
        <v>22</v>
      </c>
      <c r="B25" s="19"/>
      <c r="C25" s="19"/>
      <c r="D25" s="19"/>
      <c r="E25" s="19"/>
      <c r="F25" s="19"/>
      <c r="G25" s="19"/>
      <c r="H25" s="19"/>
      <c r="I25" s="19"/>
      <c r="J25" s="19"/>
      <c r="K25" s="20" t="n">
        <f aca="false">SUM(D25:J25)</f>
        <v>0</v>
      </c>
    </row>
    <row r="26" customFormat="false" ht="15" hidden="false" customHeight="false" outlineLevel="0" collapsed="false">
      <c r="A26" s="8" t="n">
        <v>23</v>
      </c>
      <c r="B26" s="17"/>
      <c r="C26" s="17"/>
      <c r="D26" s="17"/>
      <c r="E26" s="17"/>
      <c r="F26" s="17"/>
      <c r="G26" s="17"/>
      <c r="H26" s="17"/>
      <c r="I26" s="17"/>
      <c r="J26" s="17"/>
      <c r="K26" s="18" t="n">
        <f aca="false">SUM(D26:J26)</f>
        <v>0</v>
      </c>
    </row>
    <row r="27" customFormat="false" ht="15" hidden="false" customHeight="false" outlineLevel="0" collapsed="false">
      <c r="A27" s="4" t="n">
        <v>24</v>
      </c>
      <c r="B27" s="19"/>
      <c r="C27" s="19"/>
      <c r="D27" s="19"/>
      <c r="E27" s="19"/>
      <c r="F27" s="19"/>
      <c r="G27" s="19"/>
      <c r="H27" s="19"/>
      <c r="I27" s="19"/>
      <c r="J27" s="19"/>
      <c r="K27" s="20" t="n">
        <f aca="false">SUM(D27:J27)</f>
        <v>0</v>
      </c>
    </row>
    <row r="28" customFormat="false" ht="15" hidden="false" customHeight="false" outlineLevel="0" collapsed="false">
      <c r="A28" s="8" t="n">
        <v>25</v>
      </c>
      <c r="B28" s="17"/>
      <c r="C28" s="17"/>
      <c r="D28" s="17"/>
      <c r="E28" s="17"/>
      <c r="F28" s="17"/>
      <c r="G28" s="17"/>
      <c r="H28" s="17"/>
      <c r="I28" s="17"/>
      <c r="J28" s="17"/>
      <c r="K28" s="18" t="n">
        <f aca="false">SUM(D28:J28)</f>
        <v>0</v>
      </c>
    </row>
    <row r="29" customFormat="false" ht="15" hidden="false" customHeight="false" outlineLevel="0" collapsed="false">
      <c r="A29" s="4" t="n">
        <v>26</v>
      </c>
      <c r="B29" s="19"/>
      <c r="C29" s="19"/>
      <c r="D29" s="19"/>
      <c r="E29" s="19"/>
      <c r="F29" s="19"/>
      <c r="G29" s="19"/>
      <c r="H29" s="19"/>
      <c r="I29" s="19"/>
      <c r="J29" s="19"/>
      <c r="K29" s="20" t="n">
        <f aca="false">SUM(D29:J29)</f>
        <v>0</v>
      </c>
    </row>
    <row r="30" customFormat="false" ht="15" hidden="false" customHeight="false" outlineLevel="0" collapsed="false">
      <c r="A30" s="8" t="n">
        <v>27</v>
      </c>
      <c r="B30" s="17"/>
      <c r="C30" s="17"/>
      <c r="D30" s="17"/>
      <c r="E30" s="17"/>
      <c r="F30" s="17"/>
      <c r="G30" s="17"/>
      <c r="H30" s="17"/>
      <c r="I30" s="17"/>
      <c r="J30" s="17"/>
      <c r="K30" s="18" t="n">
        <f aca="false">SUM(D30:J30)</f>
        <v>0</v>
      </c>
    </row>
    <row r="31" customFormat="false" ht="15" hidden="false" customHeight="false" outlineLevel="0" collapsed="false">
      <c r="A31" s="4" t="n">
        <v>28</v>
      </c>
      <c r="B31" s="19"/>
      <c r="C31" s="19"/>
      <c r="D31" s="19"/>
      <c r="E31" s="19"/>
      <c r="F31" s="19"/>
      <c r="G31" s="19"/>
      <c r="H31" s="19"/>
      <c r="I31" s="19"/>
      <c r="J31" s="19"/>
      <c r="K31" s="20" t="n">
        <f aca="false">SUM(D31:J31)</f>
        <v>0</v>
      </c>
    </row>
    <row r="32" customFormat="false" ht="15" hidden="false" customHeight="false" outlineLevel="0" collapsed="false">
      <c r="A32" s="8" t="n">
        <v>29</v>
      </c>
      <c r="B32" s="17"/>
      <c r="C32" s="17"/>
      <c r="D32" s="17"/>
      <c r="E32" s="17"/>
      <c r="F32" s="17"/>
      <c r="G32" s="17"/>
      <c r="H32" s="17"/>
      <c r="I32" s="17"/>
      <c r="J32" s="17"/>
      <c r="K32" s="18" t="n">
        <f aca="false">SUM(D32:J32)</f>
        <v>0</v>
      </c>
    </row>
    <row r="33" customFormat="false" ht="15" hidden="false" customHeight="false" outlineLevel="0" collapsed="false">
      <c r="A33" s="4" t="n">
        <v>30</v>
      </c>
      <c r="B33" s="19"/>
      <c r="C33" s="19"/>
      <c r="D33" s="19"/>
      <c r="E33" s="19"/>
      <c r="F33" s="19"/>
      <c r="G33" s="19"/>
      <c r="H33" s="19"/>
      <c r="I33" s="19"/>
      <c r="J33" s="19"/>
      <c r="K33" s="20" t="n">
        <f aca="false">SUM(D33:J33)</f>
        <v>0</v>
      </c>
    </row>
    <row r="35" customFormat="false" ht="25.5" hidden="false" customHeight="true" outlineLevel="0" collapsed="false">
      <c r="A35" s="21" t="s">
        <v>44</v>
      </c>
      <c r="B35" s="21"/>
      <c r="C35" s="21"/>
      <c r="D35" s="21"/>
      <c r="E35" s="21"/>
      <c r="F35" s="21"/>
      <c r="G35" s="21"/>
      <c r="H35" s="21"/>
      <c r="I35" s="21"/>
      <c r="J35" s="21"/>
      <c r="K35" s="21"/>
    </row>
    <row r="36" customFormat="false" ht="23.85" hidden="false" customHeight="false" outlineLevel="0" collapsed="false">
      <c r="A36" s="22" t="s">
        <v>33</v>
      </c>
      <c r="B36" s="22" t="s">
        <v>34</v>
      </c>
      <c r="C36" s="22" t="s">
        <v>35</v>
      </c>
      <c r="D36" s="22" t="s">
        <v>45</v>
      </c>
      <c r="E36" s="22" t="s">
        <v>46</v>
      </c>
      <c r="F36" s="22" t="s">
        <v>47</v>
      </c>
      <c r="G36" s="22" t="s">
        <v>48</v>
      </c>
      <c r="H36" s="22" t="s">
        <v>49</v>
      </c>
      <c r="I36" s="22" t="s">
        <v>50</v>
      </c>
      <c r="J36" s="22" t="s">
        <v>51</v>
      </c>
      <c r="K36" s="22" t="s">
        <v>52</v>
      </c>
    </row>
    <row r="37" customFormat="false" ht="15" hidden="false" customHeight="false" outlineLevel="0" collapsed="false">
      <c r="A37" s="4" t="n">
        <v>1</v>
      </c>
      <c r="B37" s="19"/>
      <c r="C37" s="19"/>
      <c r="D37" s="19"/>
      <c r="E37" s="19"/>
      <c r="F37" s="19"/>
      <c r="G37" s="19"/>
      <c r="H37" s="19"/>
      <c r="I37" s="19"/>
      <c r="J37" s="19"/>
      <c r="K37" s="23" t="n">
        <f aca="false">SUM(D37:J37)</f>
        <v>0</v>
      </c>
    </row>
    <row r="38" customFormat="false" ht="15" hidden="false" customHeight="false" outlineLevel="0" collapsed="false">
      <c r="A38" s="8" t="n">
        <v>2</v>
      </c>
      <c r="B38" s="17"/>
      <c r="C38" s="17"/>
      <c r="D38" s="17"/>
      <c r="E38" s="17"/>
      <c r="F38" s="17"/>
      <c r="G38" s="17"/>
      <c r="H38" s="17"/>
      <c r="I38" s="17"/>
      <c r="J38" s="17"/>
      <c r="K38" s="24" t="n">
        <f aca="false">SUM(D38:J38)</f>
        <v>0</v>
      </c>
    </row>
    <row r="39" customFormat="false" ht="15" hidden="false" customHeight="false" outlineLevel="0" collapsed="false">
      <c r="A39" s="4" t="n">
        <v>3</v>
      </c>
      <c r="B39" s="19"/>
      <c r="C39" s="19"/>
      <c r="D39" s="19"/>
      <c r="E39" s="19"/>
      <c r="F39" s="19"/>
      <c r="G39" s="19"/>
      <c r="H39" s="19"/>
      <c r="I39" s="19"/>
      <c r="J39" s="19"/>
      <c r="K39" s="23" t="n">
        <f aca="false">SUM(D39:J39)</f>
        <v>0</v>
      </c>
    </row>
    <row r="40" customFormat="false" ht="15" hidden="false" customHeight="false" outlineLevel="0" collapsed="false">
      <c r="A40" s="8" t="n">
        <v>4</v>
      </c>
      <c r="B40" s="17"/>
      <c r="C40" s="17"/>
      <c r="D40" s="17"/>
      <c r="E40" s="17"/>
      <c r="F40" s="17"/>
      <c r="G40" s="17"/>
      <c r="H40" s="17"/>
      <c r="I40" s="17"/>
      <c r="J40" s="17"/>
      <c r="K40" s="24" t="n">
        <f aca="false">SUM(D40:J40)</f>
        <v>0</v>
      </c>
    </row>
    <row r="41" customFormat="false" ht="15" hidden="false" customHeight="false" outlineLevel="0" collapsed="false">
      <c r="A41" s="4" t="n">
        <v>5</v>
      </c>
      <c r="B41" s="19"/>
      <c r="C41" s="19"/>
      <c r="D41" s="19"/>
      <c r="E41" s="19"/>
      <c r="F41" s="19"/>
      <c r="G41" s="19"/>
      <c r="H41" s="19"/>
      <c r="I41" s="19"/>
      <c r="J41" s="19"/>
      <c r="K41" s="23" t="n">
        <f aca="false">SUM(D41:J41)</f>
        <v>0</v>
      </c>
    </row>
    <row r="42" customFormat="false" ht="15" hidden="false" customHeight="false" outlineLevel="0" collapsed="false">
      <c r="A42" s="8" t="n">
        <v>6</v>
      </c>
      <c r="B42" s="17"/>
      <c r="C42" s="17"/>
      <c r="D42" s="17"/>
      <c r="E42" s="17"/>
      <c r="F42" s="17"/>
      <c r="G42" s="17"/>
      <c r="H42" s="17"/>
      <c r="I42" s="17"/>
      <c r="J42" s="17"/>
      <c r="K42" s="24" t="n">
        <f aca="false">SUM(D42:J42)</f>
        <v>0</v>
      </c>
    </row>
    <row r="43" customFormat="false" ht="15" hidden="false" customHeight="false" outlineLevel="0" collapsed="false">
      <c r="A43" s="4" t="n">
        <v>7</v>
      </c>
      <c r="B43" s="19"/>
      <c r="C43" s="19"/>
      <c r="D43" s="19"/>
      <c r="E43" s="19"/>
      <c r="F43" s="19"/>
      <c r="G43" s="19"/>
      <c r="H43" s="19"/>
      <c r="I43" s="19"/>
      <c r="J43" s="19"/>
      <c r="K43" s="23" t="n">
        <f aca="false">SUM(D43:J43)</f>
        <v>0</v>
      </c>
    </row>
    <row r="44" customFormat="false" ht="15" hidden="false" customHeight="false" outlineLevel="0" collapsed="false">
      <c r="A44" s="8" t="n">
        <v>8</v>
      </c>
      <c r="B44" s="17"/>
      <c r="C44" s="17"/>
      <c r="D44" s="17"/>
      <c r="E44" s="17"/>
      <c r="F44" s="17"/>
      <c r="G44" s="17"/>
      <c r="H44" s="17"/>
      <c r="I44" s="17"/>
      <c r="J44" s="17"/>
      <c r="K44" s="24" t="n">
        <f aca="false">SUM(D44:J44)</f>
        <v>0</v>
      </c>
    </row>
    <row r="45" customFormat="false" ht="15" hidden="false" customHeight="false" outlineLevel="0" collapsed="false">
      <c r="A45" s="4" t="n">
        <v>9</v>
      </c>
      <c r="B45" s="19"/>
      <c r="C45" s="19"/>
      <c r="D45" s="19"/>
      <c r="E45" s="19"/>
      <c r="F45" s="19"/>
      <c r="G45" s="19"/>
      <c r="H45" s="19"/>
      <c r="I45" s="19"/>
      <c r="J45" s="19"/>
      <c r="K45" s="23" t="n">
        <f aca="false">SUM(D45:J45)</f>
        <v>0</v>
      </c>
    </row>
    <row r="46" customFormat="false" ht="15" hidden="false" customHeight="false" outlineLevel="0" collapsed="false">
      <c r="A46" s="8" t="n">
        <v>10</v>
      </c>
      <c r="B46" s="17"/>
      <c r="C46" s="17"/>
      <c r="D46" s="17"/>
      <c r="E46" s="17"/>
      <c r="F46" s="17"/>
      <c r="G46" s="17"/>
      <c r="H46" s="17"/>
      <c r="I46" s="17"/>
      <c r="J46" s="17"/>
      <c r="K46" s="24" t="n">
        <f aca="false">SUM(D46:J46)</f>
        <v>0</v>
      </c>
    </row>
    <row r="47" customFormat="false" ht="15" hidden="false" customHeight="false" outlineLevel="0" collapsed="false">
      <c r="A47" s="4" t="n">
        <v>11</v>
      </c>
      <c r="B47" s="19"/>
      <c r="C47" s="19"/>
      <c r="D47" s="19"/>
      <c r="E47" s="19"/>
      <c r="F47" s="19"/>
      <c r="G47" s="19"/>
      <c r="H47" s="19"/>
      <c r="I47" s="19"/>
      <c r="J47" s="19"/>
      <c r="K47" s="23" t="n">
        <f aca="false">SUM(D47:J47)</f>
        <v>0</v>
      </c>
    </row>
    <row r="48" customFormat="false" ht="15" hidden="false" customHeight="false" outlineLevel="0" collapsed="false">
      <c r="A48" s="8" t="n">
        <v>12</v>
      </c>
      <c r="B48" s="17"/>
      <c r="C48" s="17"/>
      <c r="D48" s="17"/>
      <c r="E48" s="17"/>
      <c r="F48" s="17"/>
      <c r="G48" s="17"/>
      <c r="H48" s="17"/>
      <c r="I48" s="17"/>
      <c r="J48" s="17"/>
      <c r="K48" s="24" t="n">
        <f aca="false">SUM(D48:J48)</f>
        <v>0</v>
      </c>
    </row>
    <row r="49" customFormat="false" ht="15" hidden="false" customHeight="false" outlineLevel="0" collapsed="false">
      <c r="A49" s="4" t="n">
        <v>13</v>
      </c>
      <c r="B49" s="19"/>
      <c r="C49" s="19"/>
      <c r="D49" s="19"/>
      <c r="E49" s="19"/>
      <c r="F49" s="19"/>
      <c r="G49" s="19"/>
      <c r="H49" s="19"/>
      <c r="I49" s="19"/>
      <c r="J49" s="19"/>
      <c r="K49" s="23" t="n">
        <f aca="false">SUM(D49:J49)</f>
        <v>0</v>
      </c>
    </row>
    <row r="50" customFormat="false" ht="15" hidden="false" customHeight="false" outlineLevel="0" collapsed="false">
      <c r="A50" s="8" t="n">
        <v>14</v>
      </c>
      <c r="B50" s="17"/>
      <c r="C50" s="17"/>
      <c r="D50" s="17"/>
      <c r="E50" s="17"/>
      <c r="F50" s="17"/>
      <c r="G50" s="17"/>
      <c r="H50" s="17"/>
      <c r="I50" s="17"/>
      <c r="J50" s="17"/>
      <c r="K50" s="24" t="n">
        <f aca="false">SUM(D50:J50)</f>
        <v>0</v>
      </c>
    </row>
    <row r="51" customFormat="false" ht="15" hidden="false" customHeight="false" outlineLevel="0" collapsed="false">
      <c r="A51" s="4" t="n">
        <v>15</v>
      </c>
      <c r="B51" s="19"/>
      <c r="C51" s="19"/>
      <c r="D51" s="19"/>
      <c r="E51" s="19"/>
      <c r="F51" s="19"/>
      <c r="G51" s="19"/>
      <c r="H51" s="19"/>
      <c r="I51" s="19"/>
      <c r="J51" s="19"/>
      <c r="K51" s="23" t="n">
        <f aca="false">SUM(D51:J51)</f>
        <v>0</v>
      </c>
    </row>
    <row r="52" customFormat="false" ht="15" hidden="false" customHeight="false" outlineLevel="0" collapsed="false">
      <c r="A52" s="8" t="n">
        <v>16</v>
      </c>
      <c r="B52" s="17"/>
      <c r="C52" s="17"/>
      <c r="D52" s="17"/>
      <c r="E52" s="17"/>
      <c r="F52" s="17"/>
      <c r="G52" s="17"/>
      <c r="H52" s="17"/>
      <c r="I52" s="17"/>
      <c r="J52" s="17"/>
      <c r="K52" s="24" t="n">
        <f aca="false">SUM(D52:J52)</f>
        <v>0</v>
      </c>
    </row>
    <row r="53" customFormat="false" ht="15" hidden="false" customHeight="false" outlineLevel="0" collapsed="false">
      <c r="A53" s="4" t="n">
        <v>17</v>
      </c>
      <c r="B53" s="19"/>
      <c r="C53" s="19"/>
      <c r="D53" s="19"/>
      <c r="E53" s="19"/>
      <c r="F53" s="19"/>
      <c r="G53" s="19"/>
      <c r="H53" s="19"/>
      <c r="I53" s="19"/>
      <c r="J53" s="19"/>
      <c r="K53" s="23" t="n">
        <f aca="false">SUM(D53:J53)</f>
        <v>0</v>
      </c>
    </row>
    <row r="54" customFormat="false" ht="15" hidden="false" customHeight="false" outlineLevel="0" collapsed="false">
      <c r="A54" s="8" t="n">
        <v>18</v>
      </c>
      <c r="B54" s="17"/>
      <c r="C54" s="17"/>
      <c r="D54" s="17"/>
      <c r="E54" s="17"/>
      <c r="F54" s="17"/>
      <c r="G54" s="17"/>
      <c r="H54" s="17"/>
      <c r="I54" s="17"/>
      <c r="J54" s="17"/>
      <c r="K54" s="24" t="n">
        <f aca="false">SUM(D54:J54)</f>
        <v>0</v>
      </c>
    </row>
    <row r="55" customFormat="false" ht="15" hidden="false" customHeight="false" outlineLevel="0" collapsed="false">
      <c r="A55" s="4" t="n">
        <v>19</v>
      </c>
      <c r="B55" s="19"/>
      <c r="C55" s="19"/>
      <c r="D55" s="19"/>
      <c r="E55" s="19"/>
      <c r="F55" s="19"/>
      <c r="G55" s="19"/>
      <c r="H55" s="19"/>
      <c r="I55" s="19"/>
      <c r="J55" s="19"/>
      <c r="K55" s="23" t="n">
        <f aca="false">SUM(D55:J55)</f>
        <v>0</v>
      </c>
    </row>
    <row r="56" customFormat="false" ht="15" hidden="false" customHeight="false" outlineLevel="0" collapsed="false">
      <c r="A56" s="8" t="n">
        <v>20</v>
      </c>
      <c r="B56" s="17"/>
      <c r="C56" s="17"/>
      <c r="D56" s="17"/>
      <c r="E56" s="17"/>
      <c r="F56" s="17"/>
      <c r="G56" s="17"/>
      <c r="H56" s="17"/>
      <c r="I56" s="17"/>
      <c r="J56" s="17"/>
      <c r="K56" s="24" t="n">
        <f aca="false">SUM(D56:J56)</f>
        <v>0</v>
      </c>
    </row>
  </sheetData>
  <mergeCells count="3">
    <mergeCell ref="A1:K1"/>
    <mergeCell ref="A2:K2"/>
    <mergeCell ref="A35:K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H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6"/>
    <col collapsed="false" customWidth="true" hidden="false" outlineLevel="0" max="3" min="3" style="0" width="14"/>
    <col collapsed="false" customWidth="true" hidden="false" outlineLevel="0" max="4" min="4" style="0" width="22"/>
    <col collapsed="false" customWidth="true" hidden="false" outlineLevel="0" max="5" min="5" style="0" width="20"/>
    <col collapsed="false" customWidth="true" hidden="false" outlineLevel="0" max="7" min="6" style="0" width="22"/>
    <col collapsed="false" customWidth="true" hidden="false" outlineLevel="0" max="8" min="8" style="0" width="14"/>
  </cols>
  <sheetData>
    <row r="1" customFormat="false" ht="33.75" hidden="false" customHeight="true" outlineLevel="0" collapsed="false">
      <c r="A1" s="25" t="s">
        <v>53</v>
      </c>
      <c r="B1" s="25"/>
      <c r="C1" s="25"/>
      <c r="D1" s="25"/>
      <c r="E1" s="25"/>
      <c r="F1" s="25"/>
      <c r="G1" s="25"/>
      <c r="H1" s="25"/>
    </row>
    <row r="2" customFormat="false" ht="25.5" hidden="false" customHeight="true" outlineLevel="0" collapsed="false">
      <c r="A2" s="26" t="s">
        <v>54</v>
      </c>
      <c r="B2" s="26"/>
      <c r="C2" s="26"/>
      <c r="D2" s="26"/>
      <c r="E2" s="26"/>
      <c r="F2" s="26"/>
      <c r="G2" s="26"/>
      <c r="H2" s="26"/>
    </row>
    <row r="3" customFormat="false" ht="23.85" hidden="false" customHeight="false" outlineLevel="0" collapsed="false">
      <c r="A3" s="27" t="s">
        <v>33</v>
      </c>
      <c r="B3" s="27" t="s">
        <v>34</v>
      </c>
      <c r="C3" s="27" t="s">
        <v>35</v>
      </c>
      <c r="D3" s="27" t="s">
        <v>55</v>
      </c>
      <c r="E3" s="27" t="s">
        <v>56</v>
      </c>
      <c r="F3" s="27" t="s">
        <v>57</v>
      </c>
      <c r="G3" s="27" t="s">
        <v>58</v>
      </c>
      <c r="H3" s="27" t="s">
        <v>59</v>
      </c>
    </row>
    <row r="4" customFormat="false" ht="15" hidden="false" customHeight="false" outlineLevel="0" collapsed="false">
      <c r="A4" s="8" t="n">
        <v>1</v>
      </c>
      <c r="B4" s="17"/>
      <c r="C4" s="17"/>
      <c r="D4" s="18" t="n">
        <f aca="false">'1. Total Income'!K4</f>
        <v>0</v>
      </c>
      <c r="E4" s="17"/>
      <c r="F4" s="24" t="n">
        <f aca="false">IF(E4&gt;0,D4/E4,0)</f>
        <v>0</v>
      </c>
      <c r="G4" s="24" t="n">
        <f aca="false">IF('3. Staff FTE'!J4&gt;0,F4/'3. Staff FTE'!J4,0)</f>
        <v>0</v>
      </c>
      <c r="H4" s="17"/>
    </row>
    <row r="5" customFormat="false" ht="15" hidden="false" customHeight="false" outlineLevel="0" collapsed="false">
      <c r="A5" s="4" t="n">
        <v>2</v>
      </c>
      <c r="B5" s="19"/>
      <c r="C5" s="19"/>
      <c r="D5" s="20" t="n">
        <f aca="false">'1. Total Income'!K5</f>
        <v>0</v>
      </c>
      <c r="E5" s="19"/>
      <c r="F5" s="23" t="n">
        <f aca="false">IF(E5&gt;0,D5/E5,0)</f>
        <v>0</v>
      </c>
      <c r="G5" s="23" t="n">
        <f aca="false">IF('3. Staff FTE'!J5&gt;0,F5/'3. Staff FTE'!J5,0)</f>
        <v>0</v>
      </c>
      <c r="H5" s="19"/>
    </row>
    <row r="6" customFormat="false" ht="15" hidden="false" customHeight="false" outlineLevel="0" collapsed="false">
      <c r="A6" s="8" t="n">
        <v>3</v>
      </c>
      <c r="B6" s="17"/>
      <c r="C6" s="17"/>
      <c r="D6" s="18" t="n">
        <f aca="false">'1. Total Income'!K6</f>
        <v>0</v>
      </c>
      <c r="E6" s="17"/>
      <c r="F6" s="24" t="n">
        <f aca="false">IF(E6&gt;0,D6/E6,0)</f>
        <v>0</v>
      </c>
      <c r="G6" s="24" t="n">
        <f aca="false">IF('3. Staff FTE'!J6&gt;0,F6/'3. Staff FTE'!J6,0)</f>
        <v>0</v>
      </c>
      <c r="H6" s="17"/>
    </row>
    <row r="7" customFormat="false" ht="15" hidden="false" customHeight="false" outlineLevel="0" collapsed="false">
      <c r="A7" s="4" t="n">
        <v>4</v>
      </c>
      <c r="B7" s="19"/>
      <c r="C7" s="19"/>
      <c r="D7" s="20" t="n">
        <f aca="false">'1. Total Income'!K7</f>
        <v>0</v>
      </c>
      <c r="E7" s="19"/>
      <c r="F7" s="23" t="n">
        <f aca="false">IF(E7&gt;0,D7/E7,0)</f>
        <v>0</v>
      </c>
      <c r="G7" s="23" t="n">
        <f aca="false">IF('3. Staff FTE'!J7&gt;0,F7/'3. Staff FTE'!J7,0)</f>
        <v>0</v>
      </c>
      <c r="H7" s="19"/>
    </row>
    <row r="8" customFormat="false" ht="15" hidden="false" customHeight="false" outlineLevel="0" collapsed="false">
      <c r="A8" s="8" t="n">
        <v>5</v>
      </c>
      <c r="B8" s="17"/>
      <c r="C8" s="17"/>
      <c r="D8" s="18" t="n">
        <f aca="false">'1. Total Income'!K8</f>
        <v>0</v>
      </c>
      <c r="E8" s="17"/>
      <c r="F8" s="24" t="n">
        <f aca="false">IF(E8&gt;0,D8/E8,0)</f>
        <v>0</v>
      </c>
      <c r="G8" s="24" t="n">
        <f aca="false">IF('3. Staff FTE'!J8&gt;0,F8/'3. Staff FTE'!J8,0)</f>
        <v>0</v>
      </c>
      <c r="H8" s="17"/>
    </row>
    <row r="9" customFormat="false" ht="15" hidden="false" customHeight="false" outlineLevel="0" collapsed="false">
      <c r="A9" s="4" t="n">
        <v>6</v>
      </c>
      <c r="B9" s="19"/>
      <c r="C9" s="19"/>
      <c r="D9" s="20" t="n">
        <f aca="false">'1. Total Income'!K9</f>
        <v>0</v>
      </c>
      <c r="E9" s="19"/>
      <c r="F9" s="23" t="n">
        <f aca="false">IF(E9&gt;0,D9/E9,0)</f>
        <v>0</v>
      </c>
      <c r="G9" s="23" t="n">
        <f aca="false">IF('3. Staff FTE'!J9&gt;0,F9/'3. Staff FTE'!J9,0)</f>
        <v>0</v>
      </c>
      <c r="H9" s="19"/>
    </row>
    <row r="10" customFormat="false" ht="15" hidden="false" customHeight="false" outlineLevel="0" collapsed="false">
      <c r="A10" s="8" t="n">
        <v>7</v>
      </c>
      <c r="B10" s="17"/>
      <c r="C10" s="17"/>
      <c r="D10" s="18" t="n">
        <f aca="false">'1. Total Income'!K10</f>
        <v>0</v>
      </c>
      <c r="E10" s="17"/>
      <c r="F10" s="24" t="n">
        <f aca="false">IF(E10&gt;0,D10/E10,0)</f>
        <v>0</v>
      </c>
      <c r="G10" s="24" t="n">
        <f aca="false">IF('3. Staff FTE'!J10&gt;0,F10/'3. Staff FTE'!J10,0)</f>
        <v>0</v>
      </c>
      <c r="H10" s="17"/>
    </row>
    <row r="11" customFormat="false" ht="15" hidden="false" customHeight="false" outlineLevel="0" collapsed="false">
      <c r="A11" s="4" t="n">
        <v>8</v>
      </c>
      <c r="B11" s="19"/>
      <c r="C11" s="19"/>
      <c r="D11" s="20" t="n">
        <f aca="false">'1. Total Income'!K11</f>
        <v>0</v>
      </c>
      <c r="E11" s="19"/>
      <c r="F11" s="23" t="n">
        <f aca="false">IF(E11&gt;0,D11/E11,0)</f>
        <v>0</v>
      </c>
      <c r="G11" s="23" t="n">
        <f aca="false">IF('3. Staff FTE'!J11&gt;0,F11/'3. Staff FTE'!J11,0)</f>
        <v>0</v>
      </c>
      <c r="H11" s="19"/>
    </row>
    <row r="12" customFormat="false" ht="15" hidden="false" customHeight="false" outlineLevel="0" collapsed="false">
      <c r="A12" s="8" t="n">
        <v>9</v>
      </c>
      <c r="B12" s="17"/>
      <c r="C12" s="17"/>
      <c r="D12" s="18" t="n">
        <f aca="false">'1. Total Income'!K12</f>
        <v>0</v>
      </c>
      <c r="E12" s="17"/>
      <c r="F12" s="24" t="n">
        <f aca="false">IF(E12&gt;0,D12/E12,0)</f>
        <v>0</v>
      </c>
      <c r="G12" s="24" t="n">
        <f aca="false">IF('3. Staff FTE'!J12&gt;0,F12/'3. Staff FTE'!J12,0)</f>
        <v>0</v>
      </c>
      <c r="H12" s="17"/>
    </row>
    <row r="13" customFormat="false" ht="15" hidden="false" customHeight="false" outlineLevel="0" collapsed="false">
      <c r="A13" s="4" t="n">
        <v>10</v>
      </c>
      <c r="B13" s="19"/>
      <c r="C13" s="19"/>
      <c r="D13" s="20" t="n">
        <f aca="false">'1. Total Income'!K13</f>
        <v>0</v>
      </c>
      <c r="E13" s="19"/>
      <c r="F13" s="23" t="n">
        <f aca="false">IF(E13&gt;0,D13/E13,0)</f>
        <v>0</v>
      </c>
      <c r="G13" s="23" t="n">
        <f aca="false">IF('3. Staff FTE'!J13&gt;0,F13/'3. Staff FTE'!J13,0)</f>
        <v>0</v>
      </c>
      <c r="H13" s="19"/>
    </row>
    <row r="14" customFormat="false" ht="15" hidden="false" customHeight="false" outlineLevel="0" collapsed="false">
      <c r="A14" s="8" t="n">
        <v>11</v>
      </c>
      <c r="B14" s="17"/>
      <c r="C14" s="17"/>
      <c r="D14" s="18" t="n">
        <f aca="false">'1. Total Income'!K14</f>
        <v>0</v>
      </c>
      <c r="E14" s="17"/>
      <c r="F14" s="24" t="n">
        <f aca="false">IF(E14&gt;0,D14/E14,0)</f>
        <v>0</v>
      </c>
      <c r="G14" s="24" t="n">
        <f aca="false">IF('3. Staff FTE'!J14&gt;0,F14/'3. Staff FTE'!J14,0)</f>
        <v>0</v>
      </c>
      <c r="H14" s="17"/>
    </row>
    <row r="15" customFormat="false" ht="15" hidden="false" customHeight="false" outlineLevel="0" collapsed="false">
      <c r="A15" s="4" t="n">
        <v>12</v>
      </c>
      <c r="B15" s="19"/>
      <c r="C15" s="19"/>
      <c r="D15" s="20" t="n">
        <f aca="false">'1. Total Income'!K15</f>
        <v>0</v>
      </c>
      <c r="E15" s="19"/>
      <c r="F15" s="23" t="n">
        <f aca="false">IF(E15&gt;0,D15/E15,0)</f>
        <v>0</v>
      </c>
      <c r="G15" s="23" t="n">
        <f aca="false">IF('3. Staff FTE'!J15&gt;0,F15/'3. Staff FTE'!J15,0)</f>
        <v>0</v>
      </c>
      <c r="H15" s="19"/>
    </row>
    <row r="16" customFormat="false" ht="15" hidden="false" customHeight="false" outlineLevel="0" collapsed="false">
      <c r="A16" s="8" t="n">
        <v>13</v>
      </c>
      <c r="B16" s="17"/>
      <c r="C16" s="17"/>
      <c r="D16" s="18" t="n">
        <f aca="false">'1. Total Income'!K16</f>
        <v>0</v>
      </c>
      <c r="E16" s="17"/>
      <c r="F16" s="24" t="n">
        <f aca="false">IF(E16&gt;0,D16/E16,0)</f>
        <v>0</v>
      </c>
      <c r="G16" s="24" t="n">
        <f aca="false">IF('3. Staff FTE'!J16&gt;0,F16/'3. Staff FTE'!J16,0)</f>
        <v>0</v>
      </c>
      <c r="H16" s="17"/>
    </row>
    <row r="17" customFormat="false" ht="15" hidden="false" customHeight="false" outlineLevel="0" collapsed="false">
      <c r="A17" s="4" t="n">
        <v>14</v>
      </c>
      <c r="B17" s="19"/>
      <c r="C17" s="19"/>
      <c r="D17" s="20" t="n">
        <f aca="false">'1. Total Income'!K17</f>
        <v>0</v>
      </c>
      <c r="E17" s="19"/>
      <c r="F17" s="23" t="n">
        <f aca="false">IF(E17&gt;0,D17/E17,0)</f>
        <v>0</v>
      </c>
      <c r="G17" s="23" t="n">
        <f aca="false">IF('3. Staff FTE'!J17&gt;0,F17/'3. Staff FTE'!J17,0)</f>
        <v>0</v>
      </c>
      <c r="H17" s="19"/>
    </row>
    <row r="18" customFormat="false" ht="15" hidden="false" customHeight="false" outlineLevel="0" collapsed="false">
      <c r="A18" s="8" t="n">
        <v>15</v>
      </c>
      <c r="B18" s="17"/>
      <c r="C18" s="17"/>
      <c r="D18" s="18" t="n">
        <f aca="false">'1. Total Income'!K18</f>
        <v>0</v>
      </c>
      <c r="E18" s="17"/>
      <c r="F18" s="24" t="n">
        <f aca="false">IF(E18&gt;0,D18/E18,0)</f>
        <v>0</v>
      </c>
      <c r="G18" s="24" t="n">
        <f aca="false">IF('3. Staff FTE'!J18&gt;0,F18/'3. Staff FTE'!J18,0)</f>
        <v>0</v>
      </c>
      <c r="H18" s="17"/>
    </row>
    <row r="19" customFormat="false" ht="15" hidden="false" customHeight="false" outlineLevel="0" collapsed="false">
      <c r="A19" s="4" t="n">
        <v>16</v>
      </c>
      <c r="B19" s="19"/>
      <c r="C19" s="19"/>
      <c r="D19" s="20" t="n">
        <f aca="false">'1. Total Income'!K19</f>
        <v>0</v>
      </c>
      <c r="E19" s="19"/>
      <c r="F19" s="23" t="n">
        <f aca="false">IF(E19&gt;0,D19/E19,0)</f>
        <v>0</v>
      </c>
      <c r="G19" s="23" t="n">
        <f aca="false">IF('3. Staff FTE'!J19&gt;0,F19/'3. Staff FTE'!J19,0)</f>
        <v>0</v>
      </c>
      <c r="H19" s="19"/>
    </row>
    <row r="20" customFormat="false" ht="15" hidden="false" customHeight="false" outlineLevel="0" collapsed="false">
      <c r="A20" s="8" t="n">
        <v>17</v>
      </c>
      <c r="B20" s="17"/>
      <c r="C20" s="17"/>
      <c r="D20" s="18" t="n">
        <f aca="false">'1. Total Income'!K20</f>
        <v>0</v>
      </c>
      <c r="E20" s="17"/>
      <c r="F20" s="24" t="n">
        <f aca="false">IF(E20&gt;0,D20/E20,0)</f>
        <v>0</v>
      </c>
      <c r="G20" s="24" t="n">
        <f aca="false">IF('3. Staff FTE'!J20&gt;0,F20/'3. Staff FTE'!J20,0)</f>
        <v>0</v>
      </c>
      <c r="H20" s="17"/>
    </row>
    <row r="21" customFormat="false" ht="15" hidden="false" customHeight="false" outlineLevel="0" collapsed="false">
      <c r="A21" s="4" t="n">
        <v>18</v>
      </c>
      <c r="B21" s="19"/>
      <c r="C21" s="19"/>
      <c r="D21" s="20" t="n">
        <f aca="false">'1. Total Income'!K21</f>
        <v>0</v>
      </c>
      <c r="E21" s="19"/>
      <c r="F21" s="23" t="n">
        <f aca="false">IF(E21&gt;0,D21/E21,0)</f>
        <v>0</v>
      </c>
      <c r="G21" s="23" t="n">
        <f aca="false">IF('3. Staff FTE'!J21&gt;0,F21/'3. Staff FTE'!J21,0)</f>
        <v>0</v>
      </c>
      <c r="H21" s="19"/>
    </row>
    <row r="22" customFormat="false" ht="15" hidden="false" customHeight="false" outlineLevel="0" collapsed="false">
      <c r="A22" s="8" t="n">
        <v>19</v>
      </c>
      <c r="B22" s="17"/>
      <c r="C22" s="17"/>
      <c r="D22" s="18" t="n">
        <f aca="false">'1. Total Income'!K22</f>
        <v>0</v>
      </c>
      <c r="E22" s="17"/>
      <c r="F22" s="24" t="n">
        <f aca="false">IF(E22&gt;0,D22/E22,0)</f>
        <v>0</v>
      </c>
      <c r="G22" s="24" t="n">
        <f aca="false">IF('3. Staff FTE'!J22&gt;0,F22/'3. Staff FTE'!J22,0)</f>
        <v>0</v>
      </c>
      <c r="H22" s="17"/>
    </row>
    <row r="23" customFormat="false" ht="15" hidden="false" customHeight="false" outlineLevel="0" collapsed="false">
      <c r="A23" s="4" t="n">
        <v>20</v>
      </c>
      <c r="B23" s="19"/>
      <c r="C23" s="19"/>
      <c r="D23" s="20" t="n">
        <f aca="false">'1. Total Income'!K23</f>
        <v>0</v>
      </c>
      <c r="E23" s="19"/>
      <c r="F23" s="23" t="n">
        <f aca="false">IF(E23&gt;0,D23/E23,0)</f>
        <v>0</v>
      </c>
      <c r="G23" s="23" t="n">
        <f aca="false">IF('3. Staff FTE'!J23&gt;0,F23/'3. Staff FTE'!J23,0)</f>
        <v>0</v>
      </c>
      <c r="H23" s="19"/>
    </row>
    <row r="24" customFormat="false" ht="15" hidden="false" customHeight="false" outlineLevel="0" collapsed="false">
      <c r="A24" s="8" t="n">
        <v>21</v>
      </c>
      <c r="B24" s="17"/>
      <c r="C24" s="17"/>
      <c r="D24" s="18" t="n">
        <f aca="false">'1. Total Income'!K24</f>
        <v>0</v>
      </c>
      <c r="E24" s="17"/>
      <c r="F24" s="24" t="n">
        <f aca="false">IF(E24&gt;0,D24/E24,0)</f>
        <v>0</v>
      </c>
      <c r="G24" s="24" t="n">
        <f aca="false">IF('3. Staff FTE'!J24&gt;0,F24/'3. Staff FTE'!J24,0)</f>
        <v>0</v>
      </c>
      <c r="H24" s="17"/>
    </row>
    <row r="25" customFormat="false" ht="15" hidden="false" customHeight="false" outlineLevel="0" collapsed="false">
      <c r="A25" s="4" t="n">
        <v>22</v>
      </c>
      <c r="B25" s="19"/>
      <c r="C25" s="19"/>
      <c r="D25" s="20" t="n">
        <f aca="false">'1. Total Income'!K25</f>
        <v>0</v>
      </c>
      <c r="E25" s="19"/>
      <c r="F25" s="23" t="n">
        <f aca="false">IF(E25&gt;0,D25/E25,0)</f>
        <v>0</v>
      </c>
      <c r="G25" s="23" t="n">
        <f aca="false">IF('3. Staff FTE'!J25&gt;0,F25/'3. Staff FTE'!J25,0)</f>
        <v>0</v>
      </c>
      <c r="H25" s="19"/>
    </row>
    <row r="26" customFormat="false" ht="15" hidden="false" customHeight="false" outlineLevel="0" collapsed="false">
      <c r="A26" s="8" t="n">
        <v>23</v>
      </c>
      <c r="B26" s="17"/>
      <c r="C26" s="17"/>
      <c r="D26" s="18" t="n">
        <f aca="false">'1. Total Income'!K26</f>
        <v>0</v>
      </c>
      <c r="E26" s="17"/>
      <c r="F26" s="24" t="n">
        <f aca="false">IF(E26&gt;0,D26/E26,0)</f>
        <v>0</v>
      </c>
      <c r="G26" s="24" t="n">
        <f aca="false">IF('3. Staff FTE'!J26&gt;0,F26/'3. Staff FTE'!J26,0)</f>
        <v>0</v>
      </c>
      <c r="H26" s="17"/>
    </row>
    <row r="27" customFormat="false" ht="15" hidden="false" customHeight="false" outlineLevel="0" collapsed="false">
      <c r="A27" s="4" t="n">
        <v>24</v>
      </c>
      <c r="B27" s="19"/>
      <c r="C27" s="19"/>
      <c r="D27" s="20" t="n">
        <f aca="false">'1. Total Income'!K27</f>
        <v>0</v>
      </c>
      <c r="E27" s="19"/>
      <c r="F27" s="23" t="n">
        <f aca="false">IF(E27&gt;0,D27/E27,0)</f>
        <v>0</v>
      </c>
      <c r="G27" s="23" t="n">
        <f aca="false">IF('3. Staff FTE'!J27&gt;0,F27/'3. Staff FTE'!J27,0)</f>
        <v>0</v>
      </c>
      <c r="H27" s="19"/>
    </row>
    <row r="28" customFormat="false" ht="15" hidden="false" customHeight="false" outlineLevel="0" collapsed="false">
      <c r="A28" s="8" t="n">
        <v>25</v>
      </c>
      <c r="B28" s="17"/>
      <c r="C28" s="17"/>
      <c r="D28" s="18" t="n">
        <f aca="false">'1. Total Income'!K28</f>
        <v>0</v>
      </c>
      <c r="E28" s="17"/>
      <c r="F28" s="24" t="n">
        <f aca="false">IF(E28&gt;0,D28/E28,0)</f>
        <v>0</v>
      </c>
      <c r="G28" s="24" t="n">
        <f aca="false">IF('3. Staff FTE'!J28&gt;0,F28/'3. Staff FTE'!J28,0)</f>
        <v>0</v>
      </c>
      <c r="H28" s="17"/>
    </row>
    <row r="29" customFormat="false" ht="15" hidden="false" customHeight="false" outlineLevel="0" collapsed="false">
      <c r="A29" s="4" t="n">
        <v>26</v>
      </c>
      <c r="B29" s="19"/>
      <c r="C29" s="19"/>
      <c r="D29" s="20" t="n">
        <f aca="false">'1. Total Income'!K29</f>
        <v>0</v>
      </c>
      <c r="E29" s="19"/>
      <c r="F29" s="23" t="n">
        <f aca="false">IF(E29&gt;0,D29/E29,0)</f>
        <v>0</v>
      </c>
      <c r="G29" s="23" t="n">
        <f aca="false">IF('3. Staff FTE'!J29&gt;0,F29/'3. Staff FTE'!J29,0)</f>
        <v>0</v>
      </c>
      <c r="H29" s="19"/>
    </row>
    <row r="30" customFormat="false" ht="15" hidden="false" customHeight="false" outlineLevel="0" collapsed="false">
      <c r="A30" s="8" t="n">
        <v>27</v>
      </c>
      <c r="B30" s="17"/>
      <c r="C30" s="17"/>
      <c r="D30" s="18" t="n">
        <f aca="false">'1. Total Income'!K30</f>
        <v>0</v>
      </c>
      <c r="E30" s="17"/>
      <c r="F30" s="24" t="n">
        <f aca="false">IF(E30&gt;0,D30/E30,0)</f>
        <v>0</v>
      </c>
      <c r="G30" s="24" t="n">
        <f aca="false">IF('3. Staff FTE'!J30&gt;0,F30/'3. Staff FTE'!J30,0)</f>
        <v>0</v>
      </c>
      <c r="H30" s="17"/>
    </row>
    <row r="31" customFormat="false" ht="15" hidden="false" customHeight="false" outlineLevel="0" collapsed="false">
      <c r="A31" s="4" t="n">
        <v>28</v>
      </c>
      <c r="B31" s="19"/>
      <c r="C31" s="19"/>
      <c r="D31" s="20" t="n">
        <f aca="false">'1. Total Income'!K31</f>
        <v>0</v>
      </c>
      <c r="E31" s="19"/>
      <c r="F31" s="23" t="n">
        <f aca="false">IF(E31&gt;0,D31/E31,0)</f>
        <v>0</v>
      </c>
      <c r="G31" s="23" t="n">
        <f aca="false">IF('3. Staff FTE'!J31&gt;0,F31/'3. Staff FTE'!J31,0)</f>
        <v>0</v>
      </c>
      <c r="H31" s="19"/>
    </row>
    <row r="32" customFormat="false" ht="15" hidden="false" customHeight="false" outlineLevel="0" collapsed="false">
      <c r="A32" s="8" t="n">
        <v>29</v>
      </c>
      <c r="B32" s="17"/>
      <c r="C32" s="17"/>
      <c r="D32" s="18" t="n">
        <f aca="false">'1. Total Income'!K32</f>
        <v>0</v>
      </c>
      <c r="E32" s="17"/>
      <c r="F32" s="24" t="n">
        <f aca="false">IF(E32&gt;0,D32/E32,0)</f>
        <v>0</v>
      </c>
      <c r="G32" s="24" t="n">
        <f aca="false">IF('3. Staff FTE'!J32&gt;0,F32/'3. Staff FTE'!J32,0)</f>
        <v>0</v>
      </c>
      <c r="H32" s="17"/>
    </row>
    <row r="33" customFormat="false" ht="15" hidden="false" customHeight="false" outlineLevel="0" collapsed="false">
      <c r="A33" s="4" t="n">
        <v>30</v>
      </c>
      <c r="B33" s="19"/>
      <c r="C33" s="19"/>
      <c r="D33" s="20" t="n">
        <f aca="false">'1. Total Income'!K33</f>
        <v>0</v>
      </c>
      <c r="E33" s="19"/>
      <c r="F33" s="23" t="n">
        <f aca="false">IF(E33&gt;0,D33/E33,0)</f>
        <v>0</v>
      </c>
      <c r="G33" s="23" t="n">
        <f aca="false">IF('3. Staff FTE'!J33&gt;0,F33/'3. Staff FTE'!J33,0)</f>
        <v>0</v>
      </c>
      <c r="H33" s="19"/>
    </row>
    <row r="35" customFormat="false" ht="25.5" hidden="false" customHeight="true" outlineLevel="0" collapsed="false">
      <c r="A35" s="28" t="s">
        <v>60</v>
      </c>
      <c r="B35" s="28"/>
      <c r="C35" s="28"/>
      <c r="D35" s="28"/>
      <c r="E35" s="28"/>
      <c r="F35" s="28"/>
      <c r="G35" s="28"/>
      <c r="H35" s="28"/>
    </row>
    <row r="36" customFormat="false" ht="23.85" hidden="false" customHeight="false" outlineLevel="0" collapsed="false">
      <c r="A36" s="29" t="s">
        <v>2</v>
      </c>
      <c r="B36" s="29" t="s">
        <v>35</v>
      </c>
      <c r="C36" s="29" t="s">
        <v>61</v>
      </c>
      <c r="D36" s="29" t="s">
        <v>62</v>
      </c>
      <c r="E36" s="29" t="s">
        <v>63</v>
      </c>
      <c r="F36" s="29" t="s">
        <v>64</v>
      </c>
      <c r="G36" s="29"/>
      <c r="H36" s="29"/>
    </row>
    <row r="37" customFormat="false" ht="15" hidden="false" customHeight="false" outlineLevel="0" collapsed="false">
      <c r="A37" s="30" t="n">
        <v>1</v>
      </c>
      <c r="B37" s="31" t="s">
        <v>65</v>
      </c>
      <c r="C37" s="32" t="s">
        <v>66</v>
      </c>
      <c r="D37" s="32" t="s">
        <v>67</v>
      </c>
      <c r="E37" s="30" t="s">
        <v>68</v>
      </c>
      <c r="F37" s="30" t="s">
        <v>69</v>
      </c>
    </row>
    <row r="38" customFormat="false" ht="15" hidden="false" customHeight="false" outlineLevel="0" collapsed="false">
      <c r="A38" s="4" t="n">
        <v>2</v>
      </c>
      <c r="B38" s="5" t="s">
        <v>70</v>
      </c>
      <c r="C38" s="7" t="s">
        <v>71</v>
      </c>
      <c r="D38" s="7" t="s">
        <v>72</v>
      </c>
      <c r="E38" s="4" t="s">
        <v>73</v>
      </c>
      <c r="F38" s="4" t="s">
        <v>69</v>
      </c>
    </row>
    <row r="39" customFormat="false" ht="15" hidden="false" customHeight="false" outlineLevel="0" collapsed="false">
      <c r="A39" s="30" t="n">
        <v>3</v>
      </c>
      <c r="B39" s="31" t="s">
        <v>74</v>
      </c>
      <c r="C39" s="32" t="s">
        <v>75</v>
      </c>
      <c r="D39" s="32" t="s">
        <v>76</v>
      </c>
      <c r="E39" s="30" t="s">
        <v>68</v>
      </c>
      <c r="F39" s="30" t="s">
        <v>69</v>
      </c>
    </row>
    <row r="40" customFormat="false" ht="15" hidden="false" customHeight="false" outlineLevel="0" collapsed="false">
      <c r="A40" s="4" t="n">
        <v>4</v>
      </c>
      <c r="B40" s="5" t="s">
        <v>77</v>
      </c>
      <c r="C40" s="7" t="s">
        <v>78</v>
      </c>
      <c r="D40" s="7" t="s">
        <v>79</v>
      </c>
      <c r="E40" s="4" t="s">
        <v>68</v>
      </c>
      <c r="F40" s="4" t="s">
        <v>69</v>
      </c>
    </row>
    <row r="41" customFormat="false" ht="15" hidden="false" customHeight="false" outlineLevel="0" collapsed="false">
      <c r="A41" s="30" t="n">
        <v>5</v>
      </c>
      <c r="B41" s="31" t="s">
        <v>80</v>
      </c>
      <c r="C41" s="32" t="s">
        <v>81</v>
      </c>
      <c r="D41" s="32" t="s">
        <v>82</v>
      </c>
      <c r="E41" s="30" t="s">
        <v>68</v>
      </c>
      <c r="F41" s="30" t="s">
        <v>69</v>
      </c>
    </row>
    <row r="42" customFormat="false" ht="15" hidden="false" customHeight="false" outlineLevel="0" collapsed="false">
      <c r="A42" s="4" t="n">
        <v>6</v>
      </c>
      <c r="B42" s="5" t="s">
        <v>83</v>
      </c>
      <c r="C42" s="7" t="s">
        <v>84</v>
      </c>
      <c r="D42" s="7" t="s">
        <v>85</v>
      </c>
      <c r="E42" s="4" t="s">
        <v>68</v>
      </c>
      <c r="F42" s="4" t="s">
        <v>69</v>
      </c>
    </row>
    <row r="43" customFormat="false" ht="15" hidden="false" customHeight="false" outlineLevel="0" collapsed="false">
      <c r="A43" s="30" t="n">
        <v>7</v>
      </c>
      <c r="B43" s="31" t="s">
        <v>86</v>
      </c>
      <c r="C43" s="32" t="s">
        <v>87</v>
      </c>
      <c r="D43" s="32" t="s">
        <v>88</v>
      </c>
      <c r="E43" s="30" t="s">
        <v>68</v>
      </c>
      <c r="F43" s="30" t="s">
        <v>69</v>
      </c>
    </row>
    <row r="44" customFormat="false" ht="15" hidden="false" customHeight="false" outlineLevel="0" collapsed="false">
      <c r="A44" s="4" t="n">
        <v>8</v>
      </c>
      <c r="B44" s="5" t="s">
        <v>89</v>
      </c>
      <c r="C44" s="7" t="s">
        <v>90</v>
      </c>
      <c r="D44" s="7" t="s">
        <v>91</v>
      </c>
      <c r="E44" s="4" t="s">
        <v>68</v>
      </c>
      <c r="F44" s="4" t="s">
        <v>69</v>
      </c>
    </row>
    <row r="45" customFormat="false" ht="15" hidden="false" customHeight="false" outlineLevel="0" collapsed="false">
      <c r="A45" s="30" t="n">
        <v>9</v>
      </c>
      <c r="B45" s="31" t="s">
        <v>92</v>
      </c>
      <c r="C45" s="32" t="s">
        <v>93</v>
      </c>
      <c r="D45" s="32" t="s">
        <v>94</v>
      </c>
      <c r="E45" s="30" t="s">
        <v>68</v>
      </c>
      <c r="F45" s="30" t="s">
        <v>69</v>
      </c>
    </row>
    <row r="46" customFormat="false" ht="15" hidden="false" customHeight="false" outlineLevel="0" collapsed="false">
      <c r="A46" s="4" t="n">
        <v>10</v>
      </c>
      <c r="B46" s="5" t="s">
        <v>95</v>
      </c>
      <c r="C46" s="7" t="s">
        <v>96</v>
      </c>
      <c r="D46" s="7" t="s">
        <v>97</v>
      </c>
      <c r="E46" s="4" t="s">
        <v>68</v>
      </c>
      <c r="F46" s="4" t="s">
        <v>69</v>
      </c>
    </row>
    <row r="47" customFormat="false" ht="15" hidden="false" customHeight="false" outlineLevel="0" collapsed="false">
      <c r="A47" s="30" t="n">
        <v>11</v>
      </c>
      <c r="B47" s="31" t="s">
        <v>98</v>
      </c>
      <c r="C47" s="32" t="s">
        <v>99</v>
      </c>
      <c r="D47" s="32" t="s">
        <v>100</v>
      </c>
      <c r="E47" s="30" t="s">
        <v>68</v>
      </c>
      <c r="F47" s="30" t="s">
        <v>69</v>
      </c>
    </row>
    <row r="48" customFormat="false" ht="15" hidden="false" customHeight="false" outlineLevel="0" collapsed="false">
      <c r="A48" s="4" t="n">
        <v>12</v>
      </c>
      <c r="B48" s="5" t="s">
        <v>101</v>
      </c>
      <c r="C48" s="7" t="s">
        <v>102</v>
      </c>
      <c r="D48" s="7" t="s">
        <v>103</v>
      </c>
      <c r="E48" s="4" t="s">
        <v>68</v>
      </c>
      <c r="F48" s="4" t="s">
        <v>69</v>
      </c>
    </row>
  </sheetData>
  <mergeCells count="3">
    <mergeCell ref="A1:H1"/>
    <mergeCell ref="A2:H2"/>
    <mergeCell ref="A35:H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8F9D"/>
    <pageSetUpPr fitToPage="false"/>
  </sheetPr>
  <dimension ref="A1:K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6"/>
    <col collapsed="false" customWidth="true" hidden="false" outlineLevel="0" max="3" min="3" style="0" width="14"/>
    <col collapsed="false" customWidth="true" hidden="false" outlineLevel="0" max="9" min="4" style="0" width="16"/>
    <col collapsed="false" customWidth="true" hidden="false" outlineLevel="0" max="10" min="10" style="0" width="18"/>
    <col collapsed="false" customWidth="true" hidden="false" outlineLevel="0" max="11" min="11" style="0" width="14"/>
  </cols>
  <sheetData>
    <row r="1" customFormat="false" ht="33.75" hidden="false" customHeight="true" outlineLevel="0" collapsed="false">
      <c r="A1" s="33" t="s">
        <v>104</v>
      </c>
      <c r="B1" s="33"/>
      <c r="C1" s="33"/>
      <c r="D1" s="33"/>
      <c r="E1" s="33"/>
      <c r="F1" s="33"/>
      <c r="G1" s="33"/>
      <c r="H1" s="33"/>
      <c r="I1" s="33"/>
      <c r="J1" s="33"/>
      <c r="K1" s="33"/>
    </row>
    <row r="2" customFormat="false" ht="25.5" hidden="false" customHeight="true" outlineLevel="0" collapsed="false">
      <c r="A2" s="34" t="s">
        <v>105</v>
      </c>
      <c r="B2" s="34"/>
      <c r="C2" s="34"/>
      <c r="D2" s="34"/>
      <c r="E2" s="34"/>
      <c r="F2" s="34"/>
      <c r="G2" s="34"/>
      <c r="H2" s="34"/>
      <c r="I2" s="34"/>
      <c r="J2" s="34"/>
      <c r="K2" s="34"/>
    </row>
    <row r="3" customFormat="false" ht="23.85" hidden="false" customHeight="false" outlineLevel="0" collapsed="false">
      <c r="A3" s="35" t="s">
        <v>33</v>
      </c>
      <c r="B3" s="35" t="s">
        <v>34</v>
      </c>
      <c r="C3" s="35" t="s">
        <v>35</v>
      </c>
      <c r="D3" s="35" t="s">
        <v>106</v>
      </c>
      <c r="E3" s="35" t="s">
        <v>107</v>
      </c>
      <c r="F3" s="35" t="s">
        <v>108</v>
      </c>
      <c r="G3" s="35" t="s">
        <v>109</v>
      </c>
      <c r="H3" s="35" t="s">
        <v>110</v>
      </c>
      <c r="I3" s="35" t="s">
        <v>111</v>
      </c>
      <c r="J3" s="35" t="s">
        <v>112</v>
      </c>
      <c r="K3" s="35" t="s">
        <v>59</v>
      </c>
    </row>
    <row r="4" customFormat="false" ht="15" hidden="false" customHeight="false" outlineLevel="0" collapsed="false">
      <c r="A4" s="8" t="n">
        <v>1</v>
      </c>
      <c r="B4" s="17"/>
      <c r="C4" s="17"/>
      <c r="D4" s="17"/>
      <c r="E4" s="17"/>
      <c r="F4" s="17"/>
      <c r="G4" s="17"/>
      <c r="H4" s="17"/>
      <c r="I4" s="17"/>
      <c r="J4" s="8" t="n">
        <f aca="false">SUM(D4:I4)</f>
        <v>0</v>
      </c>
      <c r="K4" s="17"/>
    </row>
    <row r="5" customFormat="false" ht="15" hidden="false" customHeight="false" outlineLevel="0" collapsed="false">
      <c r="A5" s="4" t="n">
        <v>2</v>
      </c>
      <c r="B5" s="19"/>
      <c r="C5" s="19"/>
      <c r="D5" s="19"/>
      <c r="E5" s="19"/>
      <c r="F5" s="19"/>
      <c r="G5" s="19"/>
      <c r="H5" s="19"/>
      <c r="I5" s="19"/>
      <c r="J5" s="4" t="n">
        <f aca="false">SUM(D5:I5)</f>
        <v>0</v>
      </c>
      <c r="K5" s="19"/>
    </row>
    <row r="6" customFormat="false" ht="15" hidden="false" customHeight="false" outlineLevel="0" collapsed="false">
      <c r="A6" s="8" t="n">
        <v>3</v>
      </c>
      <c r="B6" s="17"/>
      <c r="C6" s="17"/>
      <c r="D6" s="17"/>
      <c r="E6" s="17"/>
      <c r="F6" s="17"/>
      <c r="G6" s="17"/>
      <c r="H6" s="17"/>
      <c r="I6" s="17"/>
      <c r="J6" s="8" t="n">
        <f aca="false">SUM(D6:I6)</f>
        <v>0</v>
      </c>
      <c r="K6" s="17"/>
    </row>
    <row r="7" customFormat="false" ht="15" hidden="false" customHeight="false" outlineLevel="0" collapsed="false">
      <c r="A7" s="4" t="n">
        <v>4</v>
      </c>
      <c r="B7" s="19"/>
      <c r="C7" s="19"/>
      <c r="D7" s="19"/>
      <c r="E7" s="19"/>
      <c r="F7" s="19"/>
      <c r="G7" s="19"/>
      <c r="H7" s="19"/>
      <c r="I7" s="19"/>
      <c r="J7" s="4" t="n">
        <f aca="false">SUM(D7:I7)</f>
        <v>0</v>
      </c>
      <c r="K7" s="19"/>
    </row>
    <row r="8" customFormat="false" ht="15" hidden="false" customHeight="false" outlineLevel="0" collapsed="false">
      <c r="A8" s="8" t="n">
        <v>5</v>
      </c>
      <c r="B8" s="17"/>
      <c r="C8" s="17"/>
      <c r="D8" s="17"/>
      <c r="E8" s="17"/>
      <c r="F8" s="17"/>
      <c r="G8" s="17"/>
      <c r="H8" s="17"/>
      <c r="I8" s="17"/>
      <c r="J8" s="8" t="n">
        <f aca="false">SUM(D8:I8)</f>
        <v>0</v>
      </c>
      <c r="K8" s="17"/>
    </row>
    <row r="9" customFormat="false" ht="15" hidden="false" customHeight="false" outlineLevel="0" collapsed="false">
      <c r="A9" s="4" t="n">
        <v>6</v>
      </c>
      <c r="B9" s="19"/>
      <c r="C9" s="19"/>
      <c r="D9" s="19"/>
      <c r="E9" s="19"/>
      <c r="F9" s="19"/>
      <c r="G9" s="19"/>
      <c r="H9" s="19"/>
      <c r="I9" s="19"/>
      <c r="J9" s="4" t="n">
        <f aca="false">SUM(D9:I9)</f>
        <v>0</v>
      </c>
      <c r="K9" s="19"/>
    </row>
    <row r="10" customFormat="false" ht="15" hidden="false" customHeight="false" outlineLevel="0" collapsed="false">
      <c r="A10" s="8" t="n">
        <v>7</v>
      </c>
      <c r="B10" s="17"/>
      <c r="C10" s="17"/>
      <c r="D10" s="17"/>
      <c r="E10" s="17"/>
      <c r="F10" s="17"/>
      <c r="G10" s="17"/>
      <c r="H10" s="17"/>
      <c r="I10" s="17"/>
      <c r="J10" s="8" t="n">
        <f aca="false">SUM(D10:I10)</f>
        <v>0</v>
      </c>
      <c r="K10" s="17"/>
    </row>
    <row r="11" customFormat="false" ht="15" hidden="false" customHeight="false" outlineLevel="0" collapsed="false">
      <c r="A11" s="4" t="n">
        <v>8</v>
      </c>
      <c r="B11" s="19"/>
      <c r="C11" s="19"/>
      <c r="D11" s="19"/>
      <c r="E11" s="19"/>
      <c r="F11" s="19"/>
      <c r="G11" s="19"/>
      <c r="H11" s="19"/>
      <c r="I11" s="19"/>
      <c r="J11" s="4" t="n">
        <f aca="false">SUM(D11:I11)</f>
        <v>0</v>
      </c>
      <c r="K11" s="19"/>
    </row>
    <row r="12" customFormat="false" ht="15" hidden="false" customHeight="false" outlineLevel="0" collapsed="false">
      <c r="A12" s="8" t="n">
        <v>9</v>
      </c>
      <c r="B12" s="17"/>
      <c r="C12" s="17"/>
      <c r="D12" s="17"/>
      <c r="E12" s="17"/>
      <c r="F12" s="17"/>
      <c r="G12" s="17"/>
      <c r="H12" s="17"/>
      <c r="I12" s="17"/>
      <c r="J12" s="8" t="n">
        <f aca="false">SUM(D12:I12)</f>
        <v>0</v>
      </c>
      <c r="K12" s="17"/>
    </row>
    <row r="13" customFormat="false" ht="15" hidden="false" customHeight="false" outlineLevel="0" collapsed="false">
      <c r="A13" s="4" t="n">
        <v>10</v>
      </c>
      <c r="B13" s="19"/>
      <c r="C13" s="19"/>
      <c r="D13" s="19"/>
      <c r="E13" s="19"/>
      <c r="F13" s="19"/>
      <c r="G13" s="19"/>
      <c r="H13" s="19"/>
      <c r="I13" s="19"/>
      <c r="J13" s="4" t="n">
        <f aca="false">SUM(D13:I13)</f>
        <v>0</v>
      </c>
      <c r="K13" s="19"/>
    </row>
    <row r="14" customFormat="false" ht="15" hidden="false" customHeight="false" outlineLevel="0" collapsed="false">
      <c r="A14" s="8" t="n">
        <v>11</v>
      </c>
      <c r="B14" s="17"/>
      <c r="C14" s="17"/>
      <c r="D14" s="17"/>
      <c r="E14" s="17"/>
      <c r="F14" s="17"/>
      <c r="G14" s="17"/>
      <c r="H14" s="17"/>
      <c r="I14" s="17"/>
      <c r="J14" s="8" t="n">
        <f aca="false">SUM(D14:I14)</f>
        <v>0</v>
      </c>
      <c r="K14" s="17"/>
    </row>
    <row r="15" customFormat="false" ht="15" hidden="false" customHeight="false" outlineLevel="0" collapsed="false">
      <c r="A15" s="4" t="n">
        <v>12</v>
      </c>
      <c r="B15" s="19"/>
      <c r="C15" s="19"/>
      <c r="D15" s="19"/>
      <c r="E15" s="19"/>
      <c r="F15" s="19"/>
      <c r="G15" s="19"/>
      <c r="H15" s="19"/>
      <c r="I15" s="19"/>
      <c r="J15" s="4" t="n">
        <f aca="false">SUM(D15:I15)</f>
        <v>0</v>
      </c>
      <c r="K15" s="19"/>
    </row>
    <row r="16" customFormat="false" ht="15" hidden="false" customHeight="false" outlineLevel="0" collapsed="false">
      <c r="A16" s="8" t="n">
        <v>13</v>
      </c>
      <c r="B16" s="17"/>
      <c r="C16" s="17"/>
      <c r="D16" s="17"/>
      <c r="E16" s="17"/>
      <c r="F16" s="17"/>
      <c r="G16" s="17"/>
      <c r="H16" s="17"/>
      <c r="I16" s="17"/>
      <c r="J16" s="8" t="n">
        <f aca="false">SUM(D16:I16)</f>
        <v>0</v>
      </c>
      <c r="K16" s="17"/>
    </row>
    <row r="17" customFormat="false" ht="15" hidden="false" customHeight="false" outlineLevel="0" collapsed="false">
      <c r="A17" s="4" t="n">
        <v>14</v>
      </c>
      <c r="B17" s="19"/>
      <c r="C17" s="19"/>
      <c r="D17" s="19"/>
      <c r="E17" s="19"/>
      <c r="F17" s="19"/>
      <c r="G17" s="19"/>
      <c r="H17" s="19"/>
      <c r="I17" s="19"/>
      <c r="J17" s="4" t="n">
        <f aca="false">SUM(D17:I17)</f>
        <v>0</v>
      </c>
      <c r="K17" s="19"/>
    </row>
    <row r="18" customFormat="false" ht="15" hidden="false" customHeight="false" outlineLevel="0" collapsed="false">
      <c r="A18" s="8" t="n">
        <v>15</v>
      </c>
      <c r="B18" s="17"/>
      <c r="C18" s="17"/>
      <c r="D18" s="17"/>
      <c r="E18" s="17"/>
      <c r="F18" s="17"/>
      <c r="G18" s="17"/>
      <c r="H18" s="17"/>
      <c r="I18" s="17"/>
      <c r="J18" s="8" t="n">
        <f aca="false">SUM(D18:I18)</f>
        <v>0</v>
      </c>
      <c r="K18" s="17"/>
    </row>
    <row r="19" customFormat="false" ht="15" hidden="false" customHeight="false" outlineLevel="0" collapsed="false">
      <c r="A19" s="4" t="n">
        <v>16</v>
      </c>
      <c r="B19" s="19"/>
      <c r="C19" s="19"/>
      <c r="D19" s="19"/>
      <c r="E19" s="19"/>
      <c r="F19" s="19"/>
      <c r="G19" s="19"/>
      <c r="H19" s="19"/>
      <c r="I19" s="19"/>
      <c r="J19" s="4" t="n">
        <f aca="false">SUM(D19:I19)</f>
        <v>0</v>
      </c>
      <c r="K19" s="19"/>
    </row>
    <row r="20" customFormat="false" ht="15" hidden="false" customHeight="false" outlineLevel="0" collapsed="false">
      <c r="A20" s="8" t="n">
        <v>17</v>
      </c>
      <c r="B20" s="17"/>
      <c r="C20" s="17"/>
      <c r="D20" s="17"/>
      <c r="E20" s="17"/>
      <c r="F20" s="17"/>
      <c r="G20" s="17"/>
      <c r="H20" s="17"/>
      <c r="I20" s="17"/>
      <c r="J20" s="8" t="n">
        <f aca="false">SUM(D20:I20)</f>
        <v>0</v>
      </c>
      <c r="K20" s="17"/>
    </row>
    <row r="21" customFormat="false" ht="15" hidden="false" customHeight="false" outlineLevel="0" collapsed="false">
      <c r="A21" s="4" t="n">
        <v>18</v>
      </c>
      <c r="B21" s="19"/>
      <c r="C21" s="19"/>
      <c r="D21" s="19"/>
      <c r="E21" s="19"/>
      <c r="F21" s="19"/>
      <c r="G21" s="19"/>
      <c r="H21" s="19"/>
      <c r="I21" s="19"/>
      <c r="J21" s="4" t="n">
        <f aca="false">SUM(D21:I21)</f>
        <v>0</v>
      </c>
      <c r="K21" s="19"/>
    </row>
    <row r="22" customFormat="false" ht="15" hidden="false" customHeight="false" outlineLevel="0" collapsed="false">
      <c r="A22" s="8" t="n">
        <v>19</v>
      </c>
      <c r="B22" s="17"/>
      <c r="C22" s="17"/>
      <c r="D22" s="17"/>
      <c r="E22" s="17"/>
      <c r="F22" s="17"/>
      <c r="G22" s="17"/>
      <c r="H22" s="17"/>
      <c r="I22" s="17"/>
      <c r="J22" s="8" t="n">
        <f aca="false">SUM(D22:I22)</f>
        <v>0</v>
      </c>
      <c r="K22" s="17"/>
    </row>
    <row r="23" customFormat="false" ht="15" hidden="false" customHeight="false" outlineLevel="0" collapsed="false">
      <c r="A23" s="4" t="n">
        <v>20</v>
      </c>
      <c r="B23" s="19"/>
      <c r="C23" s="19"/>
      <c r="D23" s="19"/>
      <c r="E23" s="19"/>
      <c r="F23" s="19"/>
      <c r="G23" s="19"/>
      <c r="H23" s="19"/>
      <c r="I23" s="19"/>
      <c r="J23" s="4" t="n">
        <f aca="false">SUM(D23:I23)</f>
        <v>0</v>
      </c>
      <c r="K23" s="19"/>
    </row>
    <row r="24" customFormat="false" ht="15" hidden="false" customHeight="false" outlineLevel="0" collapsed="false">
      <c r="A24" s="8" t="n">
        <v>21</v>
      </c>
      <c r="B24" s="17"/>
      <c r="C24" s="17"/>
      <c r="D24" s="17"/>
      <c r="E24" s="17"/>
      <c r="F24" s="17"/>
      <c r="G24" s="17"/>
      <c r="H24" s="17"/>
      <c r="I24" s="17"/>
      <c r="J24" s="8" t="n">
        <f aca="false">SUM(D24:I24)</f>
        <v>0</v>
      </c>
      <c r="K24" s="17"/>
    </row>
    <row r="25" customFormat="false" ht="15" hidden="false" customHeight="false" outlineLevel="0" collapsed="false">
      <c r="A25" s="4" t="n">
        <v>22</v>
      </c>
      <c r="B25" s="19"/>
      <c r="C25" s="19"/>
      <c r="D25" s="19"/>
      <c r="E25" s="19"/>
      <c r="F25" s="19"/>
      <c r="G25" s="19"/>
      <c r="H25" s="19"/>
      <c r="I25" s="19"/>
      <c r="J25" s="4" t="n">
        <f aca="false">SUM(D25:I25)</f>
        <v>0</v>
      </c>
      <c r="K25" s="19"/>
    </row>
    <row r="26" customFormat="false" ht="15" hidden="false" customHeight="false" outlineLevel="0" collapsed="false">
      <c r="A26" s="8" t="n">
        <v>23</v>
      </c>
      <c r="B26" s="17"/>
      <c r="C26" s="17"/>
      <c r="D26" s="17"/>
      <c r="E26" s="17"/>
      <c r="F26" s="17"/>
      <c r="G26" s="17"/>
      <c r="H26" s="17"/>
      <c r="I26" s="17"/>
      <c r="J26" s="8" t="n">
        <f aca="false">SUM(D26:I26)</f>
        <v>0</v>
      </c>
      <c r="K26" s="17"/>
    </row>
    <row r="27" customFormat="false" ht="15" hidden="false" customHeight="false" outlineLevel="0" collapsed="false">
      <c r="A27" s="4" t="n">
        <v>24</v>
      </c>
      <c r="B27" s="19"/>
      <c r="C27" s="19"/>
      <c r="D27" s="19"/>
      <c r="E27" s="19"/>
      <c r="F27" s="19"/>
      <c r="G27" s="19"/>
      <c r="H27" s="19"/>
      <c r="I27" s="19"/>
      <c r="J27" s="4" t="n">
        <f aca="false">SUM(D27:I27)</f>
        <v>0</v>
      </c>
      <c r="K27" s="19"/>
    </row>
    <row r="28" customFormat="false" ht="15" hidden="false" customHeight="false" outlineLevel="0" collapsed="false">
      <c r="A28" s="8" t="n">
        <v>25</v>
      </c>
      <c r="B28" s="17"/>
      <c r="C28" s="17"/>
      <c r="D28" s="17"/>
      <c r="E28" s="17"/>
      <c r="F28" s="17"/>
      <c r="G28" s="17"/>
      <c r="H28" s="17"/>
      <c r="I28" s="17"/>
      <c r="J28" s="8" t="n">
        <f aca="false">SUM(D28:I28)</f>
        <v>0</v>
      </c>
      <c r="K28" s="17"/>
    </row>
    <row r="29" customFormat="false" ht="15" hidden="false" customHeight="false" outlineLevel="0" collapsed="false">
      <c r="A29" s="4" t="n">
        <v>26</v>
      </c>
      <c r="B29" s="19"/>
      <c r="C29" s="19"/>
      <c r="D29" s="19"/>
      <c r="E29" s="19"/>
      <c r="F29" s="19"/>
      <c r="G29" s="19"/>
      <c r="H29" s="19"/>
      <c r="I29" s="19"/>
      <c r="J29" s="4" t="n">
        <f aca="false">SUM(D29:I29)</f>
        <v>0</v>
      </c>
      <c r="K29" s="19"/>
    </row>
    <row r="30" customFormat="false" ht="15" hidden="false" customHeight="false" outlineLevel="0" collapsed="false">
      <c r="A30" s="8" t="n">
        <v>27</v>
      </c>
      <c r="B30" s="17"/>
      <c r="C30" s="17"/>
      <c r="D30" s="17"/>
      <c r="E30" s="17"/>
      <c r="F30" s="17"/>
      <c r="G30" s="17"/>
      <c r="H30" s="17"/>
      <c r="I30" s="17"/>
      <c r="J30" s="8" t="n">
        <f aca="false">SUM(D30:I30)</f>
        <v>0</v>
      </c>
      <c r="K30" s="17"/>
    </row>
    <row r="31" customFormat="false" ht="15" hidden="false" customHeight="false" outlineLevel="0" collapsed="false">
      <c r="A31" s="4" t="n">
        <v>28</v>
      </c>
      <c r="B31" s="19"/>
      <c r="C31" s="19"/>
      <c r="D31" s="19"/>
      <c r="E31" s="19"/>
      <c r="F31" s="19"/>
      <c r="G31" s="19"/>
      <c r="H31" s="19"/>
      <c r="I31" s="19"/>
      <c r="J31" s="4" t="n">
        <f aca="false">SUM(D31:I31)</f>
        <v>0</v>
      </c>
      <c r="K31" s="19"/>
    </row>
    <row r="32" customFormat="false" ht="15" hidden="false" customHeight="false" outlineLevel="0" collapsed="false">
      <c r="A32" s="8" t="n">
        <v>29</v>
      </c>
      <c r="B32" s="17"/>
      <c r="C32" s="17"/>
      <c r="D32" s="17"/>
      <c r="E32" s="17"/>
      <c r="F32" s="17"/>
      <c r="G32" s="17"/>
      <c r="H32" s="17"/>
      <c r="I32" s="17"/>
      <c r="J32" s="8" t="n">
        <f aca="false">SUM(D32:I32)</f>
        <v>0</v>
      </c>
      <c r="K32" s="17"/>
    </row>
    <row r="33" customFormat="false" ht="15" hidden="false" customHeight="false" outlineLevel="0" collapsed="false">
      <c r="A33" s="4" t="n">
        <v>30</v>
      </c>
      <c r="B33" s="19"/>
      <c r="C33" s="19"/>
      <c r="D33" s="19"/>
      <c r="E33" s="19"/>
      <c r="F33" s="19"/>
      <c r="G33" s="19"/>
      <c r="H33" s="19"/>
      <c r="I33" s="19"/>
      <c r="J33" s="4" t="n">
        <f aca="false">SUM(D33:I33)</f>
        <v>0</v>
      </c>
      <c r="K33" s="19"/>
    </row>
  </sheetData>
  <mergeCells count="2">
    <mergeCell ref="A1:K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I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6"/>
    <col collapsed="false" customWidth="true" hidden="false" outlineLevel="0" max="3" min="3" style="0" width="14"/>
    <col collapsed="false" customWidth="true" hidden="false" outlineLevel="0" max="4" min="4" style="0" width="22"/>
    <col collapsed="false" customWidth="true" hidden="false" outlineLevel="0" max="5" min="5" style="0" width="18"/>
    <col collapsed="false" customWidth="true" hidden="false" outlineLevel="0" max="6" min="6" style="0" width="22"/>
    <col collapsed="false" customWidth="true" hidden="false" outlineLevel="0" max="8" min="7" style="0" width="18"/>
    <col collapsed="false" customWidth="true" hidden="false" outlineLevel="0" max="9" min="9" style="0" width="14"/>
  </cols>
  <sheetData>
    <row r="1" customFormat="false" ht="33.75" hidden="false" customHeight="true" outlineLevel="0" collapsed="false">
      <c r="A1" s="36" t="s">
        <v>113</v>
      </c>
      <c r="B1" s="36"/>
      <c r="C1" s="36"/>
      <c r="D1" s="36"/>
      <c r="E1" s="36"/>
      <c r="F1" s="36"/>
      <c r="G1" s="36"/>
      <c r="H1" s="36"/>
      <c r="I1" s="36"/>
    </row>
    <row r="2" customFormat="false" ht="25.5" hidden="false" customHeight="true" outlineLevel="0" collapsed="false">
      <c r="A2" s="37" t="s">
        <v>114</v>
      </c>
      <c r="B2" s="37"/>
      <c r="C2" s="37"/>
      <c r="D2" s="37"/>
      <c r="E2" s="37"/>
      <c r="F2" s="37"/>
      <c r="G2" s="37"/>
      <c r="H2" s="37"/>
      <c r="I2" s="37"/>
    </row>
    <row r="3" customFormat="false" ht="23.85" hidden="false" customHeight="false" outlineLevel="0" collapsed="false">
      <c r="A3" s="38" t="s">
        <v>33</v>
      </c>
      <c r="B3" s="38" t="s">
        <v>34</v>
      </c>
      <c r="C3" s="38" t="s">
        <v>35</v>
      </c>
      <c r="D3" s="38" t="s">
        <v>57</v>
      </c>
      <c r="E3" s="38" t="s">
        <v>115</v>
      </c>
      <c r="F3" s="38" t="s">
        <v>116</v>
      </c>
      <c r="G3" s="38" t="s">
        <v>117</v>
      </c>
      <c r="H3" s="38" t="s">
        <v>118</v>
      </c>
      <c r="I3" s="38" t="s">
        <v>59</v>
      </c>
    </row>
    <row r="4" customFormat="false" ht="15" hidden="false" customHeight="false" outlineLevel="0" collapsed="false">
      <c r="A4" s="8" t="n">
        <v>1</v>
      </c>
      <c r="B4" s="17"/>
      <c r="C4" s="17"/>
      <c r="D4" s="39" t="n">
        <f aca="false">'2. PPP Conversion'!F4</f>
        <v>0</v>
      </c>
      <c r="E4" s="8" t="n">
        <f aca="false">'3. Staff FTE'!J4</f>
        <v>0</v>
      </c>
      <c r="F4" s="40" t="n">
        <f aca="false">IF(E4&gt;0,D4/E4,0)</f>
        <v>0</v>
      </c>
      <c r="G4" s="41" t="n">
        <f aca="false">IFERROR((F4-AVERAGE($F$4:$F$33))/STDEV($F$4:$F$33),0)</f>
        <v>0</v>
      </c>
      <c r="H4" s="42" t="n">
        <f aca="false">IFERROR(IF(MAX($F$4:$F$33)-MIN($F$4:$F$33)&gt;0,(F4-MIN($F$4:$F$33))/(MAX($F$4:$F$33)-MIN($F$4:$F$33))*100,0),0)</f>
        <v>0</v>
      </c>
      <c r="I4" s="17"/>
    </row>
    <row r="5" customFormat="false" ht="15" hidden="false" customHeight="false" outlineLevel="0" collapsed="false">
      <c r="A5" s="4" t="n">
        <v>2</v>
      </c>
      <c r="B5" s="19"/>
      <c r="C5" s="19"/>
      <c r="D5" s="43" t="n">
        <f aca="false">'2. PPP Conversion'!F5</f>
        <v>0</v>
      </c>
      <c r="E5" s="4" t="n">
        <f aca="false">'3. Staff FTE'!J5</f>
        <v>0</v>
      </c>
      <c r="F5" s="44" t="n">
        <f aca="false">IF(E5&gt;0,D5/E5,0)</f>
        <v>0</v>
      </c>
      <c r="G5" s="45" t="n">
        <f aca="false">IFERROR((F5-AVERAGE($F$4:$F$33))/STDEV($F$4:$F$33),0)</f>
        <v>0</v>
      </c>
      <c r="H5" s="46" t="n">
        <f aca="false">IFERROR(IF(MAX($F$4:$F$33)-MIN($F$4:$F$33)&gt;0,(F5-MIN($F$4:$F$33))/(MAX($F$4:$F$33)-MIN($F$4:$F$33))*100,0),0)</f>
        <v>0</v>
      </c>
      <c r="I5" s="19"/>
    </row>
    <row r="6" customFormat="false" ht="15" hidden="false" customHeight="false" outlineLevel="0" collapsed="false">
      <c r="A6" s="8" t="n">
        <v>3</v>
      </c>
      <c r="B6" s="17"/>
      <c r="C6" s="17"/>
      <c r="D6" s="39" t="n">
        <f aca="false">'2. PPP Conversion'!F6</f>
        <v>0</v>
      </c>
      <c r="E6" s="8" t="n">
        <f aca="false">'3. Staff FTE'!J6</f>
        <v>0</v>
      </c>
      <c r="F6" s="40" t="n">
        <f aca="false">IF(E6&gt;0,D6/E6,0)</f>
        <v>0</v>
      </c>
      <c r="G6" s="41" t="n">
        <f aca="false">IFERROR((F6-AVERAGE($F$4:$F$33))/STDEV($F$4:$F$33),0)</f>
        <v>0</v>
      </c>
      <c r="H6" s="42" t="n">
        <f aca="false">IFERROR(IF(MAX($F$4:$F$33)-MIN($F$4:$F$33)&gt;0,(F6-MIN($F$4:$F$33))/(MAX($F$4:$F$33)-MIN($F$4:$F$33))*100,0),0)</f>
        <v>0</v>
      </c>
      <c r="I6" s="17"/>
    </row>
    <row r="7" customFormat="false" ht="15" hidden="false" customHeight="false" outlineLevel="0" collapsed="false">
      <c r="A7" s="4" t="n">
        <v>4</v>
      </c>
      <c r="B7" s="19"/>
      <c r="C7" s="19"/>
      <c r="D7" s="43" t="n">
        <f aca="false">'2. PPP Conversion'!F7</f>
        <v>0</v>
      </c>
      <c r="E7" s="4" t="n">
        <f aca="false">'3. Staff FTE'!J7</f>
        <v>0</v>
      </c>
      <c r="F7" s="44" t="n">
        <f aca="false">IF(E7&gt;0,D7/E7,0)</f>
        <v>0</v>
      </c>
      <c r="G7" s="45" t="n">
        <f aca="false">IFERROR((F7-AVERAGE($F$4:$F$33))/STDEV($F$4:$F$33),0)</f>
        <v>0</v>
      </c>
      <c r="H7" s="46" t="n">
        <f aca="false">IFERROR(IF(MAX($F$4:$F$33)-MIN($F$4:$F$33)&gt;0,(F7-MIN($F$4:$F$33))/(MAX($F$4:$F$33)-MIN($F$4:$F$33))*100,0),0)</f>
        <v>0</v>
      </c>
      <c r="I7" s="19"/>
    </row>
    <row r="8" customFormat="false" ht="15" hidden="false" customHeight="false" outlineLevel="0" collapsed="false">
      <c r="A8" s="8" t="n">
        <v>5</v>
      </c>
      <c r="B8" s="17"/>
      <c r="C8" s="17"/>
      <c r="D8" s="39" t="n">
        <f aca="false">'2. PPP Conversion'!F8</f>
        <v>0</v>
      </c>
      <c r="E8" s="8" t="n">
        <f aca="false">'3. Staff FTE'!J8</f>
        <v>0</v>
      </c>
      <c r="F8" s="40" t="n">
        <f aca="false">IF(E8&gt;0,D8/E8,0)</f>
        <v>0</v>
      </c>
      <c r="G8" s="41" t="n">
        <f aca="false">IFERROR((F8-AVERAGE($F$4:$F$33))/STDEV($F$4:$F$33),0)</f>
        <v>0</v>
      </c>
      <c r="H8" s="42" t="n">
        <f aca="false">IFERROR(IF(MAX($F$4:$F$33)-MIN($F$4:$F$33)&gt;0,(F8-MIN($F$4:$F$33))/(MAX($F$4:$F$33)-MIN($F$4:$F$33))*100,0),0)</f>
        <v>0</v>
      </c>
      <c r="I8" s="17"/>
    </row>
    <row r="9" customFormat="false" ht="15" hidden="false" customHeight="false" outlineLevel="0" collapsed="false">
      <c r="A9" s="4" t="n">
        <v>6</v>
      </c>
      <c r="B9" s="19"/>
      <c r="C9" s="19"/>
      <c r="D9" s="43" t="n">
        <f aca="false">'2. PPP Conversion'!F9</f>
        <v>0</v>
      </c>
      <c r="E9" s="4" t="n">
        <f aca="false">'3. Staff FTE'!J9</f>
        <v>0</v>
      </c>
      <c r="F9" s="44" t="n">
        <f aca="false">IF(E9&gt;0,D9/E9,0)</f>
        <v>0</v>
      </c>
      <c r="G9" s="45" t="n">
        <f aca="false">IFERROR((F9-AVERAGE($F$4:$F$33))/STDEV($F$4:$F$33),0)</f>
        <v>0</v>
      </c>
      <c r="H9" s="46" t="n">
        <f aca="false">IFERROR(IF(MAX($F$4:$F$33)-MIN($F$4:$F$33)&gt;0,(F9-MIN($F$4:$F$33))/(MAX($F$4:$F$33)-MIN($F$4:$F$33))*100,0),0)</f>
        <v>0</v>
      </c>
      <c r="I9" s="19"/>
    </row>
    <row r="10" customFormat="false" ht="15" hidden="false" customHeight="false" outlineLevel="0" collapsed="false">
      <c r="A10" s="8" t="n">
        <v>7</v>
      </c>
      <c r="B10" s="17"/>
      <c r="C10" s="17"/>
      <c r="D10" s="39" t="n">
        <f aca="false">'2. PPP Conversion'!F10</f>
        <v>0</v>
      </c>
      <c r="E10" s="8" t="n">
        <f aca="false">'3. Staff FTE'!J10</f>
        <v>0</v>
      </c>
      <c r="F10" s="40" t="n">
        <f aca="false">IF(E10&gt;0,D10/E10,0)</f>
        <v>0</v>
      </c>
      <c r="G10" s="41" t="n">
        <f aca="false">IFERROR((F10-AVERAGE($F$4:$F$33))/STDEV($F$4:$F$33),0)</f>
        <v>0</v>
      </c>
      <c r="H10" s="42" t="n">
        <f aca="false">IFERROR(IF(MAX($F$4:$F$33)-MIN($F$4:$F$33)&gt;0,(F10-MIN($F$4:$F$33))/(MAX($F$4:$F$33)-MIN($F$4:$F$33))*100,0),0)</f>
        <v>0</v>
      </c>
      <c r="I10" s="17"/>
    </row>
    <row r="11" customFormat="false" ht="15" hidden="false" customHeight="false" outlineLevel="0" collapsed="false">
      <c r="A11" s="4" t="n">
        <v>8</v>
      </c>
      <c r="B11" s="19"/>
      <c r="C11" s="19"/>
      <c r="D11" s="43" t="n">
        <f aca="false">'2. PPP Conversion'!F11</f>
        <v>0</v>
      </c>
      <c r="E11" s="4" t="n">
        <f aca="false">'3. Staff FTE'!J11</f>
        <v>0</v>
      </c>
      <c r="F11" s="44" t="n">
        <f aca="false">IF(E11&gt;0,D11/E11,0)</f>
        <v>0</v>
      </c>
      <c r="G11" s="45" t="n">
        <f aca="false">IFERROR((F11-AVERAGE($F$4:$F$33))/STDEV($F$4:$F$33),0)</f>
        <v>0</v>
      </c>
      <c r="H11" s="46" t="n">
        <f aca="false">IFERROR(IF(MAX($F$4:$F$33)-MIN($F$4:$F$33)&gt;0,(F11-MIN($F$4:$F$33))/(MAX($F$4:$F$33)-MIN($F$4:$F$33))*100,0),0)</f>
        <v>0</v>
      </c>
      <c r="I11" s="19"/>
    </row>
    <row r="12" customFormat="false" ht="15" hidden="false" customHeight="false" outlineLevel="0" collapsed="false">
      <c r="A12" s="8" t="n">
        <v>9</v>
      </c>
      <c r="B12" s="17"/>
      <c r="C12" s="17"/>
      <c r="D12" s="39" t="n">
        <f aca="false">'2. PPP Conversion'!F12</f>
        <v>0</v>
      </c>
      <c r="E12" s="8" t="n">
        <f aca="false">'3. Staff FTE'!J12</f>
        <v>0</v>
      </c>
      <c r="F12" s="40" t="n">
        <f aca="false">IF(E12&gt;0,D12/E12,0)</f>
        <v>0</v>
      </c>
      <c r="G12" s="41" t="n">
        <f aca="false">IFERROR((F12-AVERAGE($F$4:$F$33))/STDEV($F$4:$F$33),0)</f>
        <v>0</v>
      </c>
      <c r="H12" s="42" t="n">
        <f aca="false">IFERROR(IF(MAX($F$4:$F$33)-MIN($F$4:$F$33)&gt;0,(F12-MIN($F$4:$F$33))/(MAX($F$4:$F$33)-MIN($F$4:$F$33))*100,0),0)</f>
        <v>0</v>
      </c>
      <c r="I12" s="17"/>
    </row>
    <row r="13" customFormat="false" ht="15" hidden="false" customHeight="false" outlineLevel="0" collapsed="false">
      <c r="A13" s="4" t="n">
        <v>10</v>
      </c>
      <c r="B13" s="19"/>
      <c r="C13" s="19"/>
      <c r="D13" s="43" t="n">
        <f aca="false">'2. PPP Conversion'!F13</f>
        <v>0</v>
      </c>
      <c r="E13" s="4" t="n">
        <f aca="false">'3. Staff FTE'!J13</f>
        <v>0</v>
      </c>
      <c r="F13" s="44" t="n">
        <f aca="false">IF(E13&gt;0,D13/E13,0)</f>
        <v>0</v>
      </c>
      <c r="G13" s="45" t="n">
        <f aca="false">IFERROR((F13-AVERAGE($F$4:$F$33))/STDEV($F$4:$F$33),0)</f>
        <v>0</v>
      </c>
      <c r="H13" s="46" t="n">
        <f aca="false">IFERROR(IF(MAX($F$4:$F$33)-MIN($F$4:$F$33)&gt;0,(F13-MIN($F$4:$F$33))/(MAX($F$4:$F$33)-MIN($F$4:$F$33))*100,0),0)</f>
        <v>0</v>
      </c>
      <c r="I13" s="19"/>
    </row>
    <row r="14" customFormat="false" ht="15" hidden="false" customHeight="false" outlineLevel="0" collapsed="false">
      <c r="A14" s="8" t="n">
        <v>11</v>
      </c>
      <c r="B14" s="17"/>
      <c r="C14" s="17"/>
      <c r="D14" s="39" t="n">
        <f aca="false">'2. PPP Conversion'!F14</f>
        <v>0</v>
      </c>
      <c r="E14" s="8" t="n">
        <f aca="false">'3. Staff FTE'!J14</f>
        <v>0</v>
      </c>
      <c r="F14" s="40" t="n">
        <f aca="false">IF(E14&gt;0,D14/E14,0)</f>
        <v>0</v>
      </c>
      <c r="G14" s="41" t="n">
        <f aca="false">IFERROR((F14-AVERAGE($F$4:$F$33))/STDEV($F$4:$F$33),0)</f>
        <v>0</v>
      </c>
      <c r="H14" s="42" t="n">
        <f aca="false">IFERROR(IF(MAX($F$4:$F$33)-MIN($F$4:$F$33)&gt;0,(F14-MIN($F$4:$F$33))/(MAX($F$4:$F$33)-MIN($F$4:$F$33))*100,0),0)</f>
        <v>0</v>
      </c>
      <c r="I14" s="17"/>
    </row>
    <row r="15" customFormat="false" ht="15" hidden="false" customHeight="false" outlineLevel="0" collapsed="false">
      <c r="A15" s="4" t="n">
        <v>12</v>
      </c>
      <c r="B15" s="19"/>
      <c r="C15" s="19"/>
      <c r="D15" s="43" t="n">
        <f aca="false">'2. PPP Conversion'!F15</f>
        <v>0</v>
      </c>
      <c r="E15" s="4" t="n">
        <f aca="false">'3. Staff FTE'!J15</f>
        <v>0</v>
      </c>
      <c r="F15" s="44" t="n">
        <f aca="false">IF(E15&gt;0,D15/E15,0)</f>
        <v>0</v>
      </c>
      <c r="G15" s="45" t="n">
        <f aca="false">IFERROR((F15-AVERAGE($F$4:$F$33))/STDEV($F$4:$F$33),0)</f>
        <v>0</v>
      </c>
      <c r="H15" s="46" t="n">
        <f aca="false">IFERROR(IF(MAX($F$4:$F$33)-MIN($F$4:$F$33)&gt;0,(F15-MIN($F$4:$F$33))/(MAX($F$4:$F$33)-MIN($F$4:$F$33))*100,0),0)</f>
        <v>0</v>
      </c>
      <c r="I15" s="19"/>
    </row>
    <row r="16" customFormat="false" ht="15" hidden="false" customHeight="false" outlineLevel="0" collapsed="false">
      <c r="A16" s="8" t="n">
        <v>13</v>
      </c>
      <c r="B16" s="17"/>
      <c r="C16" s="17"/>
      <c r="D16" s="39" t="n">
        <f aca="false">'2. PPP Conversion'!F16</f>
        <v>0</v>
      </c>
      <c r="E16" s="8" t="n">
        <f aca="false">'3. Staff FTE'!J16</f>
        <v>0</v>
      </c>
      <c r="F16" s="40" t="n">
        <f aca="false">IF(E16&gt;0,D16/E16,0)</f>
        <v>0</v>
      </c>
      <c r="G16" s="41" t="n">
        <f aca="false">IFERROR((F16-AVERAGE($F$4:$F$33))/STDEV($F$4:$F$33),0)</f>
        <v>0</v>
      </c>
      <c r="H16" s="42" t="n">
        <f aca="false">IFERROR(IF(MAX($F$4:$F$33)-MIN($F$4:$F$33)&gt;0,(F16-MIN($F$4:$F$33))/(MAX($F$4:$F$33)-MIN($F$4:$F$33))*100,0),0)</f>
        <v>0</v>
      </c>
      <c r="I16" s="17"/>
    </row>
    <row r="17" customFormat="false" ht="15" hidden="false" customHeight="false" outlineLevel="0" collapsed="false">
      <c r="A17" s="4" t="n">
        <v>14</v>
      </c>
      <c r="B17" s="19"/>
      <c r="C17" s="19"/>
      <c r="D17" s="43" t="n">
        <f aca="false">'2. PPP Conversion'!F17</f>
        <v>0</v>
      </c>
      <c r="E17" s="4" t="n">
        <f aca="false">'3. Staff FTE'!J17</f>
        <v>0</v>
      </c>
      <c r="F17" s="44" t="n">
        <f aca="false">IF(E17&gt;0,D17/E17,0)</f>
        <v>0</v>
      </c>
      <c r="G17" s="45" t="n">
        <f aca="false">IFERROR((F17-AVERAGE($F$4:$F$33))/STDEV($F$4:$F$33),0)</f>
        <v>0</v>
      </c>
      <c r="H17" s="46" t="n">
        <f aca="false">IFERROR(IF(MAX($F$4:$F$33)-MIN($F$4:$F$33)&gt;0,(F17-MIN($F$4:$F$33))/(MAX($F$4:$F$33)-MIN($F$4:$F$33))*100,0),0)</f>
        <v>0</v>
      </c>
      <c r="I17" s="19"/>
    </row>
    <row r="18" customFormat="false" ht="15" hidden="false" customHeight="false" outlineLevel="0" collapsed="false">
      <c r="A18" s="8" t="n">
        <v>15</v>
      </c>
      <c r="B18" s="17"/>
      <c r="C18" s="17"/>
      <c r="D18" s="39" t="n">
        <f aca="false">'2. PPP Conversion'!F18</f>
        <v>0</v>
      </c>
      <c r="E18" s="8" t="n">
        <f aca="false">'3. Staff FTE'!J18</f>
        <v>0</v>
      </c>
      <c r="F18" s="40" t="n">
        <f aca="false">IF(E18&gt;0,D18/E18,0)</f>
        <v>0</v>
      </c>
      <c r="G18" s="41" t="n">
        <f aca="false">IFERROR((F18-AVERAGE($F$4:$F$33))/STDEV($F$4:$F$33),0)</f>
        <v>0</v>
      </c>
      <c r="H18" s="42" t="n">
        <f aca="false">IFERROR(IF(MAX($F$4:$F$33)-MIN($F$4:$F$33)&gt;0,(F18-MIN($F$4:$F$33))/(MAX($F$4:$F$33)-MIN($F$4:$F$33))*100,0),0)</f>
        <v>0</v>
      </c>
      <c r="I18" s="17"/>
    </row>
    <row r="19" customFormat="false" ht="15" hidden="false" customHeight="false" outlineLevel="0" collapsed="false">
      <c r="A19" s="4" t="n">
        <v>16</v>
      </c>
      <c r="B19" s="19"/>
      <c r="C19" s="19"/>
      <c r="D19" s="43" t="n">
        <f aca="false">'2. PPP Conversion'!F19</f>
        <v>0</v>
      </c>
      <c r="E19" s="4" t="n">
        <f aca="false">'3. Staff FTE'!J19</f>
        <v>0</v>
      </c>
      <c r="F19" s="44" t="n">
        <f aca="false">IF(E19&gt;0,D19/E19,0)</f>
        <v>0</v>
      </c>
      <c r="G19" s="45" t="n">
        <f aca="false">IFERROR((F19-AVERAGE($F$4:$F$33))/STDEV($F$4:$F$33),0)</f>
        <v>0</v>
      </c>
      <c r="H19" s="46" t="n">
        <f aca="false">IFERROR(IF(MAX($F$4:$F$33)-MIN($F$4:$F$33)&gt;0,(F19-MIN($F$4:$F$33))/(MAX($F$4:$F$33)-MIN($F$4:$F$33))*100,0),0)</f>
        <v>0</v>
      </c>
      <c r="I19" s="19"/>
    </row>
    <row r="20" customFormat="false" ht="15" hidden="false" customHeight="false" outlineLevel="0" collapsed="false">
      <c r="A20" s="8" t="n">
        <v>17</v>
      </c>
      <c r="B20" s="17"/>
      <c r="C20" s="17"/>
      <c r="D20" s="39" t="n">
        <f aca="false">'2. PPP Conversion'!F20</f>
        <v>0</v>
      </c>
      <c r="E20" s="8" t="n">
        <f aca="false">'3. Staff FTE'!J20</f>
        <v>0</v>
      </c>
      <c r="F20" s="40" t="n">
        <f aca="false">IF(E20&gt;0,D20/E20,0)</f>
        <v>0</v>
      </c>
      <c r="G20" s="41" t="n">
        <f aca="false">IFERROR((F20-AVERAGE($F$4:$F$33))/STDEV($F$4:$F$33),0)</f>
        <v>0</v>
      </c>
      <c r="H20" s="42" t="n">
        <f aca="false">IFERROR(IF(MAX($F$4:$F$33)-MIN($F$4:$F$33)&gt;0,(F20-MIN($F$4:$F$33))/(MAX($F$4:$F$33)-MIN($F$4:$F$33))*100,0),0)</f>
        <v>0</v>
      </c>
      <c r="I20" s="17"/>
    </row>
    <row r="21" customFormat="false" ht="15" hidden="false" customHeight="false" outlineLevel="0" collapsed="false">
      <c r="A21" s="4" t="n">
        <v>18</v>
      </c>
      <c r="B21" s="19"/>
      <c r="C21" s="19"/>
      <c r="D21" s="43" t="n">
        <f aca="false">'2. PPP Conversion'!F21</f>
        <v>0</v>
      </c>
      <c r="E21" s="4" t="n">
        <f aca="false">'3. Staff FTE'!J21</f>
        <v>0</v>
      </c>
      <c r="F21" s="44" t="n">
        <f aca="false">IF(E21&gt;0,D21/E21,0)</f>
        <v>0</v>
      </c>
      <c r="G21" s="45" t="n">
        <f aca="false">IFERROR((F21-AVERAGE($F$4:$F$33))/STDEV($F$4:$F$33),0)</f>
        <v>0</v>
      </c>
      <c r="H21" s="46" t="n">
        <f aca="false">IFERROR(IF(MAX($F$4:$F$33)-MIN($F$4:$F$33)&gt;0,(F21-MIN($F$4:$F$33))/(MAX($F$4:$F$33)-MIN($F$4:$F$33))*100,0),0)</f>
        <v>0</v>
      </c>
      <c r="I21" s="19"/>
    </row>
    <row r="22" customFormat="false" ht="15" hidden="false" customHeight="false" outlineLevel="0" collapsed="false">
      <c r="A22" s="8" t="n">
        <v>19</v>
      </c>
      <c r="B22" s="17"/>
      <c r="C22" s="17"/>
      <c r="D22" s="39" t="n">
        <f aca="false">'2. PPP Conversion'!F22</f>
        <v>0</v>
      </c>
      <c r="E22" s="8" t="n">
        <f aca="false">'3. Staff FTE'!J22</f>
        <v>0</v>
      </c>
      <c r="F22" s="40" t="n">
        <f aca="false">IF(E22&gt;0,D22/E22,0)</f>
        <v>0</v>
      </c>
      <c r="G22" s="41" t="n">
        <f aca="false">IFERROR((F22-AVERAGE($F$4:$F$33))/STDEV($F$4:$F$33),0)</f>
        <v>0</v>
      </c>
      <c r="H22" s="42" t="n">
        <f aca="false">IFERROR(IF(MAX($F$4:$F$33)-MIN($F$4:$F$33)&gt;0,(F22-MIN($F$4:$F$33))/(MAX($F$4:$F$33)-MIN($F$4:$F$33))*100,0),0)</f>
        <v>0</v>
      </c>
      <c r="I22" s="17"/>
    </row>
    <row r="23" customFormat="false" ht="15" hidden="false" customHeight="false" outlineLevel="0" collapsed="false">
      <c r="A23" s="4" t="n">
        <v>20</v>
      </c>
      <c r="B23" s="19"/>
      <c r="C23" s="19"/>
      <c r="D23" s="43" t="n">
        <f aca="false">'2. PPP Conversion'!F23</f>
        <v>0</v>
      </c>
      <c r="E23" s="4" t="n">
        <f aca="false">'3. Staff FTE'!J23</f>
        <v>0</v>
      </c>
      <c r="F23" s="44" t="n">
        <f aca="false">IF(E23&gt;0,D23/E23,0)</f>
        <v>0</v>
      </c>
      <c r="G23" s="45" t="n">
        <f aca="false">IFERROR((F23-AVERAGE($F$4:$F$33))/STDEV($F$4:$F$33),0)</f>
        <v>0</v>
      </c>
      <c r="H23" s="46" t="n">
        <f aca="false">IFERROR(IF(MAX($F$4:$F$33)-MIN($F$4:$F$33)&gt;0,(F23-MIN($F$4:$F$33))/(MAX($F$4:$F$33)-MIN($F$4:$F$33))*100,0),0)</f>
        <v>0</v>
      </c>
      <c r="I23" s="19"/>
    </row>
    <row r="24" customFormat="false" ht="15" hidden="false" customHeight="false" outlineLevel="0" collapsed="false">
      <c r="A24" s="8" t="n">
        <v>21</v>
      </c>
      <c r="B24" s="17"/>
      <c r="C24" s="17"/>
      <c r="D24" s="39" t="n">
        <f aca="false">'2. PPP Conversion'!F24</f>
        <v>0</v>
      </c>
      <c r="E24" s="8" t="n">
        <f aca="false">'3. Staff FTE'!J24</f>
        <v>0</v>
      </c>
      <c r="F24" s="40" t="n">
        <f aca="false">IF(E24&gt;0,D24/E24,0)</f>
        <v>0</v>
      </c>
      <c r="G24" s="41" t="n">
        <f aca="false">IFERROR((F24-AVERAGE($F$4:$F$33))/STDEV($F$4:$F$33),0)</f>
        <v>0</v>
      </c>
      <c r="H24" s="42" t="n">
        <f aca="false">IFERROR(IF(MAX($F$4:$F$33)-MIN($F$4:$F$33)&gt;0,(F24-MIN($F$4:$F$33))/(MAX($F$4:$F$33)-MIN($F$4:$F$33))*100,0),0)</f>
        <v>0</v>
      </c>
      <c r="I24" s="17"/>
    </row>
    <row r="25" customFormat="false" ht="15" hidden="false" customHeight="false" outlineLevel="0" collapsed="false">
      <c r="A25" s="4" t="n">
        <v>22</v>
      </c>
      <c r="B25" s="19"/>
      <c r="C25" s="19"/>
      <c r="D25" s="43" t="n">
        <f aca="false">'2. PPP Conversion'!F25</f>
        <v>0</v>
      </c>
      <c r="E25" s="4" t="n">
        <f aca="false">'3. Staff FTE'!J25</f>
        <v>0</v>
      </c>
      <c r="F25" s="44" t="n">
        <f aca="false">IF(E25&gt;0,D25/E25,0)</f>
        <v>0</v>
      </c>
      <c r="G25" s="45" t="n">
        <f aca="false">IFERROR((F25-AVERAGE($F$4:$F$33))/STDEV($F$4:$F$33),0)</f>
        <v>0</v>
      </c>
      <c r="H25" s="46" t="n">
        <f aca="false">IFERROR(IF(MAX($F$4:$F$33)-MIN($F$4:$F$33)&gt;0,(F25-MIN($F$4:$F$33))/(MAX($F$4:$F$33)-MIN($F$4:$F$33))*100,0),0)</f>
        <v>0</v>
      </c>
      <c r="I25" s="19"/>
    </row>
    <row r="26" customFormat="false" ht="15" hidden="false" customHeight="false" outlineLevel="0" collapsed="false">
      <c r="A26" s="8" t="n">
        <v>23</v>
      </c>
      <c r="B26" s="17"/>
      <c r="C26" s="17"/>
      <c r="D26" s="39" t="n">
        <f aca="false">'2. PPP Conversion'!F26</f>
        <v>0</v>
      </c>
      <c r="E26" s="8" t="n">
        <f aca="false">'3. Staff FTE'!J26</f>
        <v>0</v>
      </c>
      <c r="F26" s="40" t="n">
        <f aca="false">IF(E26&gt;0,D26/E26,0)</f>
        <v>0</v>
      </c>
      <c r="G26" s="41" t="n">
        <f aca="false">IFERROR((F26-AVERAGE($F$4:$F$33))/STDEV($F$4:$F$33),0)</f>
        <v>0</v>
      </c>
      <c r="H26" s="42" t="n">
        <f aca="false">IFERROR(IF(MAX($F$4:$F$33)-MIN($F$4:$F$33)&gt;0,(F26-MIN($F$4:$F$33))/(MAX($F$4:$F$33)-MIN($F$4:$F$33))*100,0),0)</f>
        <v>0</v>
      </c>
      <c r="I26" s="17"/>
    </row>
    <row r="27" customFormat="false" ht="15" hidden="false" customHeight="false" outlineLevel="0" collapsed="false">
      <c r="A27" s="4" t="n">
        <v>24</v>
      </c>
      <c r="B27" s="19"/>
      <c r="C27" s="19"/>
      <c r="D27" s="43" t="n">
        <f aca="false">'2. PPP Conversion'!F27</f>
        <v>0</v>
      </c>
      <c r="E27" s="4" t="n">
        <f aca="false">'3. Staff FTE'!J27</f>
        <v>0</v>
      </c>
      <c r="F27" s="44" t="n">
        <f aca="false">IF(E27&gt;0,D27/E27,0)</f>
        <v>0</v>
      </c>
      <c r="G27" s="45" t="n">
        <f aca="false">IFERROR((F27-AVERAGE($F$4:$F$33))/STDEV($F$4:$F$33),0)</f>
        <v>0</v>
      </c>
      <c r="H27" s="46" t="n">
        <f aca="false">IFERROR(IF(MAX($F$4:$F$33)-MIN($F$4:$F$33)&gt;0,(F27-MIN($F$4:$F$33))/(MAX($F$4:$F$33)-MIN($F$4:$F$33))*100,0),0)</f>
        <v>0</v>
      </c>
      <c r="I27" s="19"/>
    </row>
    <row r="28" customFormat="false" ht="15" hidden="false" customHeight="false" outlineLevel="0" collapsed="false">
      <c r="A28" s="8" t="n">
        <v>25</v>
      </c>
      <c r="B28" s="17"/>
      <c r="C28" s="17"/>
      <c r="D28" s="39" t="n">
        <f aca="false">'2. PPP Conversion'!F28</f>
        <v>0</v>
      </c>
      <c r="E28" s="8" t="n">
        <f aca="false">'3. Staff FTE'!J28</f>
        <v>0</v>
      </c>
      <c r="F28" s="40" t="n">
        <f aca="false">IF(E28&gt;0,D28/E28,0)</f>
        <v>0</v>
      </c>
      <c r="G28" s="41" t="n">
        <f aca="false">IFERROR((F28-AVERAGE($F$4:$F$33))/STDEV($F$4:$F$33),0)</f>
        <v>0</v>
      </c>
      <c r="H28" s="42" t="n">
        <f aca="false">IFERROR(IF(MAX($F$4:$F$33)-MIN($F$4:$F$33)&gt;0,(F28-MIN($F$4:$F$33))/(MAX($F$4:$F$33)-MIN($F$4:$F$33))*100,0),0)</f>
        <v>0</v>
      </c>
      <c r="I28" s="17"/>
    </row>
    <row r="29" customFormat="false" ht="15" hidden="false" customHeight="false" outlineLevel="0" collapsed="false">
      <c r="A29" s="4" t="n">
        <v>26</v>
      </c>
      <c r="B29" s="19"/>
      <c r="C29" s="19"/>
      <c r="D29" s="43" t="n">
        <f aca="false">'2. PPP Conversion'!F29</f>
        <v>0</v>
      </c>
      <c r="E29" s="4" t="n">
        <f aca="false">'3. Staff FTE'!J29</f>
        <v>0</v>
      </c>
      <c r="F29" s="44" t="n">
        <f aca="false">IF(E29&gt;0,D29/E29,0)</f>
        <v>0</v>
      </c>
      <c r="G29" s="45" t="n">
        <f aca="false">IFERROR((F29-AVERAGE($F$4:$F$33))/STDEV($F$4:$F$33),0)</f>
        <v>0</v>
      </c>
      <c r="H29" s="46" t="n">
        <f aca="false">IFERROR(IF(MAX($F$4:$F$33)-MIN($F$4:$F$33)&gt;0,(F29-MIN($F$4:$F$33))/(MAX($F$4:$F$33)-MIN($F$4:$F$33))*100,0),0)</f>
        <v>0</v>
      </c>
      <c r="I29" s="19"/>
    </row>
    <row r="30" customFormat="false" ht="15" hidden="false" customHeight="false" outlineLevel="0" collapsed="false">
      <c r="A30" s="8" t="n">
        <v>27</v>
      </c>
      <c r="B30" s="17"/>
      <c r="C30" s="17"/>
      <c r="D30" s="39" t="n">
        <f aca="false">'2. PPP Conversion'!F30</f>
        <v>0</v>
      </c>
      <c r="E30" s="8" t="n">
        <f aca="false">'3. Staff FTE'!J30</f>
        <v>0</v>
      </c>
      <c r="F30" s="40" t="n">
        <f aca="false">IF(E30&gt;0,D30/E30,0)</f>
        <v>0</v>
      </c>
      <c r="G30" s="41" t="n">
        <f aca="false">IFERROR((F30-AVERAGE($F$4:$F$33))/STDEV($F$4:$F$33),0)</f>
        <v>0</v>
      </c>
      <c r="H30" s="42" t="n">
        <f aca="false">IFERROR(IF(MAX($F$4:$F$33)-MIN($F$4:$F$33)&gt;0,(F30-MIN($F$4:$F$33))/(MAX($F$4:$F$33)-MIN($F$4:$F$33))*100,0),0)</f>
        <v>0</v>
      </c>
      <c r="I30" s="17"/>
    </row>
    <row r="31" customFormat="false" ht="15" hidden="false" customHeight="false" outlineLevel="0" collapsed="false">
      <c r="A31" s="4" t="n">
        <v>28</v>
      </c>
      <c r="B31" s="19"/>
      <c r="C31" s="19"/>
      <c r="D31" s="43" t="n">
        <f aca="false">'2. PPP Conversion'!F31</f>
        <v>0</v>
      </c>
      <c r="E31" s="4" t="n">
        <f aca="false">'3. Staff FTE'!J31</f>
        <v>0</v>
      </c>
      <c r="F31" s="44" t="n">
        <f aca="false">IF(E31&gt;0,D31/E31,0)</f>
        <v>0</v>
      </c>
      <c r="G31" s="45" t="n">
        <f aca="false">IFERROR((F31-AVERAGE($F$4:$F$33))/STDEV($F$4:$F$33),0)</f>
        <v>0</v>
      </c>
      <c r="H31" s="46" t="n">
        <f aca="false">IFERROR(IF(MAX($F$4:$F$33)-MIN($F$4:$F$33)&gt;0,(F31-MIN($F$4:$F$33))/(MAX($F$4:$F$33)-MIN($F$4:$F$33))*100,0),0)</f>
        <v>0</v>
      </c>
      <c r="I31" s="19"/>
    </row>
    <row r="32" customFormat="false" ht="15" hidden="false" customHeight="false" outlineLevel="0" collapsed="false">
      <c r="A32" s="8" t="n">
        <v>29</v>
      </c>
      <c r="B32" s="17"/>
      <c r="C32" s="17"/>
      <c r="D32" s="39" t="n">
        <f aca="false">'2. PPP Conversion'!F32</f>
        <v>0</v>
      </c>
      <c r="E32" s="8" t="n">
        <f aca="false">'3. Staff FTE'!J32</f>
        <v>0</v>
      </c>
      <c r="F32" s="40" t="n">
        <f aca="false">IF(E32&gt;0,D32/E32,0)</f>
        <v>0</v>
      </c>
      <c r="G32" s="41" t="n">
        <f aca="false">IFERROR((F32-AVERAGE($F$4:$F$33))/STDEV($F$4:$F$33),0)</f>
        <v>0</v>
      </c>
      <c r="H32" s="42" t="n">
        <f aca="false">IFERROR(IF(MAX($F$4:$F$33)-MIN($F$4:$F$33)&gt;0,(F32-MIN($F$4:$F$33))/(MAX($F$4:$F$33)-MIN($F$4:$F$33))*100,0),0)</f>
        <v>0</v>
      </c>
      <c r="I32" s="17"/>
    </row>
    <row r="33" customFormat="false" ht="15" hidden="false" customHeight="false" outlineLevel="0" collapsed="false">
      <c r="A33" s="4" t="n">
        <v>30</v>
      </c>
      <c r="B33" s="19"/>
      <c r="C33" s="19"/>
      <c r="D33" s="43" t="n">
        <f aca="false">'2. PPP Conversion'!F33</f>
        <v>0</v>
      </c>
      <c r="E33" s="4" t="n">
        <f aca="false">'3. Staff FTE'!J33</f>
        <v>0</v>
      </c>
      <c r="F33" s="44" t="n">
        <f aca="false">IF(E33&gt;0,D33/E33,0)</f>
        <v>0</v>
      </c>
      <c r="G33" s="45" t="n">
        <f aca="false">IFERROR((F33-AVERAGE($F$4:$F$33))/STDEV($F$4:$F$33),0)</f>
        <v>0</v>
      </c>
      <c r="H33" s="46" t="n">
        <f aca="false">IFERROR(IF(MAX($F$4:$F$33)-MIN($F$4:$F$33)&gt;0,(F33-MIN($F$4:$F$33))/(MAX($F$4:$F$33)-MIN($F$4:$F$33))*100,0),0)</f>
        <v>0</v>
      </c>
      <c r="I33" s="19"/>
    </row>
    <row r="35" customFormat="false" ht="25.5" hidden="false" customHeight="true" outlineLevel="0" collapsed="false">
      <c r="A35" s="12" t="s">
        <v>119</v>
      </c>
      <c r="B35" s="12"/>
      <c r="C35" s="12"/>
      <c r="D35" s="12"/>
      <c r="E35" s="12"/>
      <c r="F35" s="12"/>
      <c r="G35" s="12"/>
      <c r="H35" s="12"/>
      <c r="I35" s="12"/>
    </row>
    <row r="36" customFormat="false" ht="15" hidden="false" customHeight="true" outlineLevel="0" collapsed="false">
      <c r="A36" s="47" t="s">
        <v>120</v>
      </c>
      <c r="B36" s="47"/>
      <c r="C36" s="47"/>
      <c r="D36" s="47"/>
      <c r="E36" s="47"/>
      <c r="F36" s="48" t="n">
        <f aca="false">IF(COUNTA(F4:F33)&gt;0,AVERAGE(F4:F33),0)</f>
        <v>0</v>
      </c>
      <c r="G36" s="49"/>
      <c r="H36" s="49"/>
      <c r="I36" s="49"/>
    </row>
    <row r="37" customFormat="false" ht="15" hidden="false" customHeight="true" outlineLevel="0" collapsed="false">
      <c r="A37" s="47" t="s">
        <v>121</v>
      </c>
      <c r="B37" s="47"/>
      <c r="C37" s="47"/>
      <c r="D37" s="47"/>
      <c r="E37" s="47"/>
      <c r="F37" s="48" t="n">
        <f aca="false">MAX(F4:F33)</f>
        <v>0</v>
      </c>
      <c r="G37" s="49"/>
      <c r="H37" s="49"/>
      <c r="I37" s="49"/>
    </row>
    <row r="38" customFormat="false" ht="15" hidden="false" customHeight="true" outlineLevel="0" collapsed="false">
      <c r="A38" s="47" t="s">
        <v>122</v>
      </c>
      <c r="B38" s="47"/>
      <c r="C38" s="47"/>
      <c r="D38" s="47"/>
      <c r="E38" s="47"/>
      <c r="F38" s="48" t="n">
        <f aca="false">MIN(F4:F33)</f>
        <v>0</v>
      </c>
      <c r="G38" s="49"/>
      <c r="H38" s="49"/>
      <c r="I38" s="49"/>
    </row>
    <row r="39" customFormat="false" ht="15" hidden="false" customHeight="true" outlineLevel="0" collapsed="false">
      <c r="A39" s="47" t="s">
        <v>123</v>
      </c>
      <c r="B39" s="47"/>
      <c r="C39" s="47"/>
      <c r="D39" s="47"/>
      <c r="E39" s="47"/>
      <c r="F39" s="48" t="n">
        <f aca="false">MEDIAN(F4:F33)</f>
        <v>0</v>
      </c>
      <c r="G39" s="49"/>
      <c r="H39" s="49"/>
      <c r="I39" s="49"/>
    </row>
    <row r="40" customFormat="false" ht="15" hidden="false" customHeight="true" outlineLevel="0" collapsed="false">
      <c r="A40" s="47" t="s">
        <v>124</v>
      </c>
      <c r="B40" s="47"/>
      <c r="C40" s="47"/>
      <c r="D40" s="47"/>
      <c r="E40" s="47"/>
      <c r="F40" s="48" t="n">
        <f aca="false">IF(COUNTA(F4:F33)&gt;1,STDEV(F4:F33),0)</f>
        <v>0</v>
      </c>
      <c r="G40" s="49"/>
      <c r="H40" s="49"/>
      <c r="I40" s="49"/>
    </row>
  </sheetData>
  <mergeCells count="8">
    <mergeCell ref="A1:I1"/>
    <mergeCell ref="A2:I2"/>
    <mergeCell ref="A35:I35"/>
    <mergeCell ref="A36:E36"/>
    <mergeCell ref="A37:E37"/>
    <mergeCell ref="A38:E38"/>
    <mergeCell ref="A39:E39"/>
    <mergeCell ref="A40:E4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L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6"/>
    <col collapsed="false" customWidth="true" hidden="false" outlineLevel="0" max="9" min="3" style="0" width="14"/>
    <col collapsed="false" customWidth="true" hidden="false" outlineLevel="0" max="11" min="10" style="0" width="16"/>
    <col collapsed="false" customWidth="true" hidden="false" outlineLevel="0" max="12" min="12" style="0" width="14"/>
  </cols>
  <sheetData>
    <row r="1" customFormat="false" ht="33.75" hidden="false" customHeight="true" outlineLevel="0" collapsed="false">
      <c r="A1" s="50" t="s">
        <v>125</v>
      </c>
      <c r="B1" s="50"/>
      <c r="C1" s="50"/>
      <c r="D1" s="50"/>
      <c r="E1" s="50"/>
      <c r="F1" s="50"/>
      <c r="G1" s="50"/>
      <c r="H1" s="50"/>
      <c r="I1" s="50"/>
      <c r="J1" s="50"/>
      <c r="K1" s="50"/>
      <c r="L1" s="50"/>
    </row>
    <row r="2" customFormat="false" ht="25.5" hidden="false" customHeight="true" outlineLevel="0" collapsed="false">
      <c r="A2" s="21" t="s">
        <v>126</v>
      </c>
      <c r="B2" s="21"/>
      <c r="C2" s="21"/>
      <c r="D2" s="21"/>
      <c r="E2" s="21"/>
      <c r="F2" s="21"/>
      <c r="G2" s="21"/>
      <c r="H2" s="21"/>
      <c r="I2" s="21"/>
      <c r="J2" s="21"/>
      <c r="K2" s="21"/>
      <c r="L2" s="21"/>
    </row>
    <row r="3" customFormat="false" ht="23.85" hidden="false" customHeight="false" outlineLevel="0" collapsed="false">
      <c r="A3" s="22" t="s">
        <v>33</v>
      </c>
      <c r="B3" s="22" t="s">
        <v>34</v>
      </c>
      <c r="C3" s="22" t="s">
        <v>35</v>
      </c>
      <c r="D3" s="22" t="s">
        <v>127</v>
      </c>
      <c r="E3" s="22" t="s">
        <v>128</v>
      </c>
      <c r="F3" s="22" t="s">
        <v>129</v>
      </c>
      <c r="G3" s="22" t="s">
        <v>130</v>
      </c>
      <c r="H3" s="22" t="s">
        <v>131</v>
      </c>
      <c r="I3" s="22" t="s">
        <v>132</v>
      </c>
      <c r="J3" s="22" t="s">
        <v>133</v>
      </c>
      <c r="K3" s="22" t="s">
        <v>134</v>
      </c>
      <c r="L3" s="22" t="s">
        <v>135</v>
      </c>
    </row>
    <row r="4" customFormat="false" ht="15" hidden="false" customHeight="false" outlineLevel="0" collapsed="false">
      <c r="A4" s="8" t="n">
        <v>1</v>
      </c>
      <c r="B4" s="17"/>
      <c r="C4" s="17"/>
      <c r="D4" s="51" t="n">
        <f aca="false">IFERROR('1. Total Income'!D4/'1. Total Income'!K4*100,0)</f>
        <v>0</v>
      </c>
      <c r="E4" s="51" t="n">
        <f aca="false">IFERROR('1. Total Income'!E4/'1. Total Income'!K4*100,0)</f>
        <v>0</v>
      </c>
      <c r="F4" s="51" t="n">
        <f aca="false">IFERROR('1. Total Income'!F4/'1. Total Income'!K4*100,0)</f>
        <v>0</v>
      </c>
      <c r="G4" s="51" t="n">
        <f aca="false">IFERROR('1. Total Income'!G4/'1. Total Income'!K4*100,0)</f>
        <v>0</v>
      </c>
      <c r="H4" s="51" t="n">
        <f aca="false">IFERROR('1. Total Income'!H4/'1. Total Income'!K4*100,0)</f>
        <v>0</v>
      </c>
      <c r="I4" s="51" t="n">
        <f aca="false">IFERROR('1. Total Income'!I4/'1. Total Income'!K4*100,0)</f>
        <v>0</v>
      </c>
      <c r="J4" s="51" t="n">
        <f aca="false">IFERROR('1. Total Income'!J4/'1. Total Income'!K4*100,0)</f>
        <v>0</v>
      </c>
      <c r="K4" s="52" t="n">
        <f aca="false">IFERROR(-SUMPRODUCT(IF(D4:J4&gt;0,(D4:J4/100)*LOG(D4:J4/100,2),0)),0)</f>
        <v>-0</v>
      </c>
      <c r="L4" s="11" t="str">
        <f aca="false">IF(K4&gt;=2.3,"Very High",IF(K4&gt;=1.8,"High",IF(K4&gt;=1.2,"Moderate",IF(K4&gt;=0.6,"Low","Very Low"))))</f>
        <v>Very Low</v>
      </c>
    </row>
    <row r="5" customFormat="false" ht="15" hidden="false" customHeight="false" outlineLevel="0" collapsed="false">
      <c r="A5" s="4" t="n">
        <v>2</v>
      </c>
      <c r="B5" s="19"/>
      <c r="C5" s="19"/>
      <c r="D5" s="53" t="n">
        <f aca="false">IFERROR('1. Total Income'!D5/'1. Total Income'!K5*100,0)</f>
        <v>0</v>
      </c>
      <c r="E5" s="53" t="n">
        <f aca="false">IFERROR('1. Total Income'!E5/'1. Total Income'!K5*100,0)</f>
        <v>0</v>
      </c>
      <c r="F5" s="53" t="n">
        <f aca="false">IFERROR('1. Total Income'!F5/'1. Total Income'!K5*100,0)</f>
        <v>0</v>
      </c>
      <c r="G5" s="53" t="n">
        <f aca="false">IFERROR('1. Total Income'!G5/'1. Total Income'!K5*100,0)</f>
        <v>0</v>
      </c>
      <c r="H5" s="53" t="n">
        <f aca="false">IFERROR('1. Total Income'!H5/'1. Total Income'!K5*100,0)</f>
        <v>0</v>
      </c>
      <c r="I5" s="53" t="n">
        <f aca="false">IFERROR('1. Total Income'!I5/'1. Total Income'!K5*100,0)</f>
        <v>0</v>
      </c>
      <c r="J5" s="53" t="n">
        <f aca="false">IFERROR('1. Total Income'!J5/'1. Total Income'!K5*100,0)</f>
        <v>0</v>
      </c>
      <c r="K5" s="54" t="n">
        <f aca="false">IFERROR(-SUMPRODUCT(IF(D5:J5&gt;0,(D5:J5/100)*LOG(D5:J5/100,2),0)),0)</f>
        <v>-0</v>
      </c>
      <c r="L5" s="7" t="str">
        <f aca="false">IF(K5&gt;=2.3,"Very High",IF(K5&gt;=1.8,"High",IF(K5&gt;=1.2,"Moderate",IF(K5&gt;=0.6,"Low","Very Low"))))</f>
        <v>Very Low</v>
      </c>
    </row>
    <row r="6" customFormat="false" ht="15" hidden="false" customHeight="false" outlineLevel="0" collapsed="false">
      <c r="A6" s="8" t="n">
        <v>3</v>
      </c>
      <c r="B6" s="17"/>
      <c r="C6" s="17"/>
      <c r="D6" s="51" t="n">
        <f aca="false">IFERROR('1. Total Income'!D6/'1. Total Income'!K6*100,0)</f>
        <v>0</v>
      </c>
      <c r="E6" s="51" t="n">
        <f aca="false">IFERROR('1. Total Income'!E6/'1. Total Income'!K6*100,0)</f>
        <v>0</v>
      </c>
      <c r="F6" s="51" t="n">
        <f aca="false">IFERROR('1. Total Income'!F6/'1. Total Income'!K6*100,0)</f>
        <v>0</v>
      </c>
      <c r="G6" s="51" t="n">
        <f aca="false">IFERROR('1. Total Income'!G6/'1. Total Income'!K6*100,0)</f>
        <v>0</v>
      </c>
      <c r="H6" s="51" t="n">
        <f aca="false">IFERROR('1. Total Income'!H6/'1. Total Income'!K6*100,0)</f>
        <v>0</v>
      </c>
      <c r="I6" s="51" t="n">
        <f aca="false">IFERROR('1. Total Income'!I6/'1. Total Income'!K6*100,0)</f>
        <v>0</v>
      </c>
      <c r="J6" s="51" t="n">
        <f aca="false">IFERROR('1. Total Income'!J6/'1. Total Income'!K6*100,0)</f>
        <v>0</v>
      </c>
      <c r="K6" s="52" t="n">
        <f aca="false">IFERROR(-SUMPRODUCT(IF(D6:J6&gt;0,(D6:J6/100)*LOG(D6:J6/100,2),0)),0)</f>
        <v>-0</v>
      </c>
      <c r="L6" s="11" t="str">
        <f aca="false">IF(K6&gt;=2.3,"Very High",IF(K6&gt;=1.8,"High",IF(K6&gt;=1.2,"Moderate",IF(K6&gt;=0.6,"Low","Very Low"))))</f>
        <v>Very Low</v>
      </c>
    </row>
    <row r="7" customFormat="false" ht="15" hidden="false" customHeight="false" outlineLevel="0" collapsed="false">
      <c r="A7" s="4" t="n">
        <v>4</v>
      </c>
      <c r="B7" s="19"/>
      <c r="C7" s="19"/>
      <c r="D7" s="53" t="n">
        <f aca="false">IFERROR('1. Total Income'!D7/'1. Total Income'!K7*100,0)</f>
        <v>0</v>
      </c>
      <c r="E7" s="53" t="n">
        <f aca="false">IFERROR('1. Total Income'!E7/'1. Total Income'!K7*100,0)</f>
        <v>0</v>
      </c>
      <c r="F7" s="53" t="n">
        <f aca="false">IFERROR('1. Total Income'!F7/'1. Total Income'!K7*100,0)</f>
        <v>0</v>
      </c>
      <c r="G7" s="53" t="n">
        <f aca="false">IFERROR('1. Total Income'!G7/'1. Total Income'!K7*100,0)</f>
        <v>0</v>
      </c>
      <c r="H7" s="53" t="n">
        <f aca="false">IFERROR('1. Total Income'!H7/'1. Total Income'!K7*100,0)</f>
        <v>0</v>
      </c>
      <c r="I7" s="53" t="n">
        <f aca="false">IFERROR('1. Total Income'!I7/'1. Total Income'!K7*100,0)</f>
        <v>0</v>
      </c>
      <c r="J7" s="53" t="n">
        <f aca="false">IFERROR('1. Total Income'!J7/'1. Total Income'!K7*100,0)</f>
        <v>0</v>
      </c>
      <c r="K7" s="54" t="n">
        <f aca="false">IFERROR(-SUMPRODUCT(IF(D7:J7&gt;0,(D7:J7/100)*LOG(D7:J7/100,2),0)),0)</f>
        <v>-0</v>
      </c>
      <c r="L7" s="7" t="str">
        <f aca="false">IF(K7&gt;=2.3,"Very High",IF(K7&gt;=1.8,"High",IF(K7&gt;=1.2,"Moderate",IF(K7&gt;=0.6,"Low","Very Low"))))</f>
        <v>Very Low</v>
      </c>
    </row>
    <row r="8" customFormat="false" ht="15" hidden="false" customHeight="false" outlineLevel="0" collapsed="false">
      <c r="A8" s="8" t="n">
        <v>5</v>
      </c>
      <c r="B8" s="17"/>
      <c r="C8" s="17"/>
      <c r="D8" s="51" t="n">
        <f aca="false">IFERROR('1. Total Income'!D8/'1. Total Income'!K8*100,0)</f>
        <v>0</v>
      </c>
      <c r="E8" s="51" t="n">
        <f aca="false">IFERROR('1. Total Income'!E8/'1. Total Income'!K8*100,0)</f>
        <v>0</v>
      </c>
      <c r="F8" s="51" t="n">
        <f aca="false">IFERROR('1. Total Income'!F8/'1. Total Income'!K8*100,0)</f>
        <v>0</v>
      </c>
      <c r="G8" s="51" t="n">
        <f aca="false">IFERROR('1. Total Income'!G8/'1. Total Income'!K8*100,0)</f>
        <v>0</v>
      </c>
      <c r="H8" s="51" t="n">
        <f aca="false">IFERROR('1. Total Income'!H8/'1. Total Income'!K8*100,0)</f>
        <v>0</v>
      </c>
      <c r="I8" s="51" t="n">
        <f aca="false">IFERROR('1. Total Income'!I8/'1. Total Income'!K8*100,0)</f>
        <v>0</v>
      </c>
      <c r="J8" s="51" t="n">
        <f aca="false">IFERROR('1. Total Income'!J8/'1. Total Income'!K8*100,0)</f>
        <v>0</v>
      </c>
      <c r="K8" s="52" t="n">
        <f aca="false">IFERROR(-SUMPRODUCT(IF(D8:J8&gt;0,(D8:J8/100)*LOG(D8:J8/100,2),0)),0)</f>
        <v>-0</v>
      </c>
      <c r="L8" s="11" t="str">
        <f aca="false">IF(K8&gt;=2.3,"Very High",IF(K8&gt;=1.8,"High",IF(K8&gt;=1.2,"Moderate",IF(K8&gt;=0.6,"Low","Very Low"))))</f>
        <v>Very Low</v>
      </c>
    </row>
    <row r="9" customFormat="false" ht="15" hidden="false" customHeight="false" outlineLevel="0" collapsed="false">
      <c r="A9" s="4" t="n">
        <v>6</v>
      </c>
      <c r="B9" s="19"/>
      <c r="C9" s="19"/>
      <c r="D9" s="53" t="n">
        <f aca="false">IFERROR('1. Total Income'!D9/'1. Total Income'!K9*100,0)</f>
        <v>0</v>
      </c>
      <c r="E9" s="53" t="n">
        <f aca="false">IFERROR('1. Total Income'!E9/'1. Total Income'!K9*100,0)</f>
        <v>0</v>
      </c>
      <c r="F9" s="53" t="n">
        <f aca="false">IFERROR('1. Total Income'!F9/'1. Total Income'!K9*100,0)</f>
        <v>0</v>
      </c>
      <c r="G9" s="53" t="n">
        <f aca="false">IFERROR('1. Total Income'!G9/'1. Total Income'!K9*100,0)</f>
        <v>0</v>
      </c>
      <c r="H9" s="53" t="n">
        <f aca="false">IFERROR('1. Total Income'!H9/'1. Total Income'!K9*100,0)</f>
        <v>0</v>
      </c>
      <c r="I9" s="53" t="n">
        <f aca="false">IFERROR('1. Total Income'!I9/'1. Total Income'!K9*100,0)</f>
        <v>0</v>
      </c>
      <c r="J9" s="53" t="n">
        <f aca="false">IFERROR('1. Total Income'!J9/'1. Total Income'!K9*100,0)</f>
        <v>0</v>
      </c>
      <c r="K9" s="54" t="n">
        <f aca="false">IFERROR(-SUMPRODUCT(IF(D9:J9&gt;0,(D9:J9/100)*LOG(D9:J9/100,2),0)),0)</f>
        <v>-0</v>
      </c>
      <c r="L9" s="7" t="str">
        <f aca="false">IF(K9&gt;=2.3,"Very High",IF(K9&gt;=1.8,"High",IF(K9&gt;=1.2,"Moderate",IF(K9&gt;=0.6,"Low","Very Low"))))</f>
        <v>Very Low</v>
      </c>
    </row>
    <row r="10" customFormat="false" ht="15" hidden="false" customHeight="false" outlineLevel="0" collapsed="false">
      <c r="A10" s="8" t="n">
        <v>7</v>
      </c>
      <c r="B10" s="17"/>
      <c r="C10" s="17"/>
      <c r="D10" s="51" t="n">
        <f aca="false">IFERROR('1. Total Income'!D10/'1. Total Income'!K10*100,0)</f>
        <v>0</v>
      </c>
      <c r="E10" s="51" t="n">
        <f aca="false">IFERROR('1. Total Income'!E10/'1. Total Income'!K10*100,0)</f>
        <v>0</v>
      </c>
      <c r="F10" s="51" t="n">
        <f aca="false">IFERROR('1. Total Income'!F10/'1. Total Income'!K10*100,0)</f>
        <v>0</v>
      </c>
      <c r="G10" s="51" t="n">
        <f aca="false">IFERROR('1. Total Income'!G10/'1. Total Income'!K10*100,0)</f>
        <v>0</v>
      </c>
      <c r="H10" s="51" t="n">
        <f aca="false">IFERROR('1. Total Income'!H10/'1. Total Income'!K10*100,0)</f>
        <v>0</v>
      </c>
      <c r="I10" s="51" t="n">
        <f aca="false">IFERROR('1. Total Income'!I10/'1. Total Income'!K10*100,0)</f>
        <v>0</v>
      </c>
      <c r="J10" s="51" t="n">
        <f aca="false">IFERROR('1. Total Income'!J10/'1. Total Income'!K10*100,0)</f>
        <v>0</v>
      </c>
      <c r="K10" s="52" t="n">
        <f aca="false">IFERROR(-SUMPRODUCT(IF(D10:J10&gt;0,(D10:J10/100)*LOG(D10:J10/100,2),0)),0)</f>
        <v>-0</v>
      </c>
      <c r="L10" s="11" t="str">
        <f aca="false">IF(K10&gt;=2.3,"Very High",IF(K10&gt;=1.8,"High",IF(K10&gt;=1.2,"Moderate",IF(K10&gt;=0.6,"Low","Very Low"))))</f>
        <v>Very Low</v>
      </c>
    </row>
    <row r="11" customFormat="false" ht="15" hidden="false" customHeight="false" outlineLevel="0" collapsed="false">
      <c r="A11" s="4" t="n">
        <v>8</v>
      </c>
      <c r="B11" s="19"/>
      <c r="C11" s="19"/>
      <c r="D11" s="53" t="n">
        <f aca="false">IFERROR('1. Total Income'!D11/'1. Total Income'!K11*100,0)</f>
        <v>0</v>
      </c>
      <c r="E11" s="53" t="n">
        <f aca="false">IFERROR('1. Total Income'!E11/'1. Total Income'!K11*100,0)</f>
        <v>0</v>
      </c>
      <c r="F11" s="53" t="n">
        <f aca="false">IFERROR('1. Total Income'!F11/'1. Total Income'!K11*100,0)</f>
        <v>0</v>
      </c>
      <c r="G11" s="53" t="n">
        <f aca="false">IFERROR('1. Total Income'!G11/'1. Total Income'!K11*100,0)</f>
        <v>0</v>
      </c>
      <c r="H11" s="53" t="n">
        <f aca="false">IFERROR('1. Total Income'!H11/'1. Total Income'!K11*100,0)</f>
        <v>0</v>
      </c>
      <c r="I11" s="53" t="n">
        <f aca="false">IFERROR('1. Total Income'!I11/'1. Total Income'!K11*100,0)</f>
        <v>0</v>
      </c>
      <c r="J11" s="53" t="n">
        <f aca="false">IFERROR('1. Total Income'!J11/'1. Total Income'!K11*100,0)</f>
        <v>0</v>
      </c>
      <c r="K11" s="54" t="n">
        <f aca="false">IFERROR(-SUMPRODUCT(IF(D11:J11&gt;0,(D11:J11/100)*LOG(D11:J11/100,2),0)),0)</f>
        <v>-0</v>
      </c>
      <c r="L11" s="7" t="str">
        <f aca="false">IF(K11&gt;=2.3,"Very High",IF(K11&gt;=1.8,"High",IF(K11&gt;=1.2,"Moderate",IF(K11&gt;=0.6,"Low","Very Low"))))</f>
        <v>Very Low</v>
      </c>
    </row>
    <row r="12" customFormat="false" ht="15" hidden="false" customHeight="false" outlineLevel="0" collapsed="false">
      <c r="A12" s="8" t="n">
        <v>9</v>
      </c>
      <c r="B12" s="17"/>
      <c r="C12" s="17"/>
      <c r="D12" s="51" t="n">
        <f aca="false">IFERROR('1. Total Income'!D12/'1. Total Income'!K12*100,0)</f>
        <v>0</v>
      </c>
      <c r="E12" s="51" t="n">
        <f aca="false">IFERROR('1. Total Income'!E12/'1. Total Income'!K12*100,0)</f>
        <v>0</v>
      </c>
      <c r="F12" s="51" t="n">
        <f aca="false">IFERROR('1. Total Income'!F12/'1. Total Income'!K12*100,0)</f>
        <v>0</v>
      </c>
      <c r="G12" s="51" t="n">
        <f aca="false">IFERROR('1. Total Income'!G12/'1. Total Income'!K12*100,0)</f>
        <v>0</v>
      </c>
      <c r="H12" s="51" t="n">
        <f aca="false">IFERROR('1. Total Income'!H12/'1. Total Income'!K12*100,0)</f>
        <v>0</v>
      </c>
      <c r="I12" s="51" t="n">
        <f aca="false">IFERROR('1. Total Income'!I12/'1. Total Income'!K12*100,0)</f>
        <v>0</v>
      </c>
      <c r="J12" s="51" t="n">
        <f aca="false">IFERROR('1. Total Income'!J12/'1. Total Income'!K12*100,0)</f>
        <v>0</v>
      </c>
      <c r="K12" s="52" t="n">
        <f aca="false">IFERROR(-SUMPRODUCT(IF(D12:J12&gt;0,(D12:J12/100)*LOG(D12:J12/100,2),0)),0)</f>
        <v>-0</v>
      </c>
      <c r="L12" s="11" t="str">
        <f aca="false">IF(K12&gt;=2.3,"Very High",IF(K12&gt;=1.8,"High",IF(K12&gt;=1.2,"Moderate",IF(K12&gt;=0.6,"Low","Very Low"))))</f>
        <v>Very Low</v>
      </c>
    </row>
    <row r="13" customFormat="false" ht="15" hidden="false" customHeight="false" outlineLevel="0" collapsed="false">
      <c r="A13" s="4" t="n">
        <v>10</v>
      </c>
      <c r="B13" s="19"/>
      <c r="C13" s="19"/>
      <c r="D13" s="53" t="n">
        <f aca="false">IFERROR('1. Total Income'!D13/'1. Total Income'!K13*100,0)</f>
        <v>0</v>
      </c>
      <c r="E13" s="53" t="n">
        <f aca="false">IFERROR('1. Total Income'!E13/'1. Total Income'!K13*100,0)</f>
        <v>0</v>
      </c>
      <c r="F13" s="53" t="n">
        <f aca="false">IFERROR('1. Total Income'!F13/'1. Total Income'!K13*100,0)</f>
        <v>0</v>
      </c>
      <c r="G13" s="53" t="n">
        <f aca="false">IFERROR('1. Total Income'!G13/'1. Total Income'!K13*100,0)</f>
        <v>0</v>
      </c>
      <c r="H13" s="53" t="n">
        <f aca="false">IFERROR('1. Total Income'!H13/'1. Total Income'!K13*100,0)</f>
        <v>0</v>
      </c>
      <c r="I13" s="53" t="n">
        <f aca="false">IFERROR('1. Total Income'!I13/'1. Total Income'!K13*100,0)</f>
        <v>0</v>
      </c>
      <c r="J13" s="53" t="n">
        <f aca="false">IFERROR('1. Total Income'!J13/'1. Total Income'!K13*100,0)</f>
        <v>0</v>
      </c>
      <c r="K13" s="54" t="n">
        <f aca="false">IFERROR(-SUMPRODUCT(IF(D13:J13&gt;0,(D13:J13/100)*LOG(D13:J13/100,2),0)),0)</f>
        <v>-0</v>
      </c>
      <c r="L13" s="7" t="str">
        <f aca="false">IF(K13&gt;=2.3,"Very High",IF(K13&gt;=1.8,"High",IF(K13&gt;=1.2,"Moderate",IF(K13&gt;=0.6,"Low","Very Low"))))</f>
        <v>Very Low</v>
      </c>
    </row>
    <row r="14" customFormat="false" ht="15" hidden="false" customHeight="false" outlineLevel="0" collapsed="false">
      <c r="A14" s="8" t="n">
        <v>11</v>
      </c>
      <c r="B14" s="17"/>
      <c r="C14" s="17"/>
      <c r="D14" s="51" t="n">
        <f aca="false">IFERROR('1. Total Income'!D14/'1. Total Income'!K14*100,0)</f>
        <v>0</v>
      </c>
      <c r="E14" s="51" t="n">
        <f aca="false">IFERROR('1. Total Income'!E14/'1. Total Income'!K14*100,0)</f>
        <v>0</v>
      </c>
      <c r="F14" s="51" t="n">
        <f aca="false">IFERROR('1. Total Income'!F14/'1. Total Income'!K14*100,0)</f>
        <v>0</v>
      </c>
      <c r="G14" s="51" t="n">
        <f aca="false">IFERROR('1. Total Income'!G14/'1. Total Income'!K14*100,0)</f>
        <v>0</v>
      </c>
      <c r="H14" s="51" t="n">
        <f aca="false">IFERROR('1. Total Income'!H14/'1. Total Income'!K14*100,0)</f>
        <v>0</v>
      </c>
      <c r="I14" s="51" t="n">
        <f aca="false">IFERROR('1. Total Income'!I14/'1. Total Income'!K14*100,0)</f>
        <v>0</v>
      </c>
      <c r="J14" s="51" t="n">
        <f aca="false">IFERROR('1. Total Income'!J14/'1. Total Income'!K14*100,0)</f>
        <v>0</v>
      </c>
      <c r="K14" s="52" t="n">
        <f aca="false">IFERROR(-SUMPRODUCT(IF(D14:J14&gt;0,(D14:J14/100)*LOG(D14:J14/100,2),0)),0)</f>
        <v>-0</v>
      </c>
      <c r="L14" s="11" t="str">
        <f aca="false">IF(K14&gt;=2.3,"Very High",IF(K14&gt;=1.8,"High",IF(K14&gt;=1.2,"Moderate",IF(K14&gt;=0.6,"Low","Very Low"))))</f>
        <v>Very Low</v>
      </c>
    </row>
    <row r="15" customFormat="false" ht="15" hidden="false" customHeight="false" outlineLevel="0" collapsed="false">
      <c r="A15" s="4" t="n">
        <v>12</v>
      </c>
      <c r="B15" s="19"/>
      <c r="C15" s="19"/>
      <c r="D15" s="53" t="n">
        <f aca="false">IFERROR('1. Total Income'!D15/'1. Total Income'!K15*100,0)</f>
        <v>0</v>
      </c>
      <c r="E15" s="53" t="n">
        <f aca="false">IFERROR('1. Total Income'!E15/'1. Total Income'!K15*100,0)</f>
        <v>0</v>
      </c>
      <c r="F15" s="53" t="n">
        <f aca="false">IFERROR('1. Total Income'!F15/'1. Total Income'!K15*100,0)</f>
        <v>0</v>
      </c>
      <c r="G15" s="53" t="n">
        <f aca="false">IFERROR('1. Total Income'!G15/'1. Total Income'!K15*100,0)</f>
        <v>0</v>
      </c>
      <c r="H15" s="53" t="n">
        <f aca="false">IFERROR('1. Total Income'!H15/'1. Total Income'!K15*100,0)</f>
        <v>0</v>
      </c>
      <c r="I15" s="53" t="n">
        <f aca="false">IFERROR('1. Total Income'!I15/'1. Total Income'!K15*100,0)</f>
        <v>0</v>
      </c>
      <c r="J15" s="53" t="n">
        <f aca="false">IFERROR('1. Total Income'!J15/'1. Total Income'!K15*100,0)</f>
        <v>0</v>
      </c>
      <c r="K15" s="54" t="n">
        <f aca="false">IFERROR(-SUMPRODUCT(IF(D15:J15&gt;0,(D15:J15/100)*LOG(D15:J15/100,2),0)),0)</f>
        <v>-0</v>
      </c>
      <c r="L15" s="7" t="str">
        <f aca="false">IF(K15&gt;=2.3,"Very High",IF(K15&gt;=1.8,"High",IF(K15&gt;=1.2,"Moderate",IF(K15&gt;=0.6,"Low","Very Low"))))</f>
        <v>Very Low</v>
      </c>
    </row>
    <row r="16" customFormat="false" ht="15" hidden="false" customHeight="false" outlineLevel="0" collapsed="false">
      <c r="A16" s="8" t="n">
        <v>13</v>
      </c>
      <c r="B16" s="17"/>
      <c r="C16" s="17"/>
      <c r="D16" s="51" t="n">
        <f aca="false">IFERROR('1. Total Income'!D16/'1. Total Income'!K16*100,0)</f>
        <v>0</v>
      </c>
      <c r="E16" s="51" t="n">
        <f aca="false">IFERROR('1. Total Income'!E16/'1. Total Income'!K16*100,0)</f>
        <v>0</v>
      </c>
      <c r="F16" s="51" t="n">
        <f aca="false">IFERROR('1. Total Income'!F16/'1. Total Income'!K16*100,0)</f>
        <v>0</v>
      </c>
      <c r="G16" s="51" t="n">
        <f aca="false">IFERROR('1. Total Income'!G16/'1. Total Income'!K16*100,0)</f>
        <v>0</v>
      </c>
      <c r="H16" s="51" t="n">
        <f aca="false">IFERROR('1. Total Income'!H16/'1. Total Income'!K16*100,0)</f>
        <v>0</v>
      </c>
      <c r="I16" s="51" t="n">
        <f aca="false">IFERROR('1. Total Income'!I16/'1. Total Income'!K16*100,0)</f>
        <v>0</v>
      </c>
      <c r="J16" s="51" t="n">
        <f aca="false">IFERROR('1. Total Income'!J16/'1. Total Income'!K16*100,0)</f>
        <v>0</v>
      </c>
      <c r="K16" s="52" t="n">
        <f aca="false">IFERROR(-SUMPRODUCT(IF(D16:J16&gt;0,(D16:J16/100)*LOG(D16:J16/100,2),0)),0)</f>
        <v>-0</v>
      </c>
      <c r="L16" s="11" t="str">
        <f aca="false">IF(K16&gt;=2.3,"Very High",IF(K16&gt;=1.8,"High",IF(K16&gt;=1.2,"Moderate",IF(K16&gt;=0.6,"Low","Very Low"))))</f>
        <v>Very Low</v>
      </c>
    </row>
    <row r="17" customFormat="false" ht="15" hidden="false" customHeight="false" outlineLevel="0" collapsed="false">
      <c r="A17" s="4" t="n">
        <v>14</v>
      </c>
      <c r="B17" s="19"/>
      <c r="C17" s="19"/>
      <c r="D17" s="53" t="n">
        <f aca="false">IFERROR('1. Total Income'!D17/'1. Total Income'!K17*100,0)</f>
        <v>0</v>
      </c>
      <c r="E17" s="53" t="n">
        <f aca="false">IFERROR('1. Total Income'!E17/'1. Total Income'!K17*100,0)</f>
        <v>0</v>
      </c>
      <c r="F17" s="53" t="n">
        <f aca="false">IFERROR('1. Total Income'!F17/'1. Total Income'!K17*100,0)</f>
        <v>0</v>
      </c>
      <c r="G17" s="53" t="n">
        <f aca="false">IFERROR('1. Total Income'!G17/'1. Total Income'!K17*100,0)</f>
        <v>0</v>
      </c>
      <c r="H17" s="53" t="n">
        <f aca="false">IFERROR('1. Total Income'!H17/'1. Total Income'!K17*100,0)</f>
        <v>0</v>
      </c>
      <c r="I17" s="53" t="n">
        <f aca="false">IFERROR('1. Total Income'!I17/'1. Total Income'!K17*100,0)</f>
        <v>0</v>
      </c>
      <c r="J17" s="53" t="n">
        <f aca="false">IFERROR('1. Total Income'!J17/'1. Total Income'!K17*100,0)</f>
        <v>0</v>
      </c>
      <c r="K17" s="54" t="n">
        <f aca="false">IFERROR(-SUMPRODUCT(IF(D17:J17&gt;0,(D17:J17/100)*LOG(D17:J17/100,2),0)),0)</f>
        <v>-0</v>
      </c>
      <c r="L17" s="7" t="str">
        <f aca="false">IF(K17&gt;=2.3,"Very High",IF(K17&gt;=1.8,"High",IF(K17&gt;=1.2,"Moderate",IF(K17&gt;=0.6,"Low","Very Low"))))</f>
        <v>Very Low</v>
      </c>
    </row>
    <row r="18" customFormat="false" ht="15" hidden="false" customHeight="false" outlineLevel="0" collapsed="false">
      <c r="A18" s="8" t="n">
        <v>15</v>
      </c>
      <c r="B18" s="17"/>
      <c r="C18" s="17"/>
      <c r="D18" s="51" t="n">
        <f aca="false">IFERROR('1. Total Income'!D18/'1. Total Income'!K18*100,0)</f>
        <v>0</v>
      </c>
      <c r="E18" s="51" t="n">
        <f aca="false">IFERROR('1. Total Income'!E18/'1. Total Income'!K18*100,0)</f>
        <v>0</v>
      </c>
      <c r="F18" s="51" t="n">
        <f aca="false">IFERROR('1. Total Income'!F18/'1. Total Income'!K18*100,0)</f>
        <v>0</v>
      </c>
      <c r="G18" s="51" t="n">
        <f aca="false">IFERROR('1. Total Income'!G18/'1. Total Income'!K18*100,0)</f>
        <v>0</v>
      </c>
      <c r="H18" s="51" t="n">
        <f aca="false">IFERROR('1. Total Income'!H18/'1. Total Income'!K18*100,0)</f>
        <v>0</v>
      </c>
      <c r="I18" s="51" t="n">
        <f aca="false">IFERROR('1. Total Income'!I18/'1. Total Income'!K18*100,0)</f>
        <v>0</v>
      </c>
      <c r="J18" s="51" t="n">
        <f aca="false">IFERROR('1. Total Income'!J18/'1. Total Income'!K18*100,0)</f>
        <v>0</v>
      </c>
      <c r="K18" s="52" t="n">
        <f aca="false">IFERROR(-SUMPRODUCT(IF(D18:J18&gt;0,(D18:J18/100)*LOG(D18:J18/100,2),0)),0)</f>
        <v>-0</v>
      </c>
      <c r="L18" s="11" t="str">
        <f aca="false">IF(K18&gt;=2.3,"Very High",IF(K18&gt;=1.8,"High",IF(K18&gt;=1.2,"Moderate",IF(K18&gt;=0.6,"Low","Very Low"))))</f>
        <v>Very Low</v>
      </c>
    </row>
    <row r="19" customFormat="false" ht="15" hidden="false" customHeight="false" outlineLevel="0" collapsed="false">
      <c r="A19" s="4" t="n">
        <v>16</v>
      </c>
      <c r="B19" s="19"/>
      <c r="C19" s="19"/>
      <c r="D19" s="53" t="n">
        <f aca="false">IFERROR('1. Total Income'!D19/'1. Total Income'!K19*100,0)</f>
        <v>0</v>
      </c>
      <c r="E19" s="53" t="n">
        <f aca="false">IFERROR('1. Total Income'!E19/'1. Total Income'!K19*100,0)</f>
        <v>0</v>
      </c>
      <c r="F19" s="53" t="n">
        <f aca="false">IFERROR('1. Total Income'!F19/'1. Total Income'!K19*100,0)</f>
        <v>0</v>
      </c>
      <c r="G19" s="53" t="n">
        <f aca="false">IFERROR('1. Total Income'!G19/'1. Total Income'!K19*100,0)</f>
        <v>0</v>
      </c>
      <c r="H19" s="53" t="n">
        <f aca="false">IFERROR('1. Total Income'!H19/'1. Total Income'!K19*100,0)</f>
        <v>0</v>
      </c>
      <c r="I19" s="53" t="n">
        <f aca="false">IFERROR('1. Total Income'!I19/'1. Total Income'!K19*100,0)</f>
        <v>0</v>
      </c>
      <c r="J19" s="53" t="n">
        <f aca="false">IFERROR('1. Total Income'!J19/'1. Total Income'!K19*100,0)</f>
        <v>0</v>
      </c>
      <c r="K19" s="54" t="n">
        <f aca="false">IFERROR(-SUMPRODUCT(IF(D19:J19&gt;0,(D19:J19/100)*LOG(D19:J19/100,2),0)),0)</f>
        <v>-0</v>
      </c>
      <c r="L19" s="7" t="str">
        <f aca="false">IF(K19&gt;=2.3,"Very High",IF(K19&gt;=1.8,"High",IF(K19&gt;=1.2,"Moderate",IF(K19&gt;=0.6,"Low","Very Low"))))</f>
        <v>Very Low</v>
      </c>
    </row>
    <row r="20" customFormat="false" ht="15" hidden="false" customHeight="false" outlineLevel="0" collapsed="false">
      <c r="A20" s="8" t="n">
        <v>17</v>
      </c>
      <c r="B20" s="17"/>
      <c r="C20" s="17"/>
      <c r="D20" s="51" t="n">
        <f aca="false">IFERROR('1. Total Income'!D20/'1. Total Income'!K20*100,0)</f>
        <v>0</v>
      </c>
      <c r="E20" s="51" t="n">
        <f aca="false">IFERROR('1. Total Income'!E20/'1. Total Income'!K20*100,0)</f>
        <v>0</v>
      </c>
      <c r="F20" s="51" t="n">
        <f aca="false">IFERROR('1. Total Income'!F20/'1. Total Income'!K20*100,0)</f>
        <v>0</v>
      </c>
      <c r="G20" s="51" t="n">
        <f aca="false">IFERROR('1. Total Income'!G20/'1. Total Income'!K20*100,0)</f>
        <v>0</v>
      </c>
      <c r="H20" s="51" t="n">
        <f aca="false">IFERROR('1. Total Income'!H20/'1. Total Income'!K20*100,0)</f>
        <v>0</v>
      </c>
      <c r="I20" s="51" t="n">
        <f aca="false">IFERROR('1. Total Income'!I20/'1. Total Income'!K20*100,0)</f>
        <v>0</v>
      </c>
      <c r="J20" s="51" t="n">
        <f aca="false">IFERROR('1. Total Income'!J20/'1. Total Income'!K20*100,0)</f>
        <v>0</v>
      </c>
      <c r="K20" s="52" t="n">
        <f aca="false">IFERROR(-SUMPRODUCT(IF(D20:J20&gt;0,(D20:J20/100)*LOG(D20:J20/100,2),0)),0)</f>
        <v>-0</v>
      </c>
      <c r="L20" s="11" t="str">
        <f aca="false">IF(K20&gt;=2.3,"Very High",IF(K20&gt;=1.8,"High",IF(K20&gt;=1.2,"Moderate",IF(K20&gt;=0.6,"Low","Very Low"))))</f>
        <v>Very Low</v>
      </c>
    </row>
    <row r="21" customFormat="false" ht="15" hidden="false" customHeight="false" outlineLevel="0" collapsed="false">
      <c r="A21" s="4" t="n">
        <v>18</v>
      </c>
      <c r="B21" s="19"/>
      <c r="C21" s="19"/>
      <c r="D21" s="53" t="n">
        <f aca="false">IFERROR('1. Total Income'!D21/'1. Total Income'!K21*100,0)</f>
        <v>0</v>
      </c>
      <c r="E21" s="53" t="n">
        <f aca="false">IFERROR('1. Total Income'!E21/'1. Total Income'!K21*100,0)</f>
        <v>0</v>
      </c>
      <c r="F21" s="53" t="n">
        <f aca="false">IFERROR('1. Total Income'!F21/'1. Total Income'!K21*100,0)</f>
        <v>0</v>
      </c>
      <c r="G21" s="53" t="n">
        <f aca="false">IFERROR('1. Total Income'!G21/'1. Total Income'!K21*100,0)</f>
        <v>0</v>
      </c>
      <c r="H21" s="53" t="n">
        <f aca="false">IFERROR('1. Total Income'!H21/'1. Total Income'!K21*100,0)</f>
        <v>0</v>
      </c>
      <c r="I21" s="53" t="n">
        <f aca="false">IFERROR('1. Total Income'!I21/'1. Total Income'!K21*100,0)</f>
        <v>0</v>
      </c>
      <c r="J21" s="53" t="n">
        <f aca="false">IFERROR('1. Total Income'!J21/'1. Total Income'!K21*100,0)</f>
        <v>0</v>
      </c>
      <c r="K21" s="54" t="n">
        <f aca="false">IFERROR(-SUMPRODUCT(IF(D21:J21&gt;0,(D21:J21/100)*LOG(D21:J21/100,2),0)),0)</f>
        <v>-0</v>
      </c>
      <c r="L21" s="7" t="str">
        <f aca="false">IF(K21&gt;=2.3,"Very High",IF(K21&gt;=1.8,"High",IF(K21&gt;=1.2,"Moderate",IF(K21&gt;=0.6,"Low","Very Low"))))</f>
        <v>Very Low</v>
      </c>
    </row>
    <row r="22" customFormat="false" ht="15" hidden="false" customHeight="false" outlineLevel="0" collapsed="false">
      <c r="A22" s="8" t="n">
        <v>19</v>
      </c>
      <c r="B22" s="17"/>
      <c r="C22" s="17"/>
      <c r="D22" s="51" t="n">
        <f aca="false">IFERROR('1. Total Income'!D22/'1. Total Income'!K22*100,0)</f>
        <v>0</v>
      </c>
      <c r="E22" s="51" t="n">
        <f aca="false">IFERROR('1. Total Income'!E22/'1. Total Income'!K22*100,0)</f>
        <v>0</v>
      </c>
      <c r="F22" s="51" t="n">
        <f aca="false">IFERROR('1. Total Income'!F22/'1. Total Income'!K22*100,0)</f>
        <v>0</v>
      </c>
      <c r="G22" s="51" t="n">
        <f aca="false">IFERROR('1. Total Income'!G22/'1. Total Income'!K22*100,0)</f>
        <v>0</v>
      </c>
      <c r="H22" s="51" t="n">
        <f aca="false">IFERROR('1. Total Income'!H22/'1. Total Income'!K22*100,0)</f>
        <v>0</v>
      </c>
      <c r="I22" s="51" t="n">
        <f aca="false">IFERROR('1. Total Income'!I22/'1. Total Income'!K22*100,0)</f>
        <v>0</v>
      </c>
      <c r="J22" s="51" t="n">
        <f aca="false">IFERROR('1. Total Income'!J22/'1. Total Income'!K22*100,0)</f>
        <v>0</v>
      </c>
      <c r="K22" s="52" t="n">
        <f aca="false">IFERROR(-SUMPRODUCT(IF(D22:J22&gt;0,(D22:J22/100)*LOG(D22:J22/100,2),0)),0)</f>
        <v>-0</v>
      </c>
      <c r="L22" s="11" t="str">
        <f aca="false">IF(K22&gt;=2.3,"Very High",IF(K22&gt;=1.8,"High",IF(K22&gt;=1.2,"Moderate",IF(K22&gt;=0.6,"Low","Very Low"))))</f>
        <v>Very Low</v>
      </c>
    </row>
    <row r="23" customFormat="false" ht="15" hidden="false" customHeight="false" outlineLevel="0" collapsed="false">
      <c r="A23" s="4" t="n">
        <v>20</v>
      </c>
      <c r="B23" s="19"/>
      <c r="C23" s="19"/>
      <c r="D23" s="53" t="n">
        <f aca="false">IFERROR('1. Total Income'!D23/'1. Total Income'!K23*100,0)</f>
        <v>0</v>
      </c>
      <c r="E23" s="53" t="n">
        <f aca="false">IFERROR('1. Total Income'!E23/'1. Total Income'!K23*100,0)</f>
        <v>0</v>
      </c>
      <c r="F23" s="53" t="n">
        <f aca="false">IFERROR('1. Total Income'!F23/'1. Total Income'!K23*100,0)</f>
        <v>0</v>
      </c>
      <c r="G23" s="53" t="n">
        <f aca="false">IFERROR('1. Total Income'!G23/'1. Total Income'!K23*100,0)</f>
        <v>0</v>
      </c>
      <c r="H23" s="53" t="n">
        <f aca="false">IFERROR('1. Total Income'!H23/'1. Total Income'!K23*100,0)</f>
        <v>0</v>
      </c>
      <c r="I23" s="53" t="n">
        <f aca="false">IFERROR('1. Total Income'!I23/'1. Total Income'!K23*100,0)</f>
        <v>0</v>
      </c>
      <c r="J23" s="53" t="n">
        <f aca="false">IFERROR('1. Total Income'!J23/'1. Total Income'!K23*100,0)</f>
        <v>0</v>
      </c>
      <c r="K23" s="54" t="n">
        <f aca="false">IFERROR(-SUMPRODUCT(IF(D23:J23&gt;0,(D23:J23/100)*LOG(D23:J23/100,2),0)),0)</f>
        <v>-0</v>
      </c>
      <c r="L23" s="7" t="str">
        <f aca="false">IF(K23&gt;=2.3,"Very High",IF(K23&gt;=1.8,"High",IF(K23&gt;=1.2,"Moderate",IF(K23&gt;=0.6,"Low","Very Low"))))</f>
        <v>Very Low</v>
      </c>
    </row>
    <row r="24" customFormat="false" ht="15" hidden="false" customHeight="false" outlineLevel="0" collapsed="false">
      <c r="A24" s="8" t="n">
        <v>21</v>
      </c>
      <c r="B24" s="17"/>
      <c r="C24" s="17"/>
      <c r="D24" s="51" t="n">
        <f aca="false">IFERROR('1. Total Income'!D24/'1. Total Income'!K24*100,0)</f>
        <v>0</v>
      </c>
      <c r="E24" s="51" t="n">
        <f aca="false">IFERROR('1. Total Income'!E24/'1. Total Income'!K24*100,0)</f>
        <v>0</v>
      </c>
      <c r="F24" s="51" t="n">
        <f aca="false">IFERROR('1. Total Income'!F24/'1. Total Income'!K24*100,0)</f>
        <v>0</v>
      </c>
      <c r="G24" s="51" t="n">
        <f aca="false">IFERROR('1. Total Income'!G24/'1. Total Income'!K24*100,0)</f>
        <v>0</v>
      </c>
      <c r="H24" s="51" t="n">
        <f aca="false">IFERROR('1. Total Income'!H24/'1. Total Income'!K24*100,0)</f>
        <v>0</v>
      </c>
      <c r="I24" s="51" t="n">
        <f aca="false">IFERROR('1. Total Income'!I24/'1. Total Income'!K24*100,0)</f>
        <v>0</v>
      </c>
      <c r="J24" s="51" t="n">
        <f aca="false">IFERROR('1. Total Income'!J24/'1. Total Income'!K24*100,0)</f>
        <v>0</v>
      </c>
      <c r="K24" s="52" t="n">
        <f aca="false">IFERROR(-SUMPRODUCT(IF(D24:J24&gt;0,(D24:J24/100)*LOG(D24:J24/100,2),0)),0)</f>
        <v>-0</v>
      </c>
      <c r="L24" s="11" t="str">
        <f aca="false">IF(K24&gt;=2.3,"Very High",IF(K24&gt;=1.8,"High",IF(K24&gt;=1.2,"Moderate",IF(K24&gt;=0.6,"Low","Very Low"))))</f>
        <v>Very Low</v>
      </c>
    </row>
    <row r="25" customFormat="false" ht="15" hidden="false" customHeight="false" outlineLevel="0" collapsed="false">
      <c r="A25" s="4" t="n">
        <v>22</v>
      </c>
      <c r="B25" s="19"/>
      <c r="C25" s="19"/>
      <c r="D25" s="53" t="n">
        <f aca="false">IFERROR('1. Total Income'!D25/'1. Total Income'!K25*100,0)</f>
        <v>0</v>
      </c>
      <c r="E25" s="53" t="n">
        <f aca="false">IFERROR('1. Total Income'!E25/'1. Total Income'!K25*100,0)</f>
        <v>0</v>
      </c>
      <c r="F25" s="53" t="n">
        <f aca="false">IFERROR('1. Total Income'!F25/'1. Total Income'!K25*100,0)</f>
        <v>0</v>
      </c>
      <c r="G25" s="53" t="n">
        <f aca="false">IFERROR('1. Total Income'!G25/'1. Total Income'!K25*100,0)</f>
        <v>0</v>
      </c>
      <c r="H25" s="53" t="n">
        <f aca="false">IFERROR('1. Total Income'!H25/'1. Total Income'!K25*100,0)</f>
        <v>0</v>
      </c>
      <c r="I25" s="53" t="n">
        <f aca="false">IFERROR('1. Total Income'!I25/'1. Total Income'!K25*100,0)</f>
        <v>0</v>
      </c>
      <c r="J25" s="53" t="n">
        <f aca="false">IFERROR('1. Total Income'!J25/'1. Total Income'!K25*100,0)</f>
        <v>0</v>
      </c>
      <c r="K25" s="54" t="n">
        <f aca="false">IFERROR(-SUMPRODUCT(IF(D25:J25&gt;0,(D25:J25/100)*LOG(D25:J25/100,2),0)),0)</f>
        <v>-0</v>
      </c>
      <c r="L25" s="7" t="str">
        <f aca="false">IF(K25&gt;=2.3,"Very High",IF(K25&gt;=1.8,"High",IF(K25&gt;=1.2,"Moderate",IF(K25&gt;=0.6,"Low","Very Low"))))</f>
        <v>Very Low</v>
      </c>
    </row>
    <row r="26" customFormat="false" ht="15" hidden="false" customHeight="false" outlineLevel="0" collapsed="false">
      <c r="A26" s="8" t="n">
        <v>23</v>
      </c>
      <c r="B26" s="17"/>
      <c r="C26" s="17"/>
      <c r="D26" s="51" t="n">
        <f aca="false">IFERROR('1. Total Income'!D26/'1. Total Income'!K26*100,0)</f>
        <v>0</v>
      </c>
      <c r="E26" s="51" t="n">
        <f aca="false">IFERROR('1. Total Income'!E26/'1. Total Income'!K26*100,0)</f>
        <v>0</v>
      </c>
      <c r="F26" s="51" t="n">
        <f aca="false">IFERROR('1. Total Income'!F26/'1. Total Income'!K26*100,0)</f>
        <v>0</v>
      </c>
      <c r="G26" s="51" t="n">
        <f aca="false">IFERROR('1. Total Income'!G26/'1. Total Income'!K26*100,0)</f>
        <v>0</v>
      </c>
      <c r="H26" s="51" t="n">
        <f aca="false">IFERROR('1. Total Income'!H26/'1. Total Income'!K26*100,0)</f>
        <v>0</v>
      </c>
      <c r="I26" s="51" t="n">
        <f aca="false">IFERROR('1. Total Income'!I26/'1. Total Income'!K26*100,0)</f>
        <v>0</v>
      </c>
      <c r="J26" s="51" t="n">
        <f aca="false">IFERROR('1. Total Income'!J26/'1. Total Income'!K26*100,0)</f>
        <v>0</v>
      </c>
      <c r="K26" s="52" t="n">
        <f aca="false">IFERROR(-SUMPRODUCT(IF(D26:J26&gt;0,(D26:J26/100)*LOG(D26:J26/100,2),0)),0)</f>
        <v>-0</v>
      </c>
      <c r="L26" s="11" t="str">
        <f aca="false">IF(K26&gt;=2.3,"Very High",IF(K26&gt;=1.8,"High",IF(K26&gt;=1.2,"Moderate",IF(K26&gt;=0.6,"Low","Very Low"))))</f>
        <v>Very Low</v>
      </c>
    </row>
    <row r="27" customFormat="false" ht="15" hidden="false" customHeight="false" outlineLevel="0" collapsed="false">
      <c r="A27" s="4" t="n">
        <v>24</v>
      </c>
      <c r="B27" s="19"/>
      <c r="C27" s="19"/>
      <c r="D27" s="53" t="n">
        <f aca="false">IFERROR('1. Total Income'!D27/'1. Total Income'!K27*100,0)</f>
        <v>0</v>
      </c>
      <c r="E27" s="53" t="n">
        <f aca="false">IFERROR('1. Total Income'!E27/'1. Total Income'!K27*100,0)</f>
        <v>0</v>
      </c>
      <c r="F27" s="53" t="n">
        <f aca="false">IFERROR('1. Total Income'!F27/'1. Total Income'!K27*100,0)</f>
        <v>0</v>
      </c>
      <c r="G27" s="53" t="n">
        <f aca="false">IFERROR('1. Total Income'!G27/'1. Total Income'!K27*100,0)</f>
        <v>0</v>
      </c>
      <c r="H27" s="53" t="n">
        <f aca="false">IFERROR('1. Total Income'!H27/'1. Total Income'!K27*100,0)</f>
        <v>0</v>
      </c>
      <c r="I27" s="53" t="n">
        <f aca="false">IFERROR('1. Total Income'!I27/'1. Total Income'!K27*100,0)</f>
        <v>0</v>
      </c>
      <c r="J27" s="53" t="n">
        <f aca="false">IFERROR('1. Total Income'!J27/'1. Total Income'!K27*100,0)</f>
        <v>0</v>
      </c>
      <c r="K27" s="54" t="n">
        <f aca="false">IFERROR(-SUMPRODUCT(IF(D27:J27&gt;0,(D27:J27/100)*LOG(D27:J27/100,2),0)),0)</f>
        <v>-0</v>
      </c>
      <c r="L27" s="7" t="str">
        <f aca="false">IF(K27&gt;=2.3,"Very High",IF(K27&gt;=1.8,"High",IF(K27&gt;=1.2,"Moderate",IF(K27&gt;=0.6,"Low","Very Low"))))</f>
        <v>Very Low</v>
      </c>
    </row>
    <row r="28" customFormat="false" ht="15" hidden="false" customHeight="false" outlineLevel="0" collapsed="false">
      <c r="A28" s="8" t="n">
        <v>25</v>
      </c>
      <c r="B28" s="17"/>
      <c r="C28" s="17"/>
      <c r="D28" s="51" t="n">
        <f aca="false">IFERROR('1. Total Income'!D28/'1. Total Income'!K28*100,0)</f>
        <v>0</v>
      </c>
      <c r="E28" s="51" t="n">
        <f aca="false">IFERROR('1. Total Income'!E28/'1. Total Income'!K28*100,0)</f>
        <v>0</v>
      </c>
      <c r="F28" s="51" t="n">
        <f aca="false">IFERROR('1. Total Income'!F28/'1. Total Income'!K28*100,0)</f>
        <v>0</v>
      </c>
      <c r="G28" s="51" t="n">
        <f aca="false">IFERROR('1. Total Income'!G28/'1. Total Income'!K28*100,0)</f>
        <v>0</v>
      </c>
      <c r="H28" s="51" t="n">
        <f aca="false">IFERROR('1. Total Income'!H28/'1. Total Income'!K28*100,0)</f>
        <v>0</v>
      </c>
      <c r="I28" s="51" t="n">
        <f aca="false">IFERROR('1. Total Income'!I28/'1. Total Income'!K28*100,0)</f>
        <v>0</v>
      </c>
      <c r="J28" s="51" t="n">
        <f aca="false">IFERROR('1. Total Income'!J28/'1. Total Income'!K28*100,0)</f>
        <v>0</v>
      </c>
      <c r="K28" s="52" t="n">
        <f aca="false">IFERROR(-SUMPRODUCT(IF(D28:J28&gt;0,(D28:J28/100)*LOG(D28:J28/100,2),0)),0)</f>
        <v>-0</v>
      </c>
      <c r="L28" s="11" t="str">
        <f aca="false">IF(K28&gt;=2.3,"Very High",IF(K28&gt;=1.8,"High",IF(K28&gt;=1.2,"Moderate",IF(K28&gt;=0.6,"Low","Very Low"))))</f>
        <v>Very Low</v>
      </c>
    </row>
    <row r="29" customFormat="false" ht="15" hidden="false" customHeight="false" outlineLevel="0" collapsed="false">
      <c r="A29" s="4" t="n">
        <v>26</v>
      </c>
      <c r="B29" s="19"/>
      <c r="C29" s="19"/>
      <c r="D29" s="53" t="n">
        <f aca="false">IFERROR('1. Total Income'!D29/'1. Total Income'!K29*100,0)</f>
        <v>0</v>
      </c>
      <c r="E29" s="53" t="n">
        <f aca="false">IFERROR('1. Total Income'!E29/'1. Total Income'!K29*100,0)</f>
        <v>0</v>
      </c>
      <c r="F29" s="53" t="n">
        <f aca="false">IFERROR('1. Total Income'!F29/'1. Total Income'!K29*100,0)</f>
        <v>0</v>
      </c>
      <c r="G29" s="53" t="n">
        <f aca="false">IFERROR('1. Total Income'!G29/'1. Total Income'!K29*100,0)</f>
        <v>0</v>
      </c>
      <c r="H29" s="53" t="n">
        <f aca="false">IFERROR('1. Total Income'!H29/'1. Total Income'!K29*100,0)</f>
        <v>0</v>
      </c>
      <c r="I29" s="53" t="n">
        <f aca="false">IFERROR('1. Total Income'!I29/'1. Total Income'!K29*100,0)</f>
        <v>0</v>
      </c>
      <c r="J29" s="53" t="n">
        <f aca="false">IFERROR('1. Total Income'!J29/'1. Total Income'!K29*100,0)</f>
        <v>0</v>
      </c>
      <c r="K29" s="54" t="n">
        <f aca="false">IFERROR(-SUMPRODUCT(IF(D29:J29&gt;0,(D29:J29/100)*LOG(D29:J29/100,2),0)),0)</f>
        <v>-0</v>
      </c>
      <c r="L29" s="7" t="str">
        <f aca="false">IF(K29&gt;=2.3,"Very High",IF(K29&gt;=1.8,"High",IF(K29&gt;=1.2,"Moderate",IF(K29&gt;=0.6,"Low","Very Low"))))</f>
        <v>Very Low</v>
      </c>
    </row>
    <row r="30" customFormat="false" ht="15" hidden="false" customHeight="false" outlineLevel="0" collapsed="false">
      <c r="A30" s="8" t="n">
        <v>27</v>
      </c>
      <c r="B30" s="17"/>
      <c r="C30" s="17"/>
      <c r="D30" s="51" t="n">
        <f aca="false">IFERROR('1. Total Income'!D30/'1. Total Income'!K30*100,0)</f>
        <v>0</v>
      </c>
      <c r="E30" s="51" t="n">
        <f aca="false">IFERROR('1. Total Income'!E30/'1. Total Income'!K30*100,0)</f>
        <v>0</v>
      </c>
      <c r="F30" s="51" t="n">
        <f aca="false">IFERROR('1. Total Income'!F30/'1. Total Income'!K30*100,0)</f>
        <v>0</v>
      </c>
      <c r="G30" s="51" t="n">
        <f aca="false">IFERROR('1. Total Income'!G30/'1. Total Income'!K30*100,0)</f>
        <v>0</v>
      </c>
      <c r="H30" s="51" t="n">
        <f aca="false">IFERROR('1. Total Income'!H30/'1. Total Income'!K30*100,0)</f>
        <v>0</v>
      </c>
      <c r="I30" s="51" t="n">
        <f aca="false">IFERROR('1. Total Income'!I30/'1. Total Income'!K30*100,0)</f>
        <v>0</v>
      </c>
      <c r="J30" s="51" t="n">
        <f aca="false">IFERROR('1. Total Income'!J30/'1. Total Income'!K30*100,0)</f>
        <v>0</v>
      </c>
      <c r="K30" s="52" t="n">
        <f aca="false">IFERROR(-SUMPRODUCT(IF(D30:J30&gt;0,(D30:J30/100)*LOG(D30:J30/100,2),0)),0)</f>
        <v>-0</v>
      </c>
      <c r="L30" s="11" t="str">
        <f aca="false">IF(K30&gt;=2.3,"Very High",IF(K30&gt;=1.8,"High",IF(K30&gt;=1.2,"Moderate",IF(K30&gt;=0.6,"Low","Very Low"))))</f>
        <v>Very Low</v>
      </c>
    </row>
    <row r="31" customFormat="false" ht="15" hidden="false" customHeight="false" outlineLevel="0" collapsed="false">
      <c r="A31" s="4" t="n">
        <v>28</v>
      </c>
      <c r="B31" s="19"/>
      <c r="C31" s="19"/>
      <c r="D31" s="53" t="n">
        <f aca="false">IFERROR('1. Total Income'!D31/'1. Total Income'!K31*100,0)</f>
        <v>0</v>
      </c>
      <c r="E31" s="53" t="n">
        <f aca="false">IFERROR('1. Total Income'!E31/'1. Total Income'!K31*100,0)</f>
        <v>0</v>
      </c>
      <c r="F31" s="53" t="n">
        <f aca="false">IFERROR('1. Total Income'!F31/'1. Total Income'!K31*100,0)</f>
        <v>0</v>
      </c>
      <c r="G31" s="53" t="n">
        <f aca="false">IFERROR('1. Total Income'!G31/'1. Total Income'!K31*100,0)</f>
        <v>0</v>
      </c>
      <c r="H31" s="53" t="n">
        <f aca="false">IFERROR('1. Total Income'!H31/'1. Total Income'!K31*100,0)</f>
        <v>0</v>
      </c>
      <c r="I31" s="53" t="n">
        <f aca="false">IFERROR('1. Total Income'!I31/'1. Total Income'!K31*100,0)</f>
        <v>0</v>
      </c>
      <c r="J31" s="53" t="n">
        <f aca="false">IFERROR('1. Total Income'!J31/'1. Total Income'!K31*100,0)</f>
        <v>0</v>
      </c>
      <c r="K31" s="54" t="n">
        <f aca="false">IFERROR(-SUMPRODUCT(IF(D31:J31&gt;0,(D31:J31/100)*LOG(D31:J31/100,2),0)),0)</f>
        <v>-0</v>
      </c>
      <c r="L31" s="7" t="str">
        <f aca="false">IF(K31&gt;=2.3,"Very High",IF(K31&gt;=1.8,"High",IF(K31&gt;=1.2,"Moderate",IF(K31&gt;=0.6,"Low","Very Low"))))</f>
        <v>Very Low</v>
      </c>
    </row>
    <row r="32" customFormat="false" ht="15" hidden="false" customHeight="false" outlineLevel="0" collapsed="false">
      <c r="A32" s="8" t="n">
        <v>29</v>
      </c>
      <c r="B32" s="17"/>
      <c r="C32" s="17"/>
      <c r="D32" s="51" t="n">
        <f aca="false">IFERROR('1. Total Income'!D32/'1. Total Income'!K32*100,0)</f>
        <v>0</v>
      </c>
      <c r="E32" s="51" t="n">
        <f aca="false">IFERROR('1. Total Income'!E32/'1. Total Income'!K32*100,0)</f>
        <v>0</v>
      </c>
      <c r="F32" s="51" t="n">
        <f aca="false">IFERROR('1. Total Income'!F32/'1. Total Income'!K32*100,0)</f>
        <v>0</v>
      </c>
      <c r="G32" s="51" t="n">
        <f aca="false">IFERROR('1. Total Income'!G32/'1. Total Income'!K32*100,0)</f>
        <v>0</v>
      </c>
      <c r="H32" s="51" t="n">
        <f aca="false">IFERROR('1. Total Income'!H32/'1. Total Income'!K32*100,0)</f>
        <v>0</v>
      </c>
      <c r="I32" s="51" t="n">
        <f aca="false">IFERROR('1. Total Income'!I32/'1. Total Income'!K32*100,0)</f>
        <v>0</v>
      </c>
      <c r="J32" s="51" t="n">
        <f aca="false">IFERROR('1. Total Income'!J32/'1. Total Income'!K32*100,0)</f>
        <v>0</v>
      </c>
      <c r="K32" s="52" t="n">
        <f aca="false">IFERROR(-SUMPRODUCT(IF(D32:J32&gt;0,(D32:J32/100)*LOG(D32:J32/100,2),0)),0)</f>
        <v>-0</v>
      </c>
      <c r="L32" s="11" t="str">
        <f aca="false">IF(K32&gt;=2.3,"Very High",IF(K32&gt;=1.8,"High",IF(K32&gt;=1.2,"Moderate",IF(K32&gt;=0.6,"Low","Very Low"))))</f>
        <v>Very Low</v>
      </c>
    </row>
    <row r="33" customFormat="false" ht="15" hidden="false" customHeight="false" outlineLevel="0" collapsed="false">
      <c r="A33" s="4" t="n">
        <v>30</v>
      </c>
      <c r="B33" s="19"/>
      <c r="C33" s="19"/>
      <c r="D33" s="53" t="n">
        <f aca="false">IFERROR('1. Total Income'!D33/'1. Total Income'!K33*100,0)</f>
        <v>0</v>
      </c>
      <c r="E33" s="53" t="n">
        <f aca="false">IFERROR('1. Total Income'!E33/'1. Total Income'!K33*100,0)</f>
        <v>0</v>
      </c>
      <c r="F33" s="53" t="n">
        <f aca="false">IFERROR('1. Total Income'!F33/'1. Total Income'!K33*100,0)</f>
        <v>0</v>
      </c>
      <c r="G33" s="53" t="n">
        <f aca="false">IFERROR('1. Total Income'!G33/'1. Total Income'!K33*100,0)</f>
        <v>0</v>
      </c>
      <c r="H33" s="53" t="n">
        <f aca="false">IFERROR('1. Total Income'!H33/'1. Total Income'!K33*100,0)</f>
        <v>0</v>
      </c>
      <c r="I33" s="53" t="n">
        <f aca="false">IFERROR('1. Total Income'!I33/'1. Total Income'!K33*100,0)</f>
        <v>0</v>
      </c>
      <c r="J33" s="53" t="n">
        <f aca="false">IFERROR('1. Total Income'!J33/'1. Total Income'!K33*100,0)</f>
        <v>0</v>
      </c>
      <c r="K33" s="54" t="n">
        <f aca="false">IFERROR(-SUMPRODUCT(IF(D33:J33&gt;0,(D33:J33/100)*LOG(D33:J33/100,2),0)),0)</f>
        <v>-0</v>
      </c>
      <c r="L33" s="7" t="str">
        <f aca="false">IF(K33&gt;=2.3,"Very High",IF(K33&gt;=1.8,"High",IF(K33&gt;=1.2,"Moderate",IF(K33&gt;=0.6,"Low","Very Low"))))</f>
        <v>Very Low</v>
      </c>
    </row>
  </sheetData>
  <mergeCells count="2">
    <mergeCell ref="A1:L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K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6"/>
    <col collapsed="false" customWidth="true" hidden="false" outlineLevel="0" max="3" min="3" style="0" width="14"/>
    <col collapsed="false" customWidth="true" hidden="false" outlineLevel="0" max="8" min="4" style="0" width="20"/>
    <col collapsed="false" customWidth="true" hidden="false" outlineLevel="0" max="10" min="9" style="0" width="18"/>
    <col collapsed="false" customWidth="true" hidden="false" outlineLevel="0" max="11" min="11" style="0" width="14"/>
  </cols>
  <sheetData>
    <row r="1" customFormat="false" ht="33.75" hidden="false" customHeight="true" outlineLevel="0" collapsed="false">
      <c r="A1" s="36" t="s">
        <v>136</v>
      </c>
      <c r="B1" s="36"/>
      <c r="C1" s="36"/>
      <c r="D1" s="36"/>
      <c r="E1" s="36"/>
      <c r="F1" s="36"/>
      <c r="G1" s="36"/>
      <c r="H1" s="36"/>
      <c r="I1" s="36"/>
      <c r="J1" s="36"/>
      <c r="K1" s="36"/>
    </row>
    <row r="2" customFormat="false" ht="25.5" hidden="false" customHeight="true" outlineLevel="0" collapsed="false">
      <c r="A2" s="37" t="s">
        <v>137</v>
      </c>
      <c r="B2" s="37"/>
      <c r="C2" s="37"/>
      <c r="D2" s="37"/>
      <c r="E2" s="37"/>
      <c r="F2" s="37"/>
      <c r="G2" s="37"/>
      <c r="H2" s="37"/>
      <c r="I2" s="37"/>
      <c r="J2" s="37"/>
      <c r="K2" s="37"/>
    </row>
    <row r="3" customFormat="false" ht="23.85" hidden="false" customHeight="false" outlineLevel="0" collapsed="false">
      <c r="A3" s="38" t="s">
        <v>33</v>
      </c>
      <c r="B3" s="38" t="s">
        <v>34</v>
      </c>
      <c r="C3" s="38" t="s">
        <v>35</v>
      </c>
      <c r="D3" s="38" t="s">
        <v>138</v>
      </c>
      <c r="E3" s="38" t="s">
        <v>139</v>
      </c>
      <c r="F3" s="38" t="s">
        <v>140</v>
      </c>
      <c r="G3" s="38" t="s">
        <v>141</v>
      </c>
      <c r="H3" s="38" t="s">
        <v>142</v>
      </c>
      <c r="I3" s="38" t="s">
        <v>143</v>
      </c>
      <c r="J3" s="38" t="s">
        <v>144</v>
      </c>
      <c r="K3" s="38" t="s">
        <v>145</v>
      </c>
    </row>
    <row r="4" customFormat="false" ht="15" hidden="false" customHeight="false" outlineLevel="0" collapsed="false">
      <c r="A4" s="8" t="n">
        <v>1</v>
      </c>
      <c r="B4" s="17"/>
      <c r="C4" s="17"/>
      <c r="D4" s="17"/>
      <c r="E4" s="17"/>
      <c r="F4" s="17"/>
      <c r="G4" s="17"/>
      <c r="H4" s="17"/>
      <c r="I4" s="42" t="n">
        <f aca="false">IFERROR(IF(AND(D4&gt;0,H4&gt;0),(H4/D4)^(1/4)-1,0)*100,0)</f>
        <v>0</v>
      </c>
      <c r="J4" s="51" t="n">
        <f aca="false">IFERROR(IF(D4&gt;0,(H4-D4)/D4*100,0),0)</f>
        <v>0</v>
      </c>
      <c r="K4" s="11" t="str">
        <f aca="false">IF(I4&gt;=10,"Strong Growth",IF(I4&gt;=3,"Moderate Growth",IF(I4&gt;=0,"Stable","Declining")))</f>
        <v>Stable</v>
      </c>
    </row>
    <row r="5" customFormat="false" ht="15" hidden="false" customHeight="false" outlineLevel="0" collapsed="false">
      <c r="A5" s="4" t="n">
        <v>2</v>
      </c>
      <c r="B5" s="19"/>
      <c r="C5" s="19"/>
      <c r="D5" s="19"/>
      <c r="E5" s="19"/>
      <c r="F5" s="19"/>
      <c r="G5" s="19"/>
      <c r="H5" s="19"/>
      <c r="I5" s="46" t="n">
        <f aca="false">IFERROR(IF(AND(D5&gt;0,H5&gt;0),(H5/D5)^(1/4)-1,0)*100,0)</f>
        <v>0</v>
      </c>
      <c r="J5" s="53" t="n">
        <f aca="false">IFERROR(IF(D5&gt;0,(H5-D5)/D5*100,0),0)</f>
        <v>0</v>
      </c>
      <c r="K5" s="7" t="str">
        <f aca="false">IF(I5&gt;=10,"Strong Growth",IF(I5&gt;=3,"Moderate Growth",IF(I5&gt;=0,"Stable","Declining")))</f>
        <v>Stable</v>
      </c>
    </row>
    <row r="6" customFormat="false" ht="15" hidden="false" customHeight="false" outlineLevel="0" collapsed="false">
      <c r="A6" s="8" t="n">
        <v>3</v>
      </c>
      <c r="B6" s="17"/>
      <c r="C6" s="17"/>
      <c r="D6" s="17"/>
      <c r="E6" s="17"/>
      <c r="F6" s="17"/>
      <c r="G6" s="17"/>
      <c r="H6" s="17"/>
      <c r="I6" s="42" t="n">
        <f aca="false">IFERROR(IF(AND(D6&gt;0,H6&gt;0),(H6/D6)^(1/4)-1,0)*100,0)</f>
        <v>0</v>
      </c>
      <c r="J6" s="51" t="n">
        <f aca="false">IFERROR(IF(D6&gt;0,(H6-D6)/D6*100,0),0)</f>
        <v>0</v>
      </c>
      <c r="K6" s="11" t="str">
        <f aca="false">IF(I6&gt;=10,"Strong Growth",IF(I6&gt;=3,"Moderate Growth",IF(I6&gt;=0,"Stable","Declining")))</f>
        <v>Stable</v>
      </c>
    </row>
    <row r="7" customFormat="false" ht="15" hidden="false" customHeight="false" outlineLevel="0" collapsed="false">
      <c r="A7" s="4" t="n">
        <v>4</v>
      </c>
      <c r="B7" s="19"/>
      <c r="C7" s="19"/>
      <c r="D7" s="19"/>
      <c r="E7" s="19"/>
      <c r="F7" s="19"/>
      <c r="G7" s="19"/>
      <c r="H7" s="19"/>
      <c r="I7" s="46" t="n">
        <f aca="false">IFERROR(IF(AND(D7&gt;0,H7&gt;0),(H7/D7)^(1/4)-1,0)*100,0)</f>
        <v>0</v>
      </c>
      <c r="J7" s="53" t="n">
        <f aca="false">IFERROR(IF(D7&gt;0,(H7-D7)/D7*100,0),0)</f>
        <v>0</v>
      </c>
      <c r="K7" s="7" t="str">
        <f aca="false">IF(I7&gt;=10,"Strong Growth",IF(I7&gt;=3,"Moderate Growth",IF(I7&gt;=0,"Stable","Declining")))</f>
        <v>Stable</v>
      </c>
    </row>
    <row r="8" customFormat="false" ht="15" hidden="false" customHeight="false" outlineLevel="0" collapsed="false">
      <c r="A8" s="8" t="n">
        <v>5</v>
      </c>
      <c r="B8" s="17"/>
      <c r="C8" s="17"/>
      <c r="D8" s="17"/>
      <c r="E8" s="17"/>
      <c r="F8" s="17"/>
      <c r="G8" s="17"/>
      <c r="H8" s="17"/>
      <c r="I8" s="42" t="n">
        <f aca="false">IFERROR(IF(AND(D8&gt;0,H8&gt;0),(H8/D8)^(1/4)-1,0)*100,0)</f>
        <v>0</v>
      </c>
      <c r="J8" s="51" t="n">
        <f aca="false">IFERROR(IF(D8&gt;0,(H8-D8)/D8*100,0),0)</f>
        <v>0</v>
      </c>
      <c r="K8" s="11" t="str">
        <f aca="false">IF(I8&gt;=10,"Strong Growth",IF(I8&gt;=3,"Moderate Growth",IF(I8&gt;=0,"Stable","Declining")))</f>
        <v>Stable</v>
      </c>
    </row>
    <row r="9" customFormat="false" ht="15" hidden="false" customHeight="false" outlineLevel="0" collapsed="false">
      <c r="A9" s="4" t="n">
        <v>6</v>
      </c>
      <c r="B9" s="19"/>
      <c r="C9" s="19"/>
      <c r="D9" s="19"/>
      <c r="E9" s="19"/>
      <c r="F9" s="19"/>
      <c r="G9" s="19"/>
      <c r="H9" s="19"/>
      <c r="I9" s="46" t="n">
        <f aca="false">IFERROR(IF(AND(D9&gt;0,H9&gt;0),(H9/D9)^(1/4)-1,0)*100,0)</f>
        <v>0</v>
      </c>
      <c r="J9" s="53" t="n">
        <f aca="false">IFERROR(IF(D9&gt;0,(H9-D9)/D9*100,0),0)</f>
        <v>0</v>
      </c>
      <c r="K9" s="7" t="str">
        <f aca="false">IF(I9&gt;=10,"Strong Growth",IF(I9&gt;=3,"Moderate Growth",IF(I9&gt;=0,"Stable","Declining")))</f>
        <v>Stable</v>
      </c>
    </row>
    <row r="10" customFormat="false" ht="15" hidden="false" customHeight="false" outlineLevel="0" collapsed="false">
      <c r="A10" s="8" t="n">
        <v>7</v>
      </c>
      <c r="B10" s="17"/>
      <c r="C10" s="17"/>
      <c r="D10" s="17"/>
      <c r="E10" s="17"/>
      <c r="F10" s="17"/>
      <c r="G10" s="17"/>
      <c r="H10" s="17"/>
      <c r="I10" s="42" t="n">
        <f aca="false">IFERROR(IF(AND(D10&gt;0,H10&gt;0),(H10/D10)^(1/4)-1,0)*100,0)</f>
        <v>0</v>
      </c>
      <c r="J10" s="51" t="n">
        <f aca="false">IFERROR(IF(D10&gt;0,(H10-D10)/D10*100,0),0)</f>
        <v>0</v>
      </c>
      <c r="K10" s="11" t="str">
        <f aca="false">IF(I10&gt;=10,"Strong Growth",IF(I10&gt;=3,"Moderate Growth",IF(I10&gt;=0,"Stable","Declining")))</f>
        <v>Stable</v>
      </c>
    </row>
    <row r="11" customFormat="false" ht="15" hidden="false" customHeight="false" outlineLevel="0" collapsed="false">
      <c r="A11" s="4" t="n">
        <v>8</v>
      </c>
      <c r="B11" s="19"/>
      <c r="C11" s="19"/>
      <c r="D11" s="19"/>
      <c r="E11" s="19"/>
      <c r="F11" s="19"/>
      <c r="G11" s="19"/>
      <c r="H11" s="19"/>
      <c r="I11" s="46" t="n">
        <f aca="false">IFERROR(IF(AND(D11&gt;0,H11&gt;0),(H11/D11)^(1/4)-1,0)*100,0)</f>
        <v>0</v>
      </c>
      <c r="J11" s="53" t="n">
        <f aca="false">IFERROR(IF(D11&gt;0,(H11-D11)/D11*100,0),0)</f>
        <v>0</v>
      </c>
      <c r="K11" s="7" t="str">
        <f aca="false">IF(I11&gt;=10,"Strong Growth",IF(I11&gt;=3,"Moderate Growth",IF(I11&gt;=0,"Stable","Declining")))</f>
        <v>Stable</v>
      </c>
    </row>
    <row r="12" customFormat="false" ht="15" hidden="false" customHeight="false" outlineLevel="0" collapsed="false">
      <c r="A12" s="8" t="n">
        <v>9</v>
      </c>
      <c r="B12" s="17"/>
      <c r="C12" s="17"/>
      <c r="D12" s="17"/>
      <c r="E12" s="17"/>
      <c r="F12" s="17"/>
      <c r="G12" s="17"/>
      <c r="H12" s="17"/>
      <c r="I12" s="42" t="n">
        <f aca="false">IFERROR(IF(AND(D12&gt;0,H12&gt;0),(H12/D12)^(1/4)-1,0)*100,0)</f>
        <v>0</v>
      </c>
      <c r="J12" s="51" t="n">
        <f aca="false">IFERROR(IF(D12&gt;0,(H12-D12)/D12*100,0),0)</f>
        <v>0</v>
      </c>
      <c r="K12" s="11" t="str">
        <f aca="false">IF(I12&gt;=10,"Strong Growth",IF(I12&gt;=3,"Moderate Growth",IF(I12&gt;=0,"Stable","Declining")))</f>
        <v>Stable</v>
      </c>
    </row>
    <row r="13" customFormat="false" ht="15" hidden="false" customHeight="false" outlineLevel="0" collapsed="false">
      <c r="A13" s="4" t="n">
        <v>10</v>
      </c>
      <c r="B13" s="19"/>
      <c r="C13" s="19"/>
      <c r="D13" s="19"/>
      <c r="E13" s="19"/>
      <c r="F13" s="19"/>
      <c r="G13" s="19"/>
      <c r="H13" s="19"/>
      <c r="I13" s="46" t="n">
        <f aca="false">IFERROR(IF(AND(D13&gt;0,H13&gt;0),(H13/D13)^(1/4)-1,0)*100,0)</f>
        <v>0</v>
      </c>
      <c r="J13" s="53" t="n">
        <f aca="false">IFERROR(IF(D13&gt;0,(H13-D13)/D13*100,0),0)</f>
        <v>0</v>
      </c>
      <c r="K13" s="7" t="str">
        <f aca="false">IF(I13&gt;=10,"Strong Growth",IF(I13&gt;=3,"Moderate Growth",IF(I13&gt;=0,"Stable","Declining")))</f>
        <v>Stable</v>
      </c>
    </row>
    <row r="14" customFormat="false" ht="15" hidden="false" customHeight="false" outlineLevel="0" collapsed="false">
      <c r="A14" s="8" t="n">
        <v>11</v>
      </c>
      <c r="B14" s="17"/>
      <c r="C14" s="17"/>
      <c r="D14" s="17"/>
      <c r="E14" s="17"/>
      <c r="F14" s="17"/>
      <c r="G14" s="17"/>
      <c r="H14" s="17"/>
      <c r="I14" s="42" t="n">
        <f aca="false">IFERROR(IF(AND(D14&gt;0,H14&gt;0),(H14/D14)^(1/4)-1,0)*100,0)</f>
        <v>0</v>
      </c>
      <c r="J14" s="51" t="n">
        <f aca="false">IFERROR(IF(D14&gt;0,(H14-D14)/D14*100,0),0)</f>
        <v>0</v>
      </c>
      <c r="K14" s="11" t="str">
        <f aca="false">IF(I14&gt;=10,"Strong Growth",IF(I14&gt;=3,"Moderate Growth",IF(I14&gt;=0,"Stable","Declining")))</f>
        <v>Stable</v>
      </c>
    </row>
    <row r="15" customFormat="false" ht="15" hidden="false" customHeight="false" outlineLevel="0" collapsed="false">
      <c r="A15" s="4" t="n">
        <v>12</v>
      </c>
      <c r="B15" s="19"/>
      <c r="C15" s="19"/>
      <c r="D15" s="19"/>
      <c r="E15" s="19"/>
      <c r="F15" s="19"/>
      <c r="G15" s="19"/>
      <c r="H15" s="19"/>
      <c r="I15" s="46" t="n">
        <f aca="false">IFERROR(IF(AND(D15&gt;0,H15&gt;0),(H15/D15)^(1/4)-1,0)*100,0)</f>
        <v>0</v>
      </c>
      <c r="J15" s="53" t="n">
        <f aca="false">IFERROR(IF(D15&gt;0,(H15-D15)/D15*100,0),0)</f>
        <v>0</v>
      </c>
      <c r="K15" s="7" t="str">
        <f aca="false">IF(I15&gt;=10,"Strong Growth",IF(I15&gt;=3,"Moderate Growth",IF(I15&gt;=0,"Stable","Declining")))</f>
        <v>Stable</v>
      </c>
    </row>
    <row r="16" customFormat="false" ht="15" hidden="false" customHeight="false" outlineLevel="0" collapsed="false">
      <c r="A16" s="8" t="n">
        <v>13</v>
      </c>
      <c r="B16" s="17"/>
      <c r="C16" s="17"/>
      <c r="D16" s="17"/>
      <c r="E16" s="17"/>
      <c r="F16" s="17"/>
      <c r="G16" s="17"/>
      <c r="H16" s="17"/>
      <c r="I16" s="42" t="n">
        <f aca="false">IFERROR(IF(AND(D16&gt;0,H16&gt;0),(H16/D16)^(1/4)-1,0)*100,0)</f>
        <v>0</v>
      </c>
      <c r="J16" s="51" t="n">
        <f aca="false">IFERROR(IF(D16&gt;0,(H16-D16)/D16*100,0),0)</f>
        <v>0</v>
      </c>
      <c r="K16" s="11" t="str">
        <f aca="false">IF(I16&gt;=10,"Strong Growth",IF(I16&gt;=3,"Moderate Growth",IF(I16&gt;=0,"Stable","Declining")))</f>
        <v>Stable</v>
      </c>
    </row>
    <row r="17" customFormat="false" ht="15" hidden="false" customHeight="false" outlineLevel="0" collapsed="false">
      <c r="A17" s="4" t="n">
        <v>14</v>
      </c>
      <c r="B17" s="19"/>
      <c r="C17" s="19"/>
      <c r="D17" s="19"/>
      <c r="E17" s="19"/>
      <c r="F17" s="19"/>
      <c r="G17" s="19"/>
      <c r="H17" s="19"/>
      <c r="I17" s="46" t="n">
        <f aca="false">IFERROR(IF(AND(D17&gt;0,H17&gt;0),(H17/D17)^(1/4)-1,0)*100,0)</f>
        <v>0</v>
      </c>
      <c r="J17" s="53" t="n">
        <f aca="false">IFERROR(IF(D17&gt;0,(H17-D17)/D17*100,0),0)</f>
        <v>0</v>
      </c>
      <c r="K17" s="7" t="str">
        <f aca="false">IF(I17&gt;=10,"Strong Growth",IF(I17&gt;=3,"Moderate Growth",IF(I17&gt;=0,"Stable","Declining")))</f>
        <v>Stable</v>
      </c>
    </row>
    <row r="18" customFormat="false" ht="15" hidden="false" customHeight="false" outlineLevel="0" collapsed="false">
      <c r="A18" s="8" t="n">
        <v>15</v>
      </c>
      <c r="B18" s="17"/>
      <c r="C18" s="17"/>
      <c r="D18" s="17"/>
      <c r="E18" s="17"/>
      <c r="F18" s="17"/>
      <c r="G18" s="17"/>
      <c r="H18" s="17"/>
      <c r="I18" s="42" t="n">
        <f aca="false">IFERROR(IF(AND(D18&gt;0,H18&gt;0),(H18/D18)^(1/4)-1,0)*100,0)</f>
        <v>0</v>
      </c>
      <c r="J18" s="51" t="n">
        <f aca="false">IFERROR(IF(D18&gt;0,(H18-D18)/D18*100,0),0)</f>
        <v>0</v>
      </c>
      <c r="K18" s="11" t="str">
        <f aca="false">IF(I18&gt;=10,"Strong Growth",IF(I18&gt;=3,"Moderate Growth",IF(I18&gt;=0,"Stable","Declining")))</f>
        <v>Stable</v>
      </c>
    </row>
    <row r="19" customFormat="false" ht="15" hidden="false" customHeight="false" outlineLevel="0" collapsed="false">
      <c r="A19" s="4" t="n">
        <v>16</v>
      </c>
      <c r="B19" s="19"/>
      <c r="C19" s="19"/>
      <c r="D19" s="19"/>
      <c r="E19" s="19"/>
      <c r="F19" s="19"/>
      <c r="G19" s="19"/>
      <c r="H19" s="19"/>
      <c r="I19" s="46" t="n">
        <f aca="false">IFERROR(IF(AND(D19&gt;0,H19&gt;0),(H19/D19)^(1/4)-1,0)*100,0)</f>
        <v>0</v>
      </c>
      <c r="J19" s="53" t="n">
        <f aca="false">IFERROR(IF(D19&gt;0,(H19-D19)/D19*100,0),0)</f>
        <v>0</v>
      </c>
      <c r="K19" s="7" t="str">
        <f aca="false">IF(I19&gt;=10,"Strong Growth",IF(I19&gt;=3,"Moderate Growth",IF(I19&gt;=0,"Stable","Declining")))</f>
        <v>Stable</v>
      </c>
    </row>
    <row r="20" customFormat="false" ht="15" hidden="false" customHeight="false" outlineLevel="0" collapsed="false">
      <c r="A20" s="8" t="n">
        <v>17</v>
      </c>
      <c r="B20" s="17"/>
      <c r="C20" s="17"/>
      <c r="D20" s="17"/>
      <c r="E20" s="17"/>
      <c r="F20" s="17"/>
      <c r="G20" s="17"/>
      <c r="H20" s="17"/>
      <c r="I20" s="42" t="n">
        <f aca="false">IFERROR(IF(AND(D20&gt;0,H20&gt;0),(H20/D20)^(1/4)-1,0)*100,0)</f>
        <v>0</v>
      </c>
      <c r="J20" s="51" t="n">
        <f aca="false">IFERROR(IF(D20&gt;0,(H20-D20)/D20*100,0),0)</f>
        <v>0</v>
      </c>
      <c r="K20" s="11" t="str">
        <f aca="false">IF(I20&gt;=10,"Strong Growth",IF(I20&gt;=3,"Moderate Growth",IF(I20&gt;=0,"Stable","Declining")))</f>
        <v>Stable</v>
      </c>
    </row>
    <row r="21" customFormat="false" ht="15" hidden="false" customHeight="false" outlineLevel="0" collapsed="false">
      <c r="A21" s="4" t="n">
        <v>18</v>
      </c>
      <c r="B21" s="19"/>
      <c r="C21" s="19"/>
      <c r="D21" s="19"/>
      <c r="E21" s="19"/>
      <c r="F21" s="19"/>
      <c r="G21" s="19"/>
      <c r="H21" s="19"/>
      <c r="I21" s="46" t="n">
        <f aca="false">IFERROR(IF(AND(D21&gt;0,H21&gt;0),(H21/D21)^(1/4)-1,0)*100,0)</f>
        <v>0</v>
      </c>
      <c r="J21" s="53" t="n">
        <f aca="false">IFERROR(IF(D21&gt;0,(H21-D21)/D21*100,0),0)</f>
        <v>0</v>
      </c>
      <c r="K21" s="7" t="str">
        <f aca="false">IF(I21&gt;=10,"Strong Growth",IF(I21&gt;=3,"Moderate Growth",IF(I21&gt;=0,"Stable","Declining")))</f>
        <v>Stable</v>
      </c>
    </row>
    <row r="22" customFormat="false" ht="15" hidden="false" customHeight="false" outlineLevel="0" collapsed="false">
      <c r="A22" s="8" t="n">
        <v>19</v>
      </c>
      <c r="B22" s="17"/>
      <c r="C22" s="17"/>
      <c r="D22" s="17"/>
      <c r="E22" s="17"/>
      <c r="F22" s="17"/>
      <c r="G22" s="17"/>
      <c r="H22" s="17"/>
      <c r="I22" s="42" t="n">
        <f aca="false">IFERROR(IF(AND(D22&gt;0,H22&gt;0),(H22/D22)^(1/4)-1,0)*100,0)</f>
        <v>0</v>
      </c>
      <c r="J22" s="51" t="n">
        <f aca="false">IFERROR(IF(D22&gt;0,(H22-D22)/D22*100,0),0)</f>
        <v>0</v>
      </c>
      <c r="K22" s="11" t="str">
        <f aca="false">IF(I22&gt;=10,"Strong Growth",IF(I22&gt;=3,"Moderate Growth",IF(I22&gt;=0,"Stable","Declining")))</f>
        <v>Stable</v>
      </c>
    </row>
    <row r="23" customFormat="false" ht="15" hidden="false" customHeight="false" outlineLevel="0" collapsed="false">
      <c r="A23" s="4" t="n">
        <v>20</v>
      </c>
      <c r="B23" s="19"/>
      <c r="C23" s="19"/>
      <c r="D23" s="19"/>
      <c r="E23" s="19"/>
      <c r="F23" s="19"/>
      <c r="G23" s="19"/>
      <c r="H23" s="19"/>
      <c r="I23" s="46" t="n">
        <f aca="false">IFERROR(IF(AND(D23&gt;0,H23&gt;0),(H23/D23)^(1/4)-1,0)*100,0)</f>
        <v>0</v>
      </c>
      <c r="J23" s="53" t="n">
        <f aca="false">IFERROR(IF(D23&gt;0,(H23-D23)/D23*100,0),0)</f>
        <v>0</v>
      </c>
      <c r="K23" s="7" t="str">
        <f aca="false">IF(I23&gt;=10,"Strong Growth",IF(I23&gt;=3,"Moderate Growth",IF(I23&gt;=0,"Stable","Declining")))</f>
        <v>Stable</v>
      </c>
    </row>
    <row r="24" customFormat="false" ht="15" hidden="false" customHeight="false" outlineLevel="0" collapsed="false">
      <c r="A24" s="8" t="n">
        <v>21</v>
      </c>
      <c r="B24" s="17"/>
      <c r="C24" s="17"/>
      <c r="D24" s="17"/>
      <c r="E24" s="17"/>
      <c r="F24" s="17"/>
      <c r="G24" s="17"/>
      <c r="H24" s="17"/>
      <c r="I24" s="42" t="n">
        <f aca="false">IFERROR(IF(AND(D24&gt;0,H24&gt;0),(H24/D24)^(1/4)-1,0)*100,0)</f>
        <v>0</v>
      </c>
      <c r="J24" s="51" t="n">
        <f aca="false">IFERROR(IF(D24&gt;0,(H24-D24)/D24*100,0),0)</f>
        <v>0</v>
      </c>
      <c r="K24" s="11" t="str">
        <f aca="false">IF(I24&gt;=10,"Strong Growth",IF(I24&gt;=3,"Moderate Growth",IF(I24&gt;=0,"Stable","Declining")))</f>
        <v>Stable</v>
      </c>
    </row>
    <row r="25" customFormat="false" ht="15" hidden="false" customHeight="false" outlineLevel="0" collapsed="false">
      <c r="A25" s="4" t="n">
        <v>22</v>
      </c>
      <c r="B25" s="19"/>
      <c r="C25" s="19"/>
      <c r="D25" s="19"/>
      <c r="E25" s="19"/>
      <c r="F25" s="19"/>
      <c r="G25" s="19"/>
      <c r="H25" s="19"/>
      <c r="I25" s="46" t="n">
        <f aca="false">IFERROR(IF(AND(D25&gt;0,H25&gt;0),(H25/D25)^(1/4)-1,0)*100,0)</f>
        <v>0</v>
      </c>
      <c r="J25" s="53" t="n">
        <f aca="false">IFERROR(IF(D25&gt;0,(H25-D25)/D25*100,0),0)</f>
        <v>0</v>
      </c>
      <c r="K25" s="7" t="str">
        <f aca="false">IF(I25&gt;=10,"Strong Growth",IF(I25&gt;=3,"Moderate Growth",IF(I25&gt;=0,"Stable","Declining")))</f>
        <v>Stable</v>
      </c>
    </row>
    <row r="26" customFormat="false" ht="15" hidden="false" customHeight="false" outlineLevel="0" collapsed="false">
      <c r="A26" s="8" t="n">
        <v>23</v>
      </c>
      <c r="B26" s="17"/>
      <c r="C26" s="17"/>
      <c r="D26" s="17"/>
      <c r="E26" s="17"/>
      <c r="F26" s="17"/>
      <c r="G26" s="17"/>
      <c r="H26" s="17"/>
      <c r="I26" s="42" t="n">
        <f aca="false">IFERROR(IF(AND(D26&gt;0,H26&gt;0),(H26/D26)^(1/4)-1,0)*100,0)</f>
        <v>0</v>
      </c>
      <c r="J26" s="51" t="n">
        <f aca="false">IFERROR(IF(D26&gt;0,(H26-D26)/D26*100,0),0)</f>
        <v>0</v>
      </c>
      <c r="K26" s="11" t="str">
        <f aca="false">IF(I26&gt;=10,"Strong Growth",IF(I26&gt;=3,"Moderate Growth",IF(I26&gt;=0,"Stable","Declining")))</f>
        <v>Stable</v>
      </c>
    </row>
    <row r="27" customFormat="false" ht="15" hidden="false" customHeight="false" outlineLevel="0" collapsed="false">
      <c r="A27" s="4" t="n">
        <v>24</v>
      </c>
      <c r="B27" s="19"/>
      <c r="C27" s="19"/>
      <c r="D27" s="19"/>
      <c r="E27" s="19"/>
      <c r="F27" s="19"/>
      <c r="G27" s="19"/>
      <c r="H27" s="19"/>
      <c r="I27" s="46" t="n">
        <f aca="false">IFERROR(IF(AND(D27&gt;0,H27&gt;0),(H27/D27)^(1/4)-1,0)*100,0)</f>
        <v>0</v>
      </c>
      <c r="J27" s="53" t="n">
        <f aca="false">IFERROR(IF(D27&gt;0,(H27-D27)/D27*100,0),0)</f>
        <v>0</v>
      </c>
      <c r="K27" s="7" t="str">
        <f aca="false">IF(I27&gt;=10,"Strong Growth",IF(I27&gt;=3,"Moderate Growth",IF(I27&gt;=0,"Stable","Declining")))</f>
        <v>Stable</v>
      </c>
    </row>
    <row r="28" customFormat="false" ht="15" hidden="false" customHeight="false" outlineLevel="0" collapsed="false">
      <c r="A28" s="8" t="n">
        <v>25</v>
      </c>
      <c r="B28" s="17"/>
      <c r="C28" s="17"/>
      <c r="D28" s="17"/>
      <c r="E28" s="17"/>
      <c r="F28" s="17"/>
      <c r="G28" s="17"/>
      <c r="H28" s="17"/>
      <c r="I28" s="42" t="n">
        <f aca="false">IFERROR(IF(AND(D28&gt;0,H28&gt;0),(H28/D28)^(1/4)-1,0)*100,0)</f>
        <v>0</v>
      </c>
      <c r="J28" s="51" t="n">
        <f aca="false">IFERROR(IF(D28&gt;0,(H28-D28)/D28*100,0),0)</f>
        <v>0</v>
      </c>
      <c r="K28" s="11" t="str">
        <f aca="false">IF(I28&gt;=10,"Strong Growth",IF(I28&gt;=3,"Moderate Growth",IF(I28&gt;=0,"Stable","Declining")))</f>
        <v>Stable</v>
      </c>
    </row>
    <row r="29" customFormat="false" ht="15" hidden="false" customHeight="false" outlineLevel="0" collapsed="false">
      <c r="A29" s="4" t="n">
        <v>26</v>
      </c>
      <c r="B29" s="19"/>
      <c r="C29" s="19"/>
      <c r="D29" s="19"/>
      <c r="E29" s="19"/>
      <c r="F29" s="19"/>
      <c r="G29" s="19"/>
      <c r="H29" s="19"/>
      <c r="I29" s="46" t="n">
        <f aca="false">IFERROR(IF(AND(D29&gt;0,H29&gt;0),(H29/D29)^(1/4)-1,0)*100,0)</f>
        <v>0</v>
      </c>
      <c r="J29" s="53" t="n">
        <f aca="false">IFERROR(IF(D29&gt;0,(H29-D29)/D29*100,0),0)</f>
        <v>0</v>
      </c>
      <c r="K29" s="7" t="str">
        <f aca="false">IF(I29&gt;=10,"Strong Growth",IF(I29&gt;=3,"Moderate Growth",IF(I29&gt;=0,"Stable","Declining")))</f>
        <v>Stable</v>
      </c>
    </row>
    <row r="30" customFormat="false" ht="15" hidden="false" customHeight="false" outlineLevel="0" collapsed="false">
      <c r="A30" s="8" t="n">
        <v>27</v>
      </c>
      <c r="B30" s="17"/>
      <c r="C30" s="17"/>
      <c r="D30" s="17"/>
      <c r="E30" s="17"/>
      <c r="F30" s="17"/>
      <c r="G30" s="17"/>
      <c r="H30" s="17"/>
      <c r="I30" s="42" t="n">
        <f aca="false">IFERROR(IF(AND(D30&gt;0,H30&gt;0),(H30/D30)^(1/4)-1,0)*100,0)</f>
        <v>0</v>
      </c>
      <c r="J30" s="51" t="n">
        <f aca="false">IFERROR(IF(D30&gt;0,(H30-D30)/D30*100,0),0)</f>
        <v>0</v>
      </c>
      <c r="K30" s="11" t="str">
        <f aca="false">IF(I30&gt;=10,"Strong Growth",IF(I30&gt;=3,"Moderate Growth",IF(I30&gt;=0,"Stable","Declining")))</f>
        <v>Stable</v>
      </c>
    </row>
    <row r="31" customFormat="false" ht="15" hidden="false" customHeight="false" outlineLevel="0" collapsed="false">
      <c r="A31" s="4" t="n">
        <v>28</v>
      </c>
      <c r="B31" s="19"/>
      <c r="C31" s="19"/>
      <c r="D31" s="19"/>
      <c r="E31" s="19"/>
      <c r="F31" s="19"/>
      <c r="G31" s="19"/>
      <c r="H31" s="19"/>
      <c r="I31" s="46" t="n">
        <f aca="false">IFERROR(IF(AND(D31&gt;0,H31&gt;0),(H31/D31)^(1/4)-1,0)*100,0)</f>
        <v>0</v>
      </c>
      <c r="J31" s="53" t="n">
        <f aca="false">IFERROR(IF(D31&gt;0,(H31-D31)/D31*100,0),0)</f>
        <v>0</v>
      </c>
      <c r="K31" s="7" t="str">
        <f aca="false">IF(I31&gt;=10,"Strong Growth",IF(I31&gt;=3,"Moderate Growth",IF(I31&gt;=0,"Stable","Declining")))</f>
        <v>Stable</v>
      </c>
    </row>
    <row r="32" customFormat="false" ht="15" hidden="false" customHeight="false" outlineLevel="0" collapsed="false">
      <c r="A32" s="8" t="n">
        <v>29</v>
      </c>
      <c r="B32" s="17"/>
      <c r="C32" s="17"/>
      <c r="D32" s="17"/>
      <c r="E32" s="17"/>
      <c r="F32" s="17"/>
      <c r="G32" s="17"/>
      <c r="H32" s="17"/>
      <c r="I32" s="42" t="n">
        <f aca="false">IFERROR(IF(AND(D32&gt;0,H32&gt;0),(H32/D32)^(1/4)-1,0)*100,0)</f>
        <v>0</v>
      </c>
      <c r="J32" s="51" t="n">
        <f aca="false">IFERROR(IF(D32&gt;0,(H32-D32)/D32*100,0),0)</f>
        <v>0</v>
      </c>
      <c r="K32" s="11" t="str">
        <f aca="false">IF(I32&gt;=10,"Strong Growth",IF(I32&gt;=3,"Moderate Growth",IF(I32&gt;=0,"Stable","Declining")))</f>
        <v>Stable</v>
      </c>
    </row>
    <row r="33" customFormat="false" ht="15" hidden="false" customHeight="false" outlineLevel="0" collapsed="false">
      <c r="A33" s="4" t="n">
        <v>30</v>
      </c>
      <c r="B33" s="19"/>
      <c r="C33" s="19"/>
      <c r="D33" s="19"/>
      <c r="E33" s="19"/>
      <c r="F33" s="19"/>
      <c r="G33" s="19"/>
      <c r="H33" s="19"/>
      <c r="I33" s="46" t="n">
        <f aca="false">IFERROR(IF(AND(D33&gt;0,H33&gt;0),(H33/D33)^(1/4)-1,0)*100,0)</f>
        <v>0</v>
      </c>
      <c r="J33" s="53" t="n">
        <f aca="false">IFERROR(IF(D33&gt;0,(H33-D33)/D33*100,0),0)</f>
        <v>0</v>
      </c>
      <c r="K33" s="7" t="str">
        <f aca="false">IF(I33&gt;=10,"Strong Growth",IF(I33&gt;=3,"Moderate Growth",IF(I33&gt;=0,"Stable","Declining")))</f>
        <v>Stable</v>
      </c>
    </row>
  </sheetData>
  <mergeCells count="2">
    <mergeCell ref="A1:K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B0000"/>
    <pageSetUpPr fitToPage="false"/>
  </sheetPr>
  <dimension ref="A1:E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8"/>
    <col collapsed="false" customWidth="true" hidden="false" outlineLevel="0" max="3" min="3" style="0" width="42"/>
    <col collapsed="false" customWidth="true" hidden="false" outlineLevel="0" max="4" min="4" style="0" width="18"/>
    <col collapsed="false" customWidth="true" hidden="false" outlineLevel="0" max="5" min="5" style="0" width="22"/>
  </cols>
  <sheetData>
    <row r="1" customFormat="false" ht="33.75" hidden="false" customHeight="true" outlineLevel="0" collapsed="false">
      <c r="A1" s="55" t="s">
        <v>146</v>
      </c>
      <c r="B1" s="55"/>
      <c r="C1" s="55"/>
      <c r="D1" s="55"/>
      <c r="E1" s="55"/>
    </row>
    <row r="2" customFormat="false" ht="25.5" hidden="false" customHeight="true" outlineLevel="0" collapsed="false">
      <c r="A2" s="56" t="s">
        <v>147</v>
      </c>
      <c r="B2" s="56"/>
      <c r="C2" s="56"/>
      <c r="D2" s="56"/>
      <c r="E2" s="56"/>
    </row>
    <row r="3" customFormat="false" ht="15" hidden="false" customHeight="false" outlineLevel="0" collapsed="false">
      <c r="A3" s="57" t="s">
        <v>2</v>
      </c>
      <c r="B3" s="57" t="s">
        <v>148</v>
      </c>
      <c r="C3" s="57" t="s">
        <v>149</v>
      </c>
      <c r="D3" s="57" t="s">
        <v>150</v>
      </c>
      <c r="E3" s="57" t="s">
        <v>151</v>
      </c>
    </row>
    <row r="4" customFormat="false" ht="27.75" hidden="false" customHeight="true" outlineLevel="0" collapsed="false">
      <c r="A4" s="8" t="n">
        <v>1</v>
      </c>
      <c r="B4" s="11" t="s">
        <v>152</v>
      </c>
      <c r="C4" s="10" t="s">
        <v>153</v>
      </c>
      <c r="D4" s="58" t="s">
        <v>154</v>
      </c>
      <c r="E4" s="10" t="s">
        <v>155</v>
      </c>
    </row>
    <row r="5" customFormat="false" ht="27.75" hidden="false" customHeight="true" outlineLevel="0" collapsed="false">
      <c r="A5" s="4" t="n">
        <v>2</v>
      </c>
      <c r="B5" s="7" t="s">
        <v>152</v>
      </c>
      <c r="C5" s="6" t="s">
        <v>156</v>
      </c>
      <c r="D5" s="58" t="s">
        <v>154</v>
      </c>
      <c r="E5" s="6" t="s">
        <v>157</v>
      </c>
    </row>
    <row r="6" customFormat="false" ht="27.75" hidden="false" customHeight="true" outlineLevel="0" collapsed="false">
      <c r="A6" s="8" t="n">
        <v>3</v>
      </c>
      <c r="B6" s="11" t="s">
        <v>152</v>
      </c>
      <c r="C6" s="10" t="s">
        <v>158</v>
      </c>
      <c r="D6" s="58" t="s">
        <v>154</v>
      </c>
      <c r="E6" s="10" t="s">
        <v>159</v>
      </c>
    </row>
    <row r="7" customFormat="false" ht="27.75" hidden="false" customHeight="true" outlineLevel="0" collapsed="false">
      <c r="A7" s="4" t="n">
        <v>4</v>
      </c>
      <c r="B7" s="7" t="s">
        <v>152</v>
      </c>
      <c r="C7" s="6" t="s">
        <v>160</v>
      </c>
      <c r="D7" s="58" t="s">
        <v>154</v>
      </c>
      <c r="E7" s="6" t="s">
        <v>159</v>
      </c>
    </row>
    <row r="8" customFormat="false" ht="27.75" hidden="false" customHeight="true" outlineLevel="0" collapsed="false">
      <c r="A8" s="8" t="n">
        <v>5</v>
      </c>
      <c r="B8" s="11" t="s">
        <v>152</v>
      </c>
      <c r="C8" s="10" t="s">
        <v>161</v>
      </c>
      <c r="D8" s="58" t="s">
        <v>154</v>
      </c>
      <c r="E8" s="10" t="s">
        <v>162</v>
      </c>
    </row>
    <row r="9" customFormat="false" ht="27.75" hidden="false" customHeight="true" outlineLevel="0" collapsed="false">
      <c r="A9" s="4" t="n">
        <v>6</v>
      </c>
      <c r="B9" s="7" t="s">
        <v>163</v>
      </c>
      <c r="C9" s="6" t="s">
        <v>164</v>
      </c>
      <c r="D9" s="58" t="s">
        <v>154</v>
      </c>
      <c r="E9" s="6" t="s">
        <v>165</v>
      </c>
    </row>
    <row r="10" customFormat="false" ht="27.75" hidden="false" customHeight="true" outlineLevel="0" collapsed="false">
      <c r="A10" s="8" t="n">
        <v>7</v>
      </c>
      <c r="B10" s="11" t="s">
        <v>163</v>
      </c>
      <c r="C10" s="10" t="s">
        <v>166</v>
      </c>
      <c r="D10" s="58" t="s">
        <v>154</v>
      </c>
      <c r="E10" s="10" t="s">
        <v>167</v>
      </c>
    </row>
    <row r="11" customFormat="false" ht="27.75" hidden="false" customHeight="true" outlineLevel="0" collapsed="false">
      <c r="A11" s="4" t="n">
        <v>8</v>
      </c>
      <c r="B11" s="7" t="s">
        <v>163</v>
      </c>
      <c r="C11" s="6" t="s">
        <v>168</v>
      </c>
      <c r="D11" s="58" t="s">
        <v>154</v>
      </c>
      <c r="E11" s="6" t="s">
        <v>169</v>
      </c>
    </row>
    <row r="12" customFormat="false" ht="27.75" hidden="false" customHeight="true" outlineLevel="0" collapsed="false">
      <c r="A12" s="8" t="n">
        <v>9</v>
      </c>
      <c r="B12" s="11" t="s">
        <v>170</v>
      </c>
      <c r="C12" s="10" t="s">
        <v>171</v>
      </c>
      <c r="D12" s="58" t="s">
        <v>154</v>
      </c>
      <c r="E12" s="10" t="s">
        <v>172</v>
      </c>
    </row>
    <row r="13" customFormat="false" ht="27.75" hidden="false" customHeight="true" outlineLevel="0" collapsed="false">
      <c r="A13" s="4" t="n">
        <v>10</v>
      </c>
      <c r="B13" s="7" t="s">
        <v>170</v>
      </c>
      <c r="C13" s="6" t="s">
        <v>173</v>
      </c>
      <c r="D13" s="58" t="s">
        <v>154</v>
      </c>
      <c r="E13" s="6" t="s">
        <v>174</v>
      </c>
    </row>
    <row r="14" customFormat="false" ht="27.75" hidden="false" customHeight="true" outlineLevel="0" collapsed="false">
      <c r="A14" s="8" t="n">
        <v>11</v>
      </c>
      <c r="B14" s="11" t="s">
        <v>170</v>
      </c>
      <c r="C14" s="10" t="s">
        <v>175</v>
      </c>
      <c r="D14" s="58" t="s">
        <v>154</v>
      </c>
      <c r="E14" s="10" t="s">
        <v>176</v>
      </c>
    </row>
    <row r="15" customFormat="false" ht="27.75" hidden="false" customHeight="true" outlineLevel="0" collapsed="false">
      <c r="A15" s="4" t="n">
        <v>12</v>
      </c>
      <c r="B15" s="7" t="s">
        <v>177</v>
      </c>
      <c r="C15" s="6" t="s">
        <v>178</v>
      </c>
      <c r="D15" s="58" t="s">
        <v>154</v>
      </c>
      <c r="E15" s="6" t="s">
        <v>179</v>
      </c>
    </row>
    <row r="16" customFormat="false" ht="27.75" hidden="false" customHeight="true" outlineLevel="0" collapsed="false">
      <c r="A16" s="8" t="n">
        <v>13</v>
      </c>
      <c r="B16" s="11" t="s">
        <v>180</v>
      </c>
      <c r="C16" s="10" t="s">
        <v>181</v>
      </c>
      <c r="D16" s="58" t="s">
        <v>154</v>
      </c>
      <c r="E16" s="10" t="s">
        <v>182</v>
      </c>
    </row>
    <row r="17" customFormat="false" ht="27.75" hidden="false" customHeight="true" outlineLevel="0" collapsed="false">
      <c r="A17" s="4" t="n">
        <v>14</v>
      </c>
      <c r="B17" s="7" t="s">
        <v>180</v>
      </c>
      <c r="C17" s="6" t="s">
        <v>183</v>
      </c>
      <c r="D17" s="58" t="s">
        <v>154</v>
      </c>
      <c r="E17" s="6" t="s">
        <v>184</v>
      </c>
    </row>
    <row r="18" customFormat="false" ht="27.75" hidden="false" customHeight="true" outlineLevel="0" collapsed="false">
      <c r="A18" s="8" t="n">
        <v>15</v>
      </c>
      <c r="B18" s="11" t="s">
        <v>185</v>
      </c>
      <c r="C18" s="10" t="s">
        <v>186</v>
      </c>
      <c r="D18" s="58" t="s">
        <v>154</v>
      </c>
      <c r="E18" s="10" t="s">
        <v>187</v>
      </c>
    </row>
    <row r="19" customFormat="false" ht="27.75" hidden="false" customHeight="true" outlineLevel="0" collapsed="false">
      <c r="A19" s="4" t="n">
        <v>16</v>
      </c>
      <c r="B19" s="7" t="s">
        <v>188</v>
      </c>
      <c r="C19" s="6" t="s">
        <v>189</v>
      </c>
      <c r="D19" s="59" t="s">
        <v>190</v>
      </c>
      <c r="E19" s="6" t="s">
        <v>191</v>
      </c>
    </row>
    <row r="20" customFormat="false" ht="27.75" hidden="false" customHeight="true" outlineLevel="0" collapsed="false">
      <c r="A20" s="8" t="n">
        <v>17</v>
      </c>
      <c r="B20" s="11" t="s">
        <v>188</v>
      </c>
      <c r="C20" s="10" t="s">
        <v>192</v>
      </c>
      <c r="D20" s="59" t="s">
        <v>190</v>
      </c>
      <c r="E20" s="10" t="s">
        <v>193</v>
      </c>
    </row>
    <row r="21" customFormat="false" ht="27.75" hidden="false" customHeight="true" outlineLevel="0" collapsed="false">
      <c r="A21" s="4" t="n">
        <v>18</v>
      </c>
      <c r="B21" s="7" t="s">
        <v>188</v>
      </c>
      <c r="C21" s="6" t="s">
        <v>194</v>
      </c>
      <c r="D21" s="59" t="s">
        <v>190</v>
      </c>
      <c r="E21" s="6" t="s">
        <v>195</v>
      </c>
    </row>
    <row r="22" customFormat="false" ht="27.75" hidden="false" customHeight="true" outlineLevel="0" collapsed="false">
      <c r="A22" s="8" t="n">
        <v>19</v>
      </c>
      <c r="B22" s="11" t="s">
        <v>196</v>
      </c>
      <c r="C22" s="10" t="s">
        <v>197</v>
      </c>
      <c r="D22" s="59" t="s">
        <v>190</v>
      </c>
      <c r="E22" s="10" t="s">
        <v>198</v>
      </c>
    </row>
    <row r="23" customFormat="false" ht="27.75" hidden="false" customHeight="true" outlineLevel="0" collapsed="false">
      <c r="A23" s="4" t="n">
        <v>20</v>
      </c>
      <c r="B23" s="7" t="s">
        <v>196</v>
      </c>
      <c r="C23" s="6" t="s">
        <v>199</v>
      </c>
      <c r="D23" s="59" t="s">
        <v>190</v>
      </c>
      <c r="E23" s="6" t="s">
        <v>200</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F51B5"/>
    <pageSetUpPr fitToPage="false"/>
  </sheetPr>
  <dimension ref="A1:G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6"/>
    <col collapsed="false" customWidth="true" hidden="false" outlineLevel="0" max="3" min="3" style="0" width="40"/>
    <col collapsed="false" customWidth="true" hidden="false" outlineLevel="0" max="4" min="4" style="0" width="20"/>
    <col collapsed="false" customWidth="true" hidden="false" outlineLevel="0" max="5" min="5" style="0" width="22"/>
    <col collapsed="false" customWidth="true" hidden="false" outlineLevel="0" max="6" min="6" style="0" width="18"/>
    <col collapsed="false" customWidth="true" hidden="false" outlineLevel="0" max="7" min="7" style="0" width="14"/>
  </cols>
  <sheetData>
    <row r="1" customFormat="false" ht="33.75" hidden="false" customHeight="true" outlineLevel="0" collapsed="false">
      <c r="A1" s="60" t="s">
        <v>201</v>
      </c>
      <c r="B1" s="60"/>
      <c r="C1" s="60"/>
      <c r="D1" s="60"/>
      <c r="E1" s="60"/>
      <c r="F1" s="60"/>
      <c r="G1" s="60"/>
    </row>
    <row r="2" customFormat="false" ht="25.5" hidden="false" customHeight="true" outlineLevel="0" collapsed="false">
      <c r="A2" s="28" t="s">
        <v>202</v>
      </c>
      <c r="B2" s="28"/>
      <c r="C2" s="28"/>
      <c r="D2" s="28"/>
      <c r="E2" s="28"/>
      <c r="F2" s="28"/>
      <c r="G2" s="28"/>
    </row>
    <row r="3" customFormat="false" ht="15" hidden="false" customHeight="false" outlineLevel="0" collapsed="false">
      <c r="A3" s="29" t="s">
        <v>2</v>
      </c>
      <c r="B3" s="29" t="s">
        <v>34</v>
      </c>
      <c r="C3" s="29" t="s">
        <v>203</v>
      </c>
      <c r="D3" s="29" t="s">
        <v>204</v>
      </c>
      <c r="E3" s="29" t="s">
        <v>205</v>
      </c>
      <c r="F3" s="29" t="s">
        <v>206</v>
      </c>
      <c r="G3" s="29" t="s">
        <v>207</v>
      </c>
    </row>
    <row r="4" customFormat="false" ht="27.75" hidden="false" customHeight="true" outlineLevel="0" collapsed="false">
      <c r="A4" s="8" t="n">
        <v>1</v>
      </c>
      <c r="B4" s="17"/>
      <c r="C4" s="10" t="s">
        <v>208</v>
      </c>
      <c r="D4" s="11" t="s">
        <v>209</v>
      </c>
      <c r="E4" s="17"/>
      <c r="F4" s="17"/>
      <c r="G4" s="17"/>
    </row>
    <row r="5" customFormat="false" ht="27.75" hidden="false" customHeight="true" outlineLevel="0" collapsed="false">
      <c r="A5" s="4" t="n">
        <v>2</v>
      </c>
      <c r="B5" s="19"/>
      <c r="C5" s="6" t="s">
        <v>210</v>
      </c>
      <c r="D5" s="7" t="s">
        <v>209</v>
      </c>
      <c r="E5" s="19"/>
      <c r="F5" s="19"/>
      <c r="G5" s="19"/>
    </row>
    <row r="6" customFormat="false" ht="27.75" hidden="false" customHeight="true" outlineLevel="0" collapsed="false">
      <c r="A6" s="8" t="n">
        <v>3</v>
      </c>
      <c r="B6" s="17"/>
      <c r="C6" s="10" t="s">
        <v>211</v>
      </c>
      <c r="D6" s="11" t="s">
        <v>209</v>
      </c>
      <c r="E6" s="17"/>
      <c r="F6" s="17"/>
      <c r="G6" s="17"/>
    </row>
    <row r="7" customFormat="false" ht="27.75" hidden="false" customHeight="true" outlineLevel="0" collapsed="false">
      <c r="A7" s="4" t="n">
        <v>4</v>
      </c>
      <c r="B7" s="19"/>
      <c r="C7" s="6" t="s">
        <v>212</v>
      </c>
      <c r="D7" s="7" t="s">
        <v>209</v>
      </c>
      <c r="E7" s="19"/>
      <c r="F7" s="19"/>
      <c r="G7" s="19"/>
    </row>
    <row r="8" customFormat="false" ht="27.75" hidden="false" customHeight="true" outlineLevel="0" collapsed="false">
      <c r="A8" s="8" t="n">
        <v>5</v>
      </c>
      <c r="B8" s="17"/>
      <c r="C8" s="10" t="s">
        <v>213</v>
      </c>
      <c r="D8" s="11" t="s">
        <v>214</v>
      </c>
      <c r="E8" s="17"/>
      <c r="F8" s="17"/>
      <c r="G8" s="17"/>
    </row>
    <row r="9" customFormat="false" ht="27.75" hidden="false" customHeight="true" outlineLevel="0" collapsed="false">
      <c r="A9" s="4" t="n">
        <v>6</v>
      </c>
      <c r="B9" s="19"/>
      <c r="C9" s="6" t="s">
        <v>215</v>
      </c>
      <c r="D9" s="7" t="s">
        <v>214</v>
      </c>
      <c r="E9" s="19"/>
      <c r="F9" s="19"/>
      <c r="G9" s="19"/>
    </row>
    <row r="10" customFormat="false" ht="27.75" hidden="false" customHeight="true" outlineLevel="0" collapsed="false">
      <c r="A10" s="8" t="n">
        <v>7</v>
      </c>
      <c r="B10" s="17"/>
      <c r="C10" s="10" t="s">
        <v>216</v>
      </c>
      <c r="D10" s="11" t="s">
        <v>214</v>
      </c>
      <c r="E10" s="17"/>
      <c r="F10" s="17"/>
      <c r="G10" s="17"/>
    </row>
    <row r="11" customFormat="false" ht="27.75" hidden="false" customHeight="true" outlineLevel="0" collapsed="false">
      <c r="A11" s="4" t="n">
        <v>8</v>
      </c>
      <c r="B11" s="19"/>
      <c r="C11" s="6" t="s">
        <v>217</v>
      </c>
      <c r="D11" s="7" t="s">
        <v>214</v>
      </c>
      <c r="E11" s="19"/>
      <c r="F11" s="19"/>
      <c r="G11" s="19"/>
    </row>
    <row r="12" customFormat="false" ht="27.75" hidden="false" customHeight="true" outlineLevel="0" collapsed="false">
      <c r="A12" s="8" t="n">
        <v>9</v>
      </c>
      <c r="B12" s="17"/>
      <c r="C12" s="10" t="s">
        <v>218</v>
      </c>
      <c r="D12" s="11" t="s">
        <v>214</v>
      </c>
      <c r="E12" s="17"/>
      <c r="F12" s="17"/>
      <c r="G12" s="17"/>
    </row>
    <row r="13" customFormat="false" ht="27.75" hidden="false" customHeight="true" outlineLevel="0" collapsed="false">
      <c r="A13" s="4" t="n">
        <v>10</v>
      </c>
      <c r="B13" s="19"/>
      <c r="C13" s="6" t="s">
        <v>219</v>
      </c>
      <c r="D13" s="7" t="s">
        <v>214</v>
      </c>
      <c r="E13" s="19"/>
      <c r="F13" s="19"/>
      <c r="G13" s="19"/>
    </row>
    <row r="14" customFormat="false" ht="27.75" hidden="false" customHeight="true" outlineLevel="0" collapsed="false">
      <c r="A14" s="8" t="n">
        <v>11</v>
      </c>
      <c r="B14" s="17"/>
      <c r="C14" s="10" t="s">
        <v>220</v>
      </c>
      <c r="D14" s="11" t="s">
        <v>214</v>
      </c>
      <c r="E14" s="17"/>
      <c r="F14" s="17"/>
      <c r="G14" s="17"/>
    </row>
    <row r="15" customFormat="false" ht="27.75" hidden="false" customHeight="true" outlineLevel="0" collapsed="false">
      <c r="A15" s="4" t="n">
        <v>12</v>
      </c>
      <c r="B15" s="19"/>
      <c r="C15" s="6" t="s">
        <v>221</v>
      </c>
      <c r="D15" s="7" t="s">
        <v>222</v>
      </c>
      <c r="E15" s="19"/>
      <c r="F15" s="19"/>
      <c r="G15" s="19"/>
    </row>
    <row r="16" customFormat="false" ht="27.75" hidden="false" customHeight="true" outlineLevel="0" collapsed="false">
      <c r="A16" s="8" t="n">
        <v>13</v>
      </c>
      <c r="B16" s="17"/>
      <c r="C16" s="10" t="s">
        <v>223</v>
      </c>
      <c r="D16" s="11" t="s">
        <v>222</v>
      </c>
      <c r="E16" s="17"/>
      <c r="F16" s="17"/>
      <c r="G16" s="17"/>
    </row>
    <row r="17" customFormat="false" ht="27.75" hidden="false" customHeight="true" outlineLevel="0" collapsed="false">
      <c r="A17" s="4" t="n">
        <v>14</v>
      </c>
      <c r="B17" s="19"/>
      <c r="C17" s="6" t="s">
        <v>224</v>
      </c>
      <c r="D17" s="7" t="s">
        <v>222</v>
      </c>
      <c r="E17" s="19"/>
      <c r="F17" s="19"/>
      <c r="G17" s="19"/>
    </row>
    <row r="19" customFormat="false" ht="25.5" hidden="false" customHeight="true" outlineLevel="0" collapsed="false">
      <c r="A19" s="37" t="s">
        <v>225</v>
      </c>
      <c r="B19" s="37"/>
      <c r="C19" s="37"/>
      <c r="D19" s="37"/>
      <c r="E19" s="37"/>
      <c r="F19" s="37"/>
      <c r="G19" s="37"/>
    </row>
    <row r="20" customFormat="false" ht="15" hidden="false" customHeight="true" outlineLevel="0" collapsed="false">
      <c r="A20" s="47" t="s">
        <v>226</v>
      </c>
      <c r="B20" s="47"/>
      <c r="C20" s="47"/>
      <c r="D20" s="61" t="n">
        <f aca="false">COUNTIF(E4:E17,"Done")</f>
        <v>0</v>
      </c>
      <c r="E20" s="49"/>
      <c r="F20" s="49"/>
      <c r="G20" s="49"/>
    </row>
    <row r="21" customFormat="false" ht="15" hidden="false" customHeight="true" outlineLevel="0" collapsed="false">
      <c r="A21" s="47" t="s">
        <v>227</v>
      </c>
      <c r="B21" s="47"/>
      <c r="C21" s="47"/>
      <c r="D21" s="61" t="n">
        <f aca="false">COUNTIF(E4:E17,"IP")</f>
        <v>0</v>
      </c>
      <c r="E21" s="49"/>
      <c r="F21" s="49"/>
      <c r="G21" s="49"/>
    </row>
    <row r="22" customFormat="false" ht="15" hidden="false" customHeight="true" outlineLevel="0" collapsed="false">
      <c r="A22" s="47" t="s">
        <v>228</v>
      </c>
      <c r="B22" s="47"/>
      <c r="C22" s="47"/>
      <c r="D22" s="61" t="n">
        <f aca="false">IFERROR(COUNTIF(E4:E17,"Done")/14*100,0)</f>
        <v>0</v>
      </c>
      <c r="E22" s="49"/>
      <c r="F22" s="49"/>
      <c r="G22" s="49"/>
    </row>
  </sheetData>
  <mergeCells count="6">
    <mergeCell ref="A1:G1"/>
    <mergeCell ref="A2:G2"/>
    <mergeCell ref="A19:G19"/>
    <mergeCell ref="A20:C20"/>
    <mergeCell ref="A21:C21"/>
    <mergeCell ref="A22:C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G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6"/>
    <col collapsed="false" customWidth="true" hidden="false" outlineLevel="0" max="3" min="3" style="0" width="22"/>
    <col collapsed="false" customWidth="true" hidden="false" outlineLevel="0" max="4" min="4" style="0" width="18"/>
    <col collapsed="false" customWidth="true" hidden="false" outlineLevel="0" max="5" min="5" style="0" width="22"/>
    <col collapsed="false" customWidth="true" hidden="false" outlineLevel="0" max="6" min="6" style="0" width="18"/>
    <col collapsed="false" customWidth="true" hidden="false" outlineLevel="0" max="7" min="7" style="0" width="22"/>
  </cols>
  <sheetData>
    <row r="1" customFormat="false" ht="33.75" hidden="false" customHeight="true" outlineLevel="0" collapsed="false">
      <c r="A1" s="25" t="s">
        <v>229</v>
      </c>
      <c r="B1" s="25"/>
      <c r="C1" s="25"/>
      <c r="D1" s="25"/>
      <c r="E1" s="25"/>
      <c r="F1" s="25"/>
      <c r="G1" s="25"/>
    </row>
    <row r="3" customFormat="false" ht="15" hidden="false" customHeight="false" outlineLevel="0" collapsed="false">
      <c r="A3" s="27" t="s">
        <v>33</v>
      </c>
      <c r="B3" s="27" t="s">
        <v>230</v>
      </c>
      <c r="C3" s="27" t="s">
        <v>57</v>
      </c>
      <c r="D3" s="27" t="s">
        <v>231</v>
      </c>
      <c r="E3" s="27" t="s">
        <v>232</v>
      </c>
      <c r="F3" s="27" t="s">
        <v>233</v>
      </c>
      <c r="G3" s="27" t="s">
        <v>234</v>
      </c>
    </row>
    <row r="4" customFormat="false" ht="15" hidden="false" customHeight="false" outlineLevel="0" collapsed="false">
      <c r="A4" s="30" t="n">
        <v>1</v>
      </c>
      <c r="B4" s="31" t="s">
        <v>235</v>
      </c>
      <c r="C4" s="62"/>
      <c r="D4" s="62"/>
      <c r="E4" s="62"/>
      <c r="F4" s="62"/>
      <c r="G4" s="30" t="s">
        <v>236</v>
      </c>
    </row>
    <row r="5" customFormat="false" ht="15" hidden="false" customHeight="false" outlineLevel="0" collapsed="false">
      <c r="A5" s="4" t="n">
        <v>2</v>
      </c>
      <c r="B5" s="5" t="s">
        <v>237</v>
      </c>
      <c r="C5" s="19"/>
      <c r="D5" s="19"/>
      <c r="E5" s="19"/>
      <c r="F5" s="19"/>
      <c r="G5" s="4" t="s">
        <v>238</v>
      </c>
    </row>
    <row r="6" customFormat="false" ht="15" hidden="false" customHeight="false" outlineLevel="0" collapsed="false">
      <c r="A6" s="8" t="n">
        <v>3</v>
      </c>
      <c r="B6" s="9" t="s">
        <v>239</v>
      </c>
      <c r="C6" s="17"/>
      <c r="D6" s="17"/>
      <c r="E6" s="17"/>
      <c r="F6" s="17"/>
      <c r="G6" s="8" t="s">
        <v>240</v>
      </c>
    </row>
    <row r="7" customFormat="false" ht="15" hidden="false" customHeight="false" outlineLevel="0" collapsed="false">
      <c r="A7" s="4" t="n">
        <v>4</v>
      </c>
      <c r="B7" s="5" t="s">
        <v>241</v>
      </c>
      <c r="C7" s="19"/>
      <c r="D7" s="19"/>
      <c r="E7" s="19"/>
      <c r="F7" s="19"/>
      <c r="G7" s="4" t="s">
        <v>242</v>
      </c>
    </row>
    <row r="8" customFormat="false" ht="15" hidden="false" customHeight="false" outlineLevel="0" collapsed="false">
      <c r="A8" s="8" t="n">
        <v>1</v>
      </c>
      <c r="B8" s="17"/>
      <c r="C8" s="17"/>
      <c r="D8" s="17"/>
      <c r="E8" s="17"/>
      <c r="F8" s="17"/>
      <c r="G8" s="17"/>
    </row>
    <row r="9" customFormat="false" ht="15" hidden="false" customHeight="false" outlineLevel="0" collapsed="false">
      <c r="A9" s="4" t="n">
        <v>2</v>
      </c>
      <c r="B9" s="19"/>
      <c r="C9" s="19"/>
      <c r="D9" s="19"/>
      <c r="E9" s="19"/>
      <c r="F9" s="19"/>
      <c r="G9" s="19"/>
    </row>
    <row r="10" customFormat="false" ht="15" hidden="false" customHeight="false" outlineLevel="0" collapsed="false">
      <c r="A10" s="8" t="n">
        <v>3</v>
      </c>
      <c r="B10" s="17"/>
      <c r="C10" s="17"/>
      <c r="D10" s="17"/>
      <c r="E10" s="17"/>
      <c r="F10" s="17"/>
      <c r="G10" s="17"/>
    </row>
    <row r="11" customFormat="false" ht="15" hidden="false" customHeight="false" outlineLevel="0" collapsed="false">
      <c r="A11" s="4" t="n">
        <v>4</v>
      </c>
      <c r="B11" s="19"/>
      <c r="C11" s="19"/>
      <c r="D11" s="19"/>
      <c r="E11" s="19"/>
      <c r="F11" s="19"/>
      <c r="G11" s="19"/>
    </row>
    <row r="12" customFormat="false" ht="15" hidden="false" customHeight="false" outlineLevel="0" collapsed="false">
      <c r="A12" s="8" t="n">
        <v>5</v>
      </c>
      <c r="B12" s="17"/>
      <c r="C12" s="17"/>
      <c r="D12" s="17"/>
      <c r="E12" s="17"/>
      <c r="F12" s="17"/>
      <c r="G12" s="17"/>
    </row>
    <row r="13" customFormat="false" ht="15" hidden="false" customHeight="false" outlineLevel="0" collapsed="false">
      <c r="A13" s="4" t="n">
        <v>6</v>
      </c>
      <c r="B13" s="19"/>
      <c r="C13" s="19"/>
      <c r="D13" s="19"/>
      <c r="E13" s="19"/>
      <c r="F13" s="19"/>
      <c r="G13" s="19"/>
    </row>
    <row r="14" customFormat="false" ht="15" hidden="false" customHeight="false" outlineLevel="0" collapsed="false">
      <c r="A14" s="8" t="n">
        <v>7</v>
      </c>
      <c r="B14" s="17"/>
      <c r="C14" s="17"/>
      <c r="D14" s="17"/>
      <c r="E14" s="17"/>
      <c r="F14" s="17"/>
      <c r="G14" s="17"/>
    </row>
    <row r="15" customFormat="false" ht="15" hidden="false" customHeight="false" outlineLevel="0" collapsed="false">
      <c r="A15" s="4" t="n">
        <v>8</v>
      </c>
      <c r="B15" s="19"/>
      <c r="C15" s="19"/>
      <c r="D15" s="19"/>
      <c r="E15" s="19"/>
      <c r="F15" s="19"/>
      <c r="G15" s="19"/>
    </row>
    <row r="16" customFormat="false" ht="15" hidden="false" customHeight="false" outlineLevel="0" collapsed="false">
      <c r="A16" s="8" t="n">
        <v>9</v>
      </c>
      <c r="B16" s="17"/>
      <c r="C16" s="17"/>
      <c r="D16" s="17"/>
      <c r="E16" s="17"/>
      <c r="F16" s="17"/>
      <c r="G16" s="17"/>
    </row>
    <row r="17" customFormat="false" ht="15" hidden="false" customHeight="false" outlineLevel="0" collapsed="false">
      <c r="A17" s="4" t="n">
        <v>10</v>
      </c>
      <c r="B17" s="19"/>
      <c r="C17" s="19"/>
      <c r="D17" s="19"/>
      <c r="E17" s="19"/>
      <c r="F17" s="19"/>
      <c r="G17" s="19"/>
    </row>
    <row r="18" customFormat="false" ht="15" hidden="false" customHeight="false" outlineLevel="0" collapsed="false">
      <c r="A18" s="8" t="n">
        <v>11</v>
      </c>
      <c r="B18" s="17"/>
      <c r="C18" s="17"/>
      <c r="D18" s="17"/>
      <c r="E18" s="17"/>
      <c r="F18" s="17"/>
      <c r="G18" s="17"/>
    </row>
    <row r="19" customFormat="false" ht="15" hidden="false" customHeight="false" outlineLevel="0" collapsed="false">
      <c r="A19" s="4" t="n">
        <v>12</v>
      </c>
      <c r="B19" s="19"/>
      <c r="C19" s="19"/>
      <c r="D19" s="19"/>
      <c r="E19" s="19"/>
      <c r="F19" s="19"/>
      <c r="G19" s="19"/>
    </row>
    <row r="20" customFormat="false" ht="15" hidden="false" customHeight="false" outlineLevel="0" collapsed="false">
      <c r="A20" s="8" t="n">
        <v>13</v>
      </c>
      <c r="B20" s="17"/>
      <c r="C20" s="17"/>
      <c r="D20" s="17"/>
      <c r="E20" s="17"/>
      <c r="F20" s="17"/>
      <c r="G20" s="17"/>
    </row>
    <row r="21" customFormat="false" ht="15" hidden="false" customHeight="false" outlineLevel="0" collapsed="false">
      <c r="A21" s="4" t="n">
        <v>14</v>
      </c>
      <c r="B21" s="19"/>
      <c r="C21" s="19"/>
      <c r="D21" s="19"/>
      <c r="E21" s="19"/>
      <c r="F21" s="19"/>
      <c r="G21" s="19"/>
    </row>
    <row r="22" customFormat="false" ht="15" hidden="false" customHeight="false" outlineLevel="0" collapsed="false">
      <c r="A22" s="8" t="n">
        <v>15</v>
      </c>
      <c r="B22" s="17"/>
      <c r="C22" s="17"/>
      <c r="D22" s="17"/>
      <c r="E22" s="17"/>
      <c r="F22" s="17"/>
      <c r="G22" s="17"/>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B0000"/>
    <pageSetUpPr fitToPage="false"/>
  </sheetPr>
  <dimension ref="A1:F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8"/>
    <col collapsed="false" customWidth="true" hidden="false" outlineLevel="0" max="3" min="3" style="0" width="16"/>
    <col collapsed="false" customWidth="true" hidden="false" outlineLevel="0" max="4" min="4" style="0" width="40"/>
    <col collapsed="false" customWidth="true" hidden="false" outlineLevel="0" max="5" min="5" style="0" width="30"/>
    <col collapsed="false" customWidth="true" hidden="false" outlineLevel="0" max="6" min="6" style="0" width="14"/>
  </cols>
  <sheetData>
    <row r="1" customFormat="false" ht="33.75" hidden="false" customHeight="true" outlineLevel="0" collapsed="false">
      <c r="A1" s="55" t="s">
        <v>243</v>
      </c>
      <c r="B1" s="55"/>
      <c r="C1" s="55"/>
      <c r="D1" s="55"/>
      <c r="E1" s="55"/>
      <c r="F1" s="55"/>
    </row>
    <row r="3" customFormat="false" ht="15" hidden="false" customHeight="false" outlineLevel="0" collapsed="false">
      <c r="A3" s="57" t="s">
        <v>2</v>
      </c>
      <c r="B3" s="57" t="s">
        <v>244</v>
      </c>
      <c r="C3" s="57" t="s">
        <v>245</v>
      </c>
      <c r="D3" s="57" t="s">
        <v>246</v>
      </c>
      <c r="E3" s="57" t="s">
        <v>247</v>
      </c>
      <c r="F3" s="57" t="s">
        <v>248</v>
      </c>
    </row>
    <row r="4" customFormat="false" ht="49.5" hidden="false" customHeight="true" outlineLevel="0" collapsed="false">
      <c r="A4" s="8" t="n">
        <v>1</v>
      </c>
      <c r="B4" s="9" t="s">
        <v>249</v>
      </c>
      <c r="C4" s="11" t="s">
        <v>250</v>
      </c>
      <c r="D4" s="10" t="s">
        <v>251</v>
      </c>
      <c r="E4" s="10" t="s">
        <v>252</v>
      </c>
      <c r="F4" s="17"/>
    </row>
    <row r="5" customFormat="false" ht="49.5" hidden="false" customHeight="true" outlineLevel="0" collapsed="false">
      <c r="A5" s="4" t="n">
        <v>2</v>
      </c>
      <c r="B5" s="5" t="s">
        <v>253</v>
      </c>
      <c r="C5" s="7" t="s">
        <v>250</v>
      </c>
      <c r="D5" s="6" t="s">
        <v>254</v>
      </c>
      <c r="E5" s="6" t="s">
        <v>255</v>
      </c>
      <c r="F5" s="19"/>
    </row>
    <row r="6" customFormat="false" ht="49.5" hidden="false" customHeight="true" outlineLevel="0" collapsed="false">
      <c r="A6" s="8" t="n">
        <v>3</v>
      </c>
      <c r="B6" s="9" t="s">
        <v>256</v>
      </c>
      <c r="C6" s="11" t="s">
        <v>257</v>
      </c>
      <c r="D6" s="10" t="s">
        <v>258</v>
      </c>
      <c r="E6" s="10" t="s">
        <v>259</v>
      </c>
      <c r="F6" s="17"/>
    </row>
    <row r="7" customFormat="false" ht="49.5" hidden="false" customHeight="true" outlineLevel="0" collapsed="false">
      <c r="A7" s="4" t="n">
        <v>4</v>
      </c>
      <c r="B7" s="5" t="s">
        <v>260</v>
      </c>
      <c r="C7" s="7" t="s">
        <v>261</v>
      </c>
      <c r="D7" s="6" t="s">
        <v>262</v>
      </c>
      <c r="E7" s="6" t="s">
        <v>263</v>
      </c>
      <c r="F7" s="19"/>
    </row>
    <row r="8" customFormat="false" ht="49.5" hidden="false" customHeight="true" outlineLevel="0" collapsed="false">
      <c r="A8" s="8" t="n">
        <v>5</v>
      </c>
      <c r="B8" s="9" t="s">
        <v>264</v>
      </c>
      <c r="C8" s="11" t="s">
        <v>261</v>
      </c>
      <c r="D8" s="10" t="s">
        <v>265</v>
      </c>
      <c r="E8" s="10" t="s">
        <v>266</v>
      </c>
      <c r="F8" s="17"/>
    </row>
    <row r="9" customFormat="false" ht="49.5" hidden="false" customHeight="true" outlineLevel="0" collapsed="false">
      <c r="A9" s="4" t="n">
        <v>6</v>
      </c>
      <c r="B9" s="5" t="s">
        <v>267</v>
      </c>
      <c r="C9" s="7" t="s">
        <v>261</v>
      </c>
      <c r="D9" s="6" t="s">
        <v>268</v>
      </c>
      <c r="E9" s="6" t="s">
        <v>269</v>
      </c>
      <c r="F9" s="19"/>
    </row>
    <row r="10" customFormat="false" ht="49.5" hidden="false" customHeight="true" outlineLevel="0" collapsed="false">
      <c r="A10" s="8" t="n">
        <v>7</v>
      </c>
      <c r="B10" s="9" t="s">
        <v>270</v>
      </c>
      <c r="C10" s="11" t="s">
        <v>261</v>
      </c>
      <c r="D10" s="10" t="s">
        <v>271</v>
      </c>
      <c r="E10" s="10" t="s">
        <v>272</v>
      </c>
      <c r="F10" s="17"/>
    </row>
    <row r="11" customFormat="false" ht="49.5" hidden="false" customHeight="true" outlineLevel="0" collapsed="false">
      <c r="A11" s="4" t="n">
        <v>8</v>
      </c>
      <c r="B11" s="5" t="s">
        <v>273</v>
      </c>
      <c r="C11" s="7" t="s">
        <v>250</v>
      </c>
      <c r="D11" s="6" t="s">
        <v>274</v>
      </c>
      <c r="E11" s="6" t="s">
        <v>275</v>
      </c>
      <c r="F11" s="19"/>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8102E"/>
    <pageSetUpPr fitToPage="false"/>
  </sheetPr>
  <dimension ref="A1:F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4"/>
    <col collapsed="false" customWidth="true" hidden="false" outlineLevel="0" max="3" min="3" style="0" width="42"/>
    <col collapsed="false" customWidth="true" hidden="false" outlineLevel="0" max="5" min="4" style="0" width="16"/>
    <col collapsed="false" customWidth="true" hidden="false" outlineLevel="0" max="6" min="6" style="0" width="22"/>
  </cols>
  <sheetData>
    <row r="1" customFormat="false" ht="33.75" hidden="false" customHeight="true" outlineLevel="0" collapsed="false">
      <c r="A1" s="14" t="s">
        <v>276</v>
      </c>
      <c r="B1" s="14"/>
      <c r="C1" s="14"/>
      <c r="D1" s="14"/>
      <c r="E1" s="14"/>
      <c r="F1" s="14"/>
    </row>
    <row r="2" customFormat="false" ht="25.5" hidden="false" customHeight="true" outlineLevel="0" collapsed="false">
      <c r="A2" s="63" t="s">
        <v>277</v>
      </c>
      <c r="B2" s="63"/>
      <c r="C2" s="63"/>
      <c r="D2" s="63"/>
      <c r="E2" s="63"/>
      <c r="F2" s="63"/>
    </row>
    <row r="3" customFormat="false" ht="15" hidden="false" customHeight="false" outlineLevel="0" collapsed="false">
      <c r="A3" s="16" t="s">
        <v>2</v>
      </c>
      <c r="B3" s="16" t="s">
        <v>278</v>
      </c>
      <c r="C3" s="16" t="s">
        <v>279</v>
      </c>
      <c r="D3" s="16" t="s">
        <v>280</v>
      </c>
      <c r="E3" s="16" t="s">
        <v>281</v>
      </c>
      <c r="F3" s="16" t="s">
        <v>282</v>
      </c>
    </row>
    <row r="4" customFormat="false" ht="31.5" hidden="false" customHeight="true" outlineLevel="0" collapsed="false">
      <c r="A4" s="8" t="n">
        <v>1</v>
      </c>
      <c r="B4" s="9" t="s">
        <v>283</v>
      </c>
      <c r="C4" s="10" t="s">
        <v>284</v>
      </c>
      <c r="D4" s="17"/>
      <c r="E4" s="17"/>
      <c r="F4" s="17"/>
    </row>
    <row r="5" customFormat="false" ht="31.5" hidden="false" customHeight="true" outlineLevel="0" collapsed="false">
      <c r="A5" s="4" t="n">
        <v>2</v>
      </c>
      <c r="B5" s="5" t="s">
        <v>285</v>
      </c>
      <c r="C5" s="6" t="s">
        <v>286</v>
      </c>
      <c r="D5" s="19"/>
      <c r="E5" s="19"/>
      <c r="F5" s="19"/>
    </row>
    <row r="6" customFormat="false" ht="31.5" hidden="false" customHeight="true" outlineLevel="0" collapsed="false">
      <c r="A6" s="8" t="n">
        <v>3</v>
      </c>
      <c r="B6" s="9" t="s">
        <v>287</v>
      </c>
      <c r="C6" s="10" t="s">
        <v>288</v>
      </c>
      <c r="D6" s="17"/>
      <c r="E6" s="17"/>
      <c r="F6" s="17"/>
    </row>
    <row r="7" customFormat="false" ht="31.5" hidden="false" customHeight="true" outlineLevel="0" collapsed="false">
      <c r="A7" s="4" t="n">
        <v>4</v>
      </c>
      <c r="B7" s="5" t="s">
        <v>289</v>
      </c>
      <c r="C7" s="6" t="s">
        <v>290</v>
      </c>
      <c r="D7" s="19"/>
      <c r="E7" s="19"/>
      <c r="F7" s="19"/>
    </row>
    <row r="8" customFormat="false" ht="31.5" hidden="false" customHeight="true" outlineLevel="0" collapsed="false">
      <c r="A8" s="8" t="n">
        <v>5</v>
      </c>
      <c r="B8" s="9" t="s">
        <v>291</v>
      </c>
      <c r="C8" s="10" t="s">
        <v>292</v>
      </c>
      <c r="D8" s="17"/>
      <c r="E8" s="17"/>
      <c r="F8" s="17"/>
    </row>
    <row r="9" customFormat="false" ht="31.5" hidden="false" customHeight="true" outlineLevel="0" collapsed="false">
      <c r="A9" s="4" t="n">
        <v>6</v>
      </c>
      <c r="B9" s="5" t="s">
        <v>293</v>
      </c>
      <c r="C9" s="6" t="s">
        <v>294</v>
      </c>
      <c r="D9" s="19"/>
      <c r="E9" s="19"/>
      <c r="F9" s="19"/>
    </row>
    <row r="10" customFormat="false" ht="31.5" hidden="false" customHeight="true" outlineLevel="0" collapsed="false">
      <c r="A10" s="8" t="n">
        <v>7</v>
      </c>
      <c r="B10" s="9" t="s">
        <v>295</v>
      </c>
      <c r="C10" s="10" t="s">
        <v>296</v>
      </c>
      <c r="D10" s="17"/>
      <c r="E10" s="17"/>
      <c r="F10" s="17"/>
    </row>
    <row r="11" customFormat="false" ht="31.5" hidden="false" customHeight="true" outlineLevel="0" collapsed="false">
      <c r="A11" s="4" t="n">
        <v>8</v>
      </c>
      <c r="B11" s="5" t="s">
        <v>297</v>
      </c>
      <c r="C11" s="6" t="s">
        <v>298</v>
      </c>
      <c r="D11" s="19"/>
      <c r="E11" s="19"/>
      <c r="F11" s="19"/>
    </row>
    <row r="12" customFormat="false" ht="31.5" hidden="false" customHeight="true" outlineLevel="0" collapsed="false">
      <c r="A12" s="8" t="n">
        <v>9</v>
      </c>
      <c r="B12" s="9" t="s">
        <v>299</v>
      </c>
      <c r="C12" s="10" t="s">
        <v>300</v>
      </c>
      <c r="D12" s="17"/>
      <c r="E12" s="17"/>
      <c r="F12" s="17"/>
    </row>
    <row r="13" customFormat="false" ht="31.5" hidden="false" customHeight="true" outlineLevel="0" collapsed="false">
      <c r="A13" s="4" t="n">
        <v>10</v>
      </c>
      <c r="B13" s="5" t="s">
        <v>301</v>
      </c>
      <c r="C13" s="6" t="s">
        <v>302</v>
      </c>
      <c r="D13" s="19"/>
      <c r="E13" s="19"/>
      <c r="F13" s="19"/>
    </row>
    <row r="14" customFormat="false" ht="31.5" hidden="false" customHeight="true" outlineLevel="0" collapsed="false">
      <c r="A14" s="8" t="n">
        <v>11</v>
      </c>
      <c r="B14" s="9" t="s">
        <v>303</v>
      </c>
      <c r="C14" s="10" t="s">
        <v>304</v>
      </c>
      <c r="D14" s="17"/>
      <c r="E14" s="17"/>
      <c r="F14" s="17"/>
    </row>
    <row r="15" customFormat="false" ht="31.5" hidden="false" customHeight="true" outlineLevel="0" collapsed="false">
      <c r="A15" s="4" t="n">
        <v>12</v>
      </c>
      <c r="B15" s="5" t="s">
        <v>305</v>
      </c>
      <c r="C15" s="6" t="s">
        <v>306</v>
      </c>
      <c r="D15" s="19"/>
      <c r="E15" s="19"/>
      <c r="F15" s="19"/>
    </row>
    <row r="16" customFormat="false" ht="31.5" hidden="false" customHeight="true" outlineLevel="0" collapsed="false">
      <c r="A16" s="8" t="n">
        <v>13</v>
      </c>
      <c r="B16" s="9" t="s">
        <v>307</v>
      </c>
      <c r="C16" s="10" t="s">
        <v>308</v>
      </c>
      <c r="D16" s="17"/>
      <c r="E16" s="17"/>
      <c r="F16" s="17"/>
    </row>
    <row r="17" customFormat="false" ht="31.5" hidden="false" customHeight="true" outlineLevel="0" collapsed="false">
      <c r="A17" s="4" t="n">
        <v>14</v>
      </c>
      <c r="B17" s="5" t="s">
        <v>309</v>
      </c>
      <c r="C17" s="6" t="s">
        <v>310</v>
      </c>
      <c r="D17" s="19"/>
      <c r="E17" s="19"/>
      <c r="F17" s="19"/>
    </row>
    <row r="18" customFormat="false" ht="31.5" hidden="false" customHeight="true" outlineLevel="0" collapsed="false">
      <c r="A18" s="8" t="n">
        <v>15</v>
      </c>
      <c r="B18" s="9" t="s">
        <v>311</v>
      </c>
      <c r="C18" s="10" t="s">
        <v>312</v>
      </c>
      <c r="D18" s="17"/>
      <c r="E18" s="17"/>
      <c r="F18" s="17"/>
    </row>
    <row r="19" customFormat="false" ht="31.5" hidden="false" customHeight="true" outlineLevel="0" collapsed="false">
      <c r="A19" s="4" t="n">
        <v>16</v>
      </c>
      <c r="B19" s="5" t="s">
        <v>313</v>
      </c>
      <c r="C19" s="6" t="s">
        <v>314</v>
      </c>
      <c r="D19" s="19"/>
      <c r="E19" s="19"/>
      <c r="F19" s="19"/>
    </row>
    <row r="20" customFormat="false" ht="31.5" hidden="false" customHeight="true" outlineLevel="0" collapsed="false">
      <c r="A20" s="8" t="n">
        <v>17</v>
      </c>
      <c r="B20" s="9" t="s">
        <v>315</v>
      </c>
      <c r="C20" s="10" t="s">
        <v>316</v>
      </c>
      <c r="D20" s="17"/>
      <c r="E20" s="17"/>
      <c r="F20" s="17"/>
    </row>
    <row r="21" customFormat="false" ht="31.5" hidden="false" customHeight="true" outlineLevel="0" collapsed="false">
      <c r="A21" s="4" t="n">
        <v>18</v>
      </c>
      <c r="B21" s="5" t="s">
        <v>317</v>
      </c>
      <c r="C21" s="6" t="s">
        <v>318</v>
      </c>
      <c r="D21" s="19"/>
      <c r="E21" s="19"/>
      <c r="F21" s="19"/>
    </row>
    <row r="22" customFormat="false" ht="31.5" hidden="false" customHeight="true" outlineLevel="0" collapsed="false">
      <c r="A22" s="8" t="n">
        <v>19</v>
      </c>
      <c r="B22" s="9" t="s">
        <v>319</v>
      </c>
      <c r="C22" s="10" t="s">
        <v>320</v>
      </c>
      <c r="D22" s="17"/>
      <c r="E22" s="17"/>
      <c r="F22" s="17"/>
    </row>
    <row r="23" customFormat="false" ht="31.5" hidden="false" customHeight="true" outlineLevel="0" collapsed="false">
      <c r="A23" s="4" t="n">
        <v>20</v>
      </c>
      <c r="B23" s="5" t="s">
        <v>321</v>
      </c>
      <c r="C23" s="6" t="s">
        <v>322</v>
      </c>
      <c r="D23" s="19"/>
      <c r="E23" s="19"/>
      <c r="F23" s="19"/>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2026-05-11T03:42:45Z</dcterms:created>
  <dc:creator>openpyxl</dc:creator>
  <dc:description/>
  <dc:language>en-US</dc:language>
  <cp:lastModifiedBy/>
  <dcterms:modified xsi:type="dcterms:W3CDTF">2026-05-11T03:42:45Z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