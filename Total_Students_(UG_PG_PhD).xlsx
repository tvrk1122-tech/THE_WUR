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ent_Enrollment_Master" sheetId="1" r:id="rId1"/>
    <sheet name="Enrollment_Formulas" sheetId="2" r:id="rId2"/>
    <sheet name="THE_Enrollment_Rules" sheetId="3" r:id="rId3"/>
    <sheet name="THE_Compliance" sheetId="4" r:id="rId4"/>
    <sheet name="Dashboard_Notes" sheetId="5" r:id="rId5"/>
  </sheets>
  <calcPr calcId="124519" fullCalcOnLoad="1"/>
</workbook>
</file>

<file path=xl/sharedStrings.xml><?xml version="1.0" encoding="utf-8"?>
<sst xmlns="http://schemas.openxmlformats.org/spreadsheetml/2006/main" count="61" uniqueCount="59">
  <si>
    <t>Academic_Year</t>
  </si>
  <si>
    <t>Department</t>
  </si>
  <si>
    <t>UG_Students_Total</t>
  </si>
  <si>
    <t>UG_Male</t>
  </si>
  <si>
    <t>UG_Female</t>
  </si>
  <si>
    <t>UG_International</t>
  </si>
  <si>
    <t>PG_Students_Total</t>
  </si>
  <si>
    <t>PG_Male</t>
  </si>
  <si>
    <t>PG_Female</t>
  </si>
  <si>
    <t>PG_International</t>
  </si>
  <si>
    <t>PhD_Students_Total</t>
  </si>
  <si>
    <t>PhD_Male</t>
  </si>
  <si>
    <t>PhD_Female</t>
  </si>
  <si>
    <t>PhD_International</t>
  </si>
  <si>
    <t>Grand_Total_Students</t>
  </si>
  <si>
    <t>Evidence_File</t>
  </si>
  <si>
    <t>Remarks</t>
  </si>
  <si>
    <t>Metric</t>
  </si>
  <si>
    <t>Formula</t>
  </si>
  <si>
    <t>Explanation</t>
  </si>
  <si>
    <t>Grand Total Students</t>
  </si>
  <si>
    <t>UG Gender Ratio</t>
  </si>
  <si>
    <t>PG Gender Ratio</t>
  </si>
  <si>
    <t>PhD Gender Ratio</t>
  </si>
  <si>
    <t>Total International Students</t>
  </si>
  <si>
    <t>Sum of UG, PG, and PhD enrollments.</t>
  </si>
  <si>
    <t>Gender ratio indicates diversity in undergraduate programs.</t>
  </si>
  <si>
    <t>Gender ratio indicates diversity in postgraduate programs.</t>
  </si>
  <si>
    <t>Gender ratio indicates diversity among research scholars.</t>
  </si>
  <si>
    <t>Used in THE International Outlook and demographic reports.</t>
  </si>
  <si>
    <t>Rule</t>
  </si>
  <si>
    <t>All student counts must be based on official MIS data.</t>
  </si>
  <si>
    <t>Counts should reflect *enrolled* students, not admitted or graduated.</t>
  </si>
  <si>
    <t>PhD students must be full-time and officially registered.</t>
  </si>
  <si>
    <t>International students must have verified non-domestic nationality.</t>
  </si>
  <si>
    <t>Data must match official government/statutory submissions.</t>
  </si>
  <si>
    <t>Ensures consistency with THE and national reporting.</t>
  </si>
  <si>
    <t>Enrollment, not admission, is used for ranking indicators.</t>
  </si>
  <si>
    <t>Only full-time research scholars contribute to PhD totals.</t>
  </si>
  <si>
    <t>International counts affect THE International Outlook metrics.</t>
  </si>
  <si>
    <t>Avoids discrepancies during auditing or ranking validation.</t>
  </si>
  <si>
    <t>Requirement</t>
  </si>
  <si>
    <t>Evidence_Required</t>
  </si>
  <si>
    <t>Status</t>
  </si>
  <si>
    <t>MIS student database validated</t>
  </si>
  <si>
    <t>UG/PG/PhD counts crosschecked with departments</t>
  </si>
  <si>
    <t>International student status verified</t>
  </si>
  <si>
    <t>Enrollment year verification complete</t>
  </si>
  <si>
    <t>Data matched with statutory reports (AISHE/NAAC)</t>
  </si>
  <si>
    <t>Notes</t>
  </si>
  <si>
    <t>Recommended Visualizations:</t>
  </si>
  <si>
    <t>• Student population growth over years</t>
  </si>
  <si>
    <t>• UG/PG/PhD composition pie chart</t>
  </si>
  <si>
    <t>• Gender diversity indicators</t>
  </si>
  <si>
    <t>• International student contribution trends</t>
  </si>
  <si>
    <t>Insights:</t>
  </si>
  <si>
    <t>• Important for THE Teaching environment data.</t>
  </si>
  <si>
    <t>• Useful for accreditation (NAAC/NBA) student strength metrics.</t>
  </si>
  <si>
    <t>• Helps identify enrollment trends for planning and resource allocation.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</si>
</sst>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17</v>
      </c>
      <c r="B1" s="1" t="s">
        <v>18</v>
      </c>
      <c r="C1" s="1" t="s">
        <v>19</v>
      </c>
    </row>
    <row r="2" spans="1:3">
      <c r="A2" t="s">
        <v>20</v>
      </c>
      <c r="B2">
        <f>UG_Students_Total + PG_Students_Total + PhD_Students_Total</f>
        <v>0</v>
      </c>
      <c r="C2" t="s">
        <v>25</v>
      </c>
    </row>
    <row r="3" spans="1:3">
      <c r="A3" t="s">
        <v>21</v>
      </c>
      <c r="B3">
        <f>UG_Female / UG_Male</f>
        <v>0</v>
      </c>
      <c r="C3" t="s">
        <v>26</v>
      </c>
    </row>
    <row r="4" spans="1:3">
      <c r="A4" t="s">
        <v>22</v>
      </c>
      <c r="B4">
        <f>PG_Female / PG_Male</f>
        <v>0</v>
      </c>
      <c r="C4" t="s">
        <v>27</v>
      </c>
    </row>
    <row r="5" spans="1:3">
      <c r="A5" t="s">
        <v>23</v>
      </c>
      <c r="B5">
        <f>PhD_Female / PhD_Male</f>
        <v>0</v>
      </c>
      <c r="C5" t="s">
        <v>28</v>
      </c>
    </row>
    <row r="6" spans="1:3">
      <c r="A6" t="s">
        <v>24</v>
      </c>
      <c r="B6">
        <f>UG_International + PG_International + PhD_International</f>
        <v>0</v>
      </c>
      <c r="C6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30</v>
      </c>
      <c r="B1" s="1" t="s">
        <v>19</v>
      </c>
    </row>
    <row r="2" spans="1:2">
      <c r="A2" t="s">
        <v>31</v>
      </c>
      <c r="B2" t="s">
        <v>36</v>
      </c>
    </row>
    <row r="3" spans="1:2">
      <c r="A3" t="s">
        <v>32</v>
      </c>
      <c r="B3" t="s">
        <v>37</v>
      </c>
    </row>
    <row r="4" spans="1:2">
      <c r="A4" t="s">
        <v>33</v>
      </c>
      <c r="B4" t="s">
        <v>38</v>
      </c>
    </row>
    <row r="5" spans="1:2">
      <c r="A5" t="s">
        <v>34</v>
      </c>
      <c r="B5" t="s">
        <v>39</v>
      </c>
    </row>
    <row r="6" spans="1:2">
      <c r="A6" t="s">
        <v>35</v>
      </c>
      <c r="B6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41</v>
      </c>
      <c r="B1" s="1" t="s">
        <v>42</v>
      </c>
      <c r="C1" s="1" t="s">
        <v>43</v>
      </c>
      <c r="D1" s="1" t="s">
        <v>16</v>
      </c>
    </row>
    <row r="2" spans="1:4">
      <c r="A2" t="s">
        <v>44</v>
      </c>
    </row>
    <row r="3" spans="1:4">
      <c r="A3" t="s">
        <v>45</v>
      </c>
    </row>
    <row r="4" spans="1:4">
      <c r="A4" t="s">
        <v>46</v>
      </c>
    </row>
    <row r="5" spans="1:4">
      <c r="A5" t="s">
        <v>47</v>
      </c>
    </row>
    <row r="6" spans="1:4">
      <c r="A6" t="s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49</v>
      </c>
    </row>
    <row r="2" spans="1:1">
      <c r="A2" t="s">
        <v>50</v>
      </c>
    </row>
    <row r="3" spans="1:1">
      <c r="A3" t="s">
        <v>51</v>
      </c>
    </row>
    <row r="4" spans="1:1">
      <c r="A4" t="s">
        <v>52</v>
      </c>
    </row>
    <row r="5" spans="1:1">
      <c r="A5" t="s">
        <v>53</v>
      </c>
    </row>
    <row r="6" spans="1:1">
      <c r="A6" t="s">
        <v>54</v>
      </c>
    </row>
    <row r="8" spans="1:1">
      <c r="A8" t="s">
        <v>55</v>
      </c>
    </row>
    <row r="9" spans="1:1">
      <c r="A9" t="s">
        <v>56</v>
      </c>
    </row>
    <row r="10" spans="1:1">
      <c r="A10" t="s">
        <v>57</v>
      </c>
    </row>
    <row r="11" spans="1:1">
      <c r="A1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Student_Enrollment_Master</vt:lpstr>
      <vt:lpstr>Enrollment_Formulas</vt:lpstr>
      <vt:lpstr>THE_Enrollment_Rules</vt:lpstr>
      <vt:lpstr>THE_Compliance</vt:lpstr>
      <vt:lpstr>Dashboard_Notes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2025-12-07T03:56:18Z</dcterms:created>
  <dcterms:modified xsi:type="dcterms:W3CDTF">2025-12-07T03:56:18Z</dcterms:modified>
</cp:coreProperties>
</file>