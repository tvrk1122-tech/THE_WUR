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Publication Output" sheetId="2" state="visible" r:id="rId4"/>
    <sheet name="2. Staff FTE" sheetId="3" state="visible" r:id="rId5"/>
    <sheet name="3. Productivity Scoring" sheetId="4" state="visible" r:id="rId6"/>
    <sheet name="4. Dept Productivity" sheetId="5" state="visible" r:id="rId7"/>
    <sheet name="5. Doc Type &amp; Quality" sheetId="6" state="visible" r:id="rId8"/>
    <sheet name="6. Faculty Publishing" sheetId="7" state="visible" r:id="rId9"/>
    <sheet name="7. Open Access &amp; Visibility" sheetId="8" state="visible" r:id="rId10"/>
    <sheet name="8. Counting Rules" sheetId="9" state="visible" r:id="rId11"/>
    <sheet name="9. Action Plan" sheetId="10" state="visible" r:id="rId12"/>
    <sheet name="10. Benchmarking" sheetId="11" state="visible" r:id="rId13"/>
    <sheet name="11. Risk Assessment" sheetId="12" state="visible" r:id="rId14"/>
    <sheet name="12. Data Quality Audi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<sst xmlns="http://schemas.openxmlformats.org/spreadsheetml/2006/main" count="365" uniqueCount="288">
  <si>
    <t xml:space="preserve">THE WUR — Research Environment (29%) → Research Productivity (Papers per Staff) (5.5%)</t>
  </si>
  <si>
    <t xml:space="preserve">Scopus Publication Output Normalized by Academic Staff FTE | 5.5% of Total WUR Score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</si>
  <si>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</si>
  <si>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</si>
  <si>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</si>
  <si>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</si>
  <si>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Research Productivity</t>
  </si>
  <si>
    <t xml:space="preserve">Total number of Scopus-indexed publications divided by academic staff FTE. Measures per-capita research output — how many papers each staff member produces on average. Higher ratio = more productive research environment. THE uses this as a volume-adjusted efficiency metric within the Research Environment pillar.</t>
  </si>
  <si>
    <t xml:space="preserve">5.5% of WUR</t>
  </si>
  <si>
    <t xml:space="preserve">Scopus Publications (Numerator)</t>
  </si>
  <si>
    <t xml:space="preserve">Count of Scopus-indexed publications over a defined period (typically most recent year or averaged). Document types: articles, reviews, conference papers. EXCLUDES: editorials, letters, errata, notes, book reviews, short surveys. Fractional counting applied for multi-institution papers (1/N per institution). Self-authored corrections/errata excluded.</t>
  </si>
  <si>
    <t xml:space="preserve">Numerator</t>
  </si>
  <si>
    <t xml:space="preserve">Academic Staff FTE (Denominator)</t>
  </si>
  <si>
    <t xml:space="preserve">Same THE-compliant definition used across ALL Teaching and Research Environment indicators. Professors, associate/assistant professors, lecturers, research fellows with teaching. Excludes admin, technical, support, research-only staff. MUST match the FTE used in SSR (4.5%), Doctorates/Staff (5.5%), Inst Income (2.5%), and Research Income (5.5%).</t>
  </si>
  <si>
    <t xml:space="preserve">Denominator</t>
  </si>
  <si>
    <t xml:space="preserve">Fractional Counting</t>
  </si>
  <si>
    <t xml:space="preserve">For multi-institution papers, each institution receives 1/N credit where N = number of distinct affiliated institutions. A paper with 3 institutional affiliations counts as 0.33 for each. This prevents double-counting and ensures fair comparison between collaborative and standalone research institutions.</t>
  </si>
  <si>
    <t xml:space="preserve">Adjustment</t>
  </si>
  <si>
    <t xml:space="preserve">Scoring Logic</t>
  </si>
  <si>
    <t xml:space="preserve">(Scopus Publications [fractional]) ÷ Academic Staff FTE → z-scored across all ranked universities. Higher publications per staff = higher z-score. THE also applies a log transformation to reduce the impact of extreme outliers before z-scoring.</t>
  </si>
  <si>
    <t xml:space="preserve">Normalization</t>
  </si>
  <si>
    <t xml:space="preserve">Context: Research Environment</t>
  </si>
  <si>
    <t xml:space="preserve">Research Environment (29%) = Research Reputation (18%) + Research Income PPP (5.5%) + Research Productivity (5.5%). Productivity at 5.5% is the most DIRECTLY CONTROLLABLE research indicator. Difficulty: 🟢 Easy-Moderate (6–18 months) — increase output through strategic publishing support.</t>
  </si>
  <si>
    <t xml:space="preserve">5.5% of 29%</t>
  </si>
  <si>
    <t xml:space="preserve">Improvement Strategies (from Strategic Roadmap)</t>
  </si>
  <si>
    <t xml:space="preserve">• Set faculty publication targets: minimum 2–3 Scopus papers per faculty per year.</t>
  </si>
  <si>
    <t xml:space="preserve">• Incentivize Q1/Q2 journal publishing through recognition &amp; career advancement.</t>
  </si>
  <si>
    <t xml:space="preserve">• Provide research writing support: workshops, editing services, statistical consulting.</t>
  </si>
  <si>
    <t xml:space="preserve">• Fund conference attendance and international collaboration for co-authored publications.</t>
  </si>
  <si>
    <t xml:space="preserve">• Establish 'publication boot camps' and writing retreats for faculty.</t>
  </si>
  <si>
    <t xml:space="preserve">• Target 40–50% internationally co-authored publications for visibility + volume.</t>
  </si>
  <si>
    <t xml:space="preserve">• Launch 'Highly Cited Papers Initiative' — quality AND quantity strategy.</t>
  </si>
  <si>
    <t xml:space="preserve">• Reduce administrative burden on faculty to free time for research writing.</t>
  </si>
  <si>
    <t xml:space="preserve">• Difficulty: 🟢 Easy-Moderate (6–18 months). Most controllable Research Environment indicator.</t>
  </si>
  <si>
    <t xml:space="preserve">Scopus Publication Output — Total &amp; Fractional Counts (Most Recent Year)</t>
  </si>
  <si>
    <t xml:space="preserve">Articles + Reviews + Conference Papers only | Fractional counting for multi-institution papers</t>
  </si>
  <si>
    <t xml:space="preserve">S.No.</t>
  </si>
  <si>
    <t xml:space="preserve">University Name</t>
  </si>
  <si>
    <t xml:space="preserve">Country</t>
  </si>
  <si>
    <t xml:space="preserve">Articles (Full Count)</t>
  </si>
  <si>
    <t xml:space="preserve">Reviews (Full Count)</t>
  </si>
  <si>
    <t xml:space="preserve">Conference Papers (Full Count)</t>
  </si>
  <si>
    <t xml:space="preserve">Total Full Count</t>
  </si>
  <si>
    <t xml:space="preserve">Fractional Count (Adjusted for Multi-Institution)</t>
  </si>
  <si>
    <t xml:space="preserve">% Fractional vs Full</t>
  </si>
  <si>
    <t xml:space="preserve">Reporting Year</t>
  </si>
  <si>
    <t xml:space="preserve">5-Year Publication Output History (Fractional Counts)</t>
  </si>
  <si>
    <t xml:space="preserve">Year 1 (Fractional)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</si>
  <si>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</si>
  <si>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</si>
  <si>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</si>
  <si>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</si>
  <si>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Total</t>
  </si>
  <si>
    <t xml:space="preserve">CAGR (%)</t>
  </si>
  <si>
    <t xml:space="preserve">Academic Staff FTE — Must Match ALL Other Indicators (SSR, Doc/Staff, Income, Res Income)</t>
  </si>
  <si>
    <t xml:space="preserve">SAME FTE across 5 indicators | Professors + Assoc/Asst Prof + Lecturers + Res Fellows (teaching)</t>
  </si>
  <si>
    <t xml:space="preserve">Professors (FTE)</t>
  </si>
  <si>
    <t xml:space="preserve">Assoc. Prof</t>
  </si>
  <si>
    <t xml:space="preserve">Asst. Prof</t>
  </si>
  <si>
    <t xml:space="preserve">Lecturers</t>
  </si>
  <si>
    <t xml:space="preserve">Res. Fellows (Teaching)</t>
  </si>
  <si>
    <t xml:space="preserve">Other Teaching</t>
  </si>
  <si>
    <t xml:space="preserve">Total Academic Staff FTE</t>
  </si>
  <si>
    <t xml:space="preserve">Research Productivity — Papers per Staff Calculation &amp; Scoring</t>
  </si>
  <si>
    <t xml:space="preserve">Productivity = Scopus Fractional Pubs ÷ Staff FTE | Log-transformed → Z-scored → 0–100</t>
  </si>
  <si>
    <t xml:space="preserve">Fractional Pubs (Annual)</t>
  </si>
  <si>
    <t xml:space="preserve">Academic Staff FTE</t>
  </si>
  <si>
    <t xml:space="preserve">Papers per Staff (Raw)</t>
  </si>
  <si>
    <t xml:space="preserve">Log-Transformed Ratio</t>
  </si>
  <si>
    <t xml:space="preserve">Z-Score</t>
  </si>
  <si>
    <t xml:space="preserve">Normalized Score (0–100)</t>
  </si>
  <si>
    <t xml:space="preserve">Summary Statistics</t>
  </si>
  <si>
    <t xml:space="preserve">Average Papers per Staff</t>
  </si>
  <si>
    <t xml:space="preserve">Highest (Most Productive)</t>
  </si>
  <si>
    <t xml:space="preserve">Lowest</t>
  </si>
  <si>
    <t xml:space="preserve">Median</t>
  </si>
  <si>
    <t xml:space="preserve">Total Publications (All Universities, Fractional)</t>
  </si>
  <si>
    <t xml:space="preserve">Department-Level Research Productivity (Papers per Staff)</t>
  </si>
  <si>
    <t xml:space="preserve">Identifies high-performing &amp; underperforming departments | Prioritize support where output is lowest</t>
  </si>
  <si>
    <t xml:space="preserve">Department / School</t>
  </si>
  <si>
    <t xml:space="preserve">Faculty / College</t>
  </si>
  <si>
    <t xml:space="preserve">Scopus Pubs (Fractional, Annual)</t>
  </si>
  <si>
    <t xml:space="preserve">Staff FTE</t>
  </si>
  <si>
    <t xml:space="preserve">Papers per Staff</t>
  </si>
  <si>
    <t xml:space="preserve">Target Ratio</t>
  </si>
  <si>
    <t xml:space="preserve">Gap to Target</t>
  </si>
  <si>
    <t xml:space="preserve">Priority</t>
  </si>
  <si>
    <t xml:space="preserve">Publication Quality Profile — Document Type &amp; Journal Quartile Breakdown</t>
  </si>
  <si>
    <t xml:space="preserve">Articles/Reviews/Conf Papers by SJR/CiteScore quartile | Quality alongside quantity</t>
  </si>
  <si>
    <t xml:space="preserve">Q1 Journal Pubs</t>
  </si>
  <si>
    <t xml:space="preserve">Q2 Journal Pubs</t>
  </si>
  <si>
    <t xml:space="preserve">Q3 Journal Pubs</t>
  </si>
  <si>
    <t xml:space="preserve">Q4 Journal Pubs</t>
  </si>
  <si>
    <t xml:space="preserve">Total Scopus Pubs</t>
  </si>
  <si>
    <t xml:space="preserve">% in Q1 Journals</t>
  </si>
  <si>
    <t xml:space="preserve">% in Q1+Q2 Journals</t>
  </si>
  <si>
    <t xml:space="preserve">Faculty Publishing Profile — Active vs Inactive Researchers</t>
  </si>
  <si>
    <t xml:space="preserve">% of faculty with Scopus publications in reporting year | Identifies 'silent' faculty needing support</t>
  </si>
  <si>
    <t xml:space="preserve">Faculty with ≥1 Scopus Pub (Year)</t>
  </si>
  <si>
    <t xml:space="preserve">% Active Publishers</t>
  </si>
  <si>
    <t xml:space="preserve">Faculty with ≥3 Pubs (Year)</t>
  </si>
  <si>
    <t xml:space="preserve">% High Producers</t>
  </si>
  <si>
    <t xml:space="preserve">Open Access Publishing &amp; Research Visibility Metrics</t>
  </si>
  <si>
    <t xml:space="preserve">OA proportion, international co-authorship, Altmetric attention | Complements productivity</t>
  </si>
  <si>
    <t xml:space="preserve">Total Scopus Pubs (Year)</t>
  </si>
  <si>
    <t xml:space="preserve">Open Access Pubs</t>
  </si>
  <si>
    <t xml:space="preserve">% Open Access</t>
  </si>
  <si>
    <t xml:space="preserve">Internationally Co-authored Pubs</t>
  </si>
  <si>
    <t xml:space="preserve">% International Co-authorship</t>
  </si>
  <si>
    <t xml:space="preserve">Scopus Publication Counting Rules — Inclusions, Exclusions &amp; Fractional Counting</t>
  </si>
  <si>
    <t xml:space="preserve">Category</t>
  </si>
  <si>
    <t xml:space="preserve">Rule / Definition</t>
  </si>
  <si>
    <t xml:space="preserve">Include / Exclude</t>
  </si>
  <si>
    <t xml:space="preserve">Notes</t>
  </si>
  <si>
    <t xml:space="preserve">Doc Type</t>
  </si>
  <si>
    <t xml:space="preserve">Article (original research)</t>
  </si>
  <si>
    <t xml:space="preserve">Include</t>
  </si>
  <si>
    <t xml:space="preserve">Core output type</t>
  </si>
  <si>
    <t xml:space="preserve">Review article</t>
  </si>
  <si>
    <t xml:space="preserve">Substantive research contribution</t>
  </si>
  <si>
    <t xml:space="preserve">Conference paper (in Scopus-indexed proceedings)</t>
  </si>
  <si>
    <t xml:space="preserve">Must be Scopus-indexed</t>
  </si>
  <si>
    <t xml:space="preserve">Editorial</t>
  </si>
  <si>
    <t xml:space="preserve">Exclude</t>
  </si>
  <si>
    <t xml:space="preserve">Not substantive research</t>
  </si>
  <si>
    <t xml:space="preserve">Letter / Correspondence</t>
  </si>
  <si>
    <t xml:space="preserve">Not substantive</t>
  </si>
  <si>
    <t xml:space="preserve">Erratum / Correction</t>
  </si>
  <si>
    <t xml:space="preserve">Not original work</t>
  </si>
  <si>
    <t xml:space="preserve">Note / Short communication</t>
  </si>
  <si>
    <t xml:space="preserve">Below substantive threshold</t>
  </si>
  <si>
    <t xml:space="preserve">Book review</t>
  </si>
  <si>
    <t xml:space="preserve">Not primary research</t>
  </si>
  <si>
    <t xml:space="preserve">Book chapter (Scopus-indexed)</t>
  </si>
  <si>
    <t xml:space="preserve">Conditional</t>
  </si>
  <si>
    <t xml:space="preserve">Check THE cycle guidelines</t>
  </si>
  <si>
    <t xml:space="preserve">Counting</t>
  </si>
  <si>
    <t xml:space="preserve">Single-institution paper</t>
  </si>
  <si>
    <t xml:space="preserve">Count as 1.0</t>
  </si>
  <si>
    <t xml:space="preserve">Standard full count</t>
  </si>
  <si>
    <t xml:space="preserve">Multi-institution paper (N institutions)</t>
  </si>
  <si>
    <t xml:space="preserve">Count as 1/N fractional</t>
  </si>
  <si>
    <t xml:space="preserve">Fractional counting prevents double-counting</t>
  </si>
  <si>
    <t xml:space="preserve">Paper with 2 institutional affiliations</t>
  </si>
  <si>
    <t xml:space="preserve">Count as 0.5 for each</t>
  </si>
  <si>
    <t xml:space="preserve">Even split</t>
  </si>
  <si>
    <t xml:space="preserve">Paper with 5 institutional affiliations</t>
  </si>
  <si>
    <t xml:space="preserve">Count as 0.2 for each</t>
  </si>
  <si>
    <t xml:space="preserve">Equal fractional share</t>
  </si>
  <si>
    <t xml:space="preserve">Indexing</t>
  </si>
  <si>
    <t xml:space="preserve">Paper must be in Scopus database</t>
  </si>
  <si>
    <t xml:space="preserve">Mandatory</t>
  </si>
  <si>
    <t xml:space="preserve">Web of Science alone insufficient</t>
  </si>
  <si>
    <t xml:space="preserve">Paper in predatory / delisted journal</t>
  </si>
  <si>
    <t xml:space="preserve">Even if previously indexed</t>
  </si>
  <si>
    <t xml:space="preserve">Paper in journal suspended by Scopus</t>
  </si>
  <si>
    <t xml:space="preserve">Suspended journals not counted</t>
  </si>
  <si>
    <t xml:space="preserve">Affiliation</t>
  </si>
  <si>
    <t xml:space="preserve">Scopus Affiliation ID must match institution</t>
  </si>
  <si>
    <t xml:space="preserve">Verify via Scopus institutional profile</t>
  </si>
  <si>
    <t xml:space="preserve">Paper with incorrect/missing affiliation</t>
  </si>
  <si>
    <t xml:space="preserve">Not counted</t>
  </si>
  <si>
    <t xml:space="preserve">Must fix in Scopus before next snapshot</t>
  </si>
  <si>
    <t xml:space="preserve">Timing</t>
  </si>
  <si>
    <t xml:space="preserve">Publication date within reporting year</t>
  </si>
  <si>
    <t xml:space="preserve">Calendar year or fiscal year per THE</t>
  </si>
  <si>
    <t xml:space="preserve">'In press' / 'accepted' but not published</t>
  </si>
  <si>
    <t xml:space="preserve">Only published items counted</t>
  </si>
  <si>
    <t xml:space="preserve">Research Productivity — Strategic Action Plan</t>
  </si>
  <si>
    <t xml:space="preserve">Action Item</t>
  </si>
  <si>
    <t xml:space="preserve">Phase</t>
  </si>
  <si>
    <t xml:space="preserve">Status</t>
  </si>
  <si>
    <t xml:space="preserve">Target Date</t>
  </si>
  <si>
    <t xml:space="preserve">Remarks</t>
  </si>
  <si>
    <t xml:space="preserve">Set faculty publishing targets: ≥2 Scopus papers/faculty/year</t>
  </si>
  <si>
    <t xml:space="preserve">1 (0–6mo)</t>
  </si>
  <si>
    <t xml:space="preserve">Audit Scopus affiliation accuracy; fix name variants &amp; missing IDs</t>
  </si>
  <si>
    <t xml:space="preserve">Identify 'silent' faculty (zero publications) and provide targeted support</t>
  </si>
  <si>
    <t xml:space="preserve">Launch publication writing workshops and statistical consulting services</t>
  </si>
  <si>
    <t xml:space="preserve">Fund conference attendance for paper presentations (leading to publications)</t>
  </si>
  <si>
    <t xml:space="preserve">Incentivize Q1/Q2 journal publishing through recognition &amp; appraisal</t>
  </si>
  <si>
    <t xml:space="preserve">2 (6–18mo)</t>
  </si>
  <si>
    <t xml:space="preserve">Establish 'publication boot camps' and writing retreats</t>
  </si>
  <si>
    <t xml:space="preserve">Target 40–50% internationally co-authored publications</t>
  </si>
  <si>
    <t xml:space="preserve">Launch 'Highly Cited Papers Initiative' — quality + quantity</t>
  </si>
  <si>
    <t xml:space="preserve">Reduce admin burden on faculty — protect research time</t>
  </si>
  <si>
    <t xml:space="preserve">Monitor open access publishing to increase visibility &amp; citations</t>
  </si>
  <si>
    <t xml:space="preserve">Grow papers per staff by 25–40% from Year 1 baseline</t>
  </si>
  <si>
    <t xml:space="preserve">3 (18–36mo)</t>
  </si>
  <si>
    <t xml:space="preserve">Achieve ≥80% of faculty publishing ≥1 Scopus paper/year</t>
  </si>
  <si>
    <t xml:space="preserve">Target ≥50% of publications in Q1+Q2 journals</t>
  </si>
  <si>
    <t xml:space="preserve">Embed productivity targets in faculty annual appraisal systems</t>
  </si>
  <si>
    <t xml:space="preserve">Progress</t>
  </si>
  <si>
    <t xml:space="preserve">Completed</t>
  </si>
  <si>
    <t xml:space="preserve">In Progress</t>
  </si>
  <si>
    <t xml:space="preserve">Completion (%)</t>
  </si>
  <si>
    <t xml:space="preserve">Benchmarking — Research Productivity (Papers per Staff)</t>
  </si>
  <si>
    <t xml:space="preserve">University / Benchmark</t>
  </si>
  <si>
    <t xml:space="preserve">Pubs (Fractional)</t>
  </si>
  <si>
    <t xml:space="preserve">Papers/Staff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</si>
  <si>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</si>
  <si>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</si>
  <si>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</si>
  <si>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</si>
  <si>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</si>
  <si>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</si>
  <si>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</si>
  <si>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</si>
  <si>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</si>
  <si>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</si>
  <si>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 Productivity — Risk Assessment</t>
  </si>
  <si>
    <t xml:space="preserve">Risk</t>
  </si>
  <si>
    <t xml:space="preserve">Level</t>
  </si>
  <si>
    <t xml:space="preserve">Impact</t>
  </si>
  <si>
    <t xml:space="preserve">Mitigation</t>
  </si>
  <si>
    <t xml:space="preserve">Owner</t>
  </si>
  <si>
    <t xml:space="preserve">Low faculty publishing rate</t>
  </si>
  <si>
    <t xml:space="preserve">🟡 Medium</t>
  </si>
  <si>
    <t xml:space="preserve">Many staff with zero publications; ratio suppressed</t>
  </si>
  <si>
    <t xml:space="preserve">Writing support, mentoring, protected time, targets in appraisal</t>
  </si>
  <si>
    <t xml:space="preserve">Publishing in non-Scopus journals</t>
  </si>
  <si>
    <t xml:space="preserve">Output not counted; invisible to THE</t>
  </si>
  <si>
    <t xml:space="preserve">Journal awareness campaign; Scopus-indexed journal list shared</t>
  </si>
  <si>
    <t xml:space="preserve">Scopus affiliation errors</t>
  </si>
  <si>
    <t xml:space="preserve">🔴 High</t>
  </si>
  <si>
    <t xml:space="preserve">Correctly authored papers not attributed to institution</t>
  </si>
  <si>
    <t xml:space="preserve">Quarterly Scopus audit; fix name variants; contact Scopus support</t>
  </si>
  <si>
    <t xml:space="preserve">Predatory/delisted journal publications</t>
  </si>
  <si>
    <t xml:space="preserve">Papers excluded from count; reputational damage</t>
  </si>
  <si>
    <t xml:space="preserve">Maintain approved journal list; pre-submission verification</t>
  </si>
  <si>
    <t xml:space="preserve">Fractional counting diluting output</t>
  </si>
  <si>
    <t xml:space="preserve">Highly collaborative papers count less per institution</t>
  </si>
  <si>
    <t xml:space="preserve">Balance: collaborate for quality + maintain single-institution papers</t>
  </si>
  <si>
    <t xml:space="preserve">Admin overload reducing research time</t>
  </si>
  <si>
    <t xml:space="preserve">Faculty too burdened to write papers</t>
  </si>
  <si>
    <t xml:space="preserve">Reduce admin load; hire admin support; protect research time</t>
  </si>
  <si>
    <t xml:space="preserve">Staff FTE mismatch across indicators</t>
  </si>
  <si>
    <t xml:space="preserve">Different FTE denominators across pillars</t>
  </si>
  <si>
    <t xml:space="preserve">Use SAME FTE for ALL 5 indicators: SSR, Doc/Staff, Inst Inc, Res Inc, Productivity</t>
  </si>
  <si>
    <t xml:space="preserve">Counting excluded document types</t>
  </si>
  <si>
    <t xml:space="preserve">Editorials, letters, errata included; audit penalty</t>
  </si>
  <si>
    <t xml:space="preserve">Strict doc-type filter: articles, reviews, conference papers ONLY</t>
  </si>
  <si>
    <t xml:space="preserve">Research Productivity — Data Quality &amp; Audit Checklist</t>
  </si>
  <si>
    <t xml:space="preserve">Validation checks for this indicator (5.5%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</si>
  <si>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</si>
  <si>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</si>
  <si>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</si>
  <si>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</si>
  <si>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</si>
  <si>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Scopus database source</t>
  </si>
  <si>
    <t xml:space="preserve">All publication data sourced from Scopus (not Web of Science, Google Scholar, or internal databases)</t>
  </si>
  <si>
    <t xml:space="preserve">Document type filter</t>
  </si>
  <si>
    <t xml:space="preserve">ONLY articles, reviews, conference papers counted; editorials, letters, errata, notes excluded</t>
  </si>
  <si>
    <t xml:space="preserve">Scopus Affiliation ID verification</t>
  </si>
  <si>
    <t xml:space="preserve">Institutional Scopus Affiliation ID verified; includes all campuses and merged IDs</t>
  </si>
  <si>
    <t xml:space="preserve">Fractional counting applied</t>
  </si>
  <si>
    <t xml:space="preserve">Multi-institution papers counted at 1/N; method documented and consistently applied</t>
  </si>
  <si>
    <t xml:space="preserve">Full vs fractional reconciliation</t>
  </si>
  <si>
    <t xml:space="preserve">Full count and fractional count both recorded; fractional used for ratio calculation</t>
  </si>
  <si>
    <t xml:space="preserve">Predatory/suspended journal exclusion</t>
  </si>
  <si>
    <t xml:space="preserve">Publications in Scopus-delisted or suspended journals excluded from count</t>
  </si>
  <si>
    <t xml:space="preserve">Only papers with publication date in the reporting year counted (not 'in press')</t>
  </si>
  <si>
    <t xml:space="preserve">Academic Staff FTE consistency</t>
  </si>
  <si>
    <t xml:space="preserve">SAME FTE used here AND in SSR (4.5%), Doc/Staff (5.5%), Inst Income (2.5%), Res Income (5.5%)</t>
  </si>
  <si>
    <t xml:space="preserve">FTE THE-compliant</t>
  </si>
  <si>
    <t xml:space="preserve">Staff FTE per THE definition; research-only, admin, technical excluded</t>
  </si>
  <si>
    <t xml:space="preserve">Log transformation applied</t>
  </si>
  <si>
    <t xml:space="preserve">Natural log transformation ln(1+ratio) applied before z-scoring per THE methodology</t>
  </si>
  <si>
    <t xml:space="preserve">Z-score normalization</t>
  </si>
  <si>
    <t xml:space="preserve">Z-scoring applied after log transformation; direction verified (higher output = higher score)</t>
  </si>
  <si>
    <t xml:space="preserve">Department-level reconciliation</t>
  </si>
  <si>
    <t xml:space="preserve">Sum of department-level fractional counts ≈ university total (within ±5% for rounding)</t>
  </si>
  <si>
    <t xml:space="preserve">Journal quartile data source</t>
  </si>
  <si>
    <t xml:space="preserve">Q1/Q2/Q3/Q4 classification based on SJR or CiteScore rankings from Scopus</t>
  </si>
  <si>
    <t xml:space="preserve">Active publisher identification</t>
  </si>
  <si>
    <t xml:space="preserve">Faculty publishing status verified against Scopus author profiles</t>
  </si>
  <si>
    <t xml:space="preserve">Open access classification</t>
  </si>
  <si>
    <t xml:space="preserve">OA status sourced from Scopus (Gold/Green/Hybrid) or Unpaywall</t>
  </si>
  <si>
    <t xml:space="preserve">International co-authorship definition</t>
  </si>
  <si>
    <t xml:space="preserve">International = authors from 2+ countries by Scopus institutional affiliation</t>
  </si>
  <si>
    <t xml:space="preserve">Year-on-year consistency</t>
  </si>
  <si>
    <t xml:space="preserve">Current productivity compared with previous year; &gt;25% changes documented</t>
  </si>
  <si>
    <t xml:space="preserve">Outlier detection</t>
  </si>
  <si>
    <t xml:space="preserve">Papers per staff &gt;3 SD from mean flagged for verification</t>
  </si>
  <si>
    <t xml:space="preserve">Scopus snapshot date</t>
  </si>
  <si>
    <t xml:space="preserve">Data snapshot date documented; consistent with THE's analysis timeline</t>
  </si>
  <si>
    <t xml:space="preserve">Reproducibility test</t>
  </si>
  <si>
    <t xml:space="preserve">Papers per staff independently reproducible from Scopus data + HR records within ±3%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</si>
</sst>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3F51B5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E2EFDA"/>
        <bgColor rgb="FFF2F2F2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FCE4D6"/>
        <bgColor rgb="FFFFF5D9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0" customFormat="false" ht="84.75" hidden="false" customHeight="true" outlineLevel="0" collapsed="false">
      <c r="A10" s="8" t="n">
        <v>6</v>
      </c>
      <c r="B10" s="9" t="s">
        <v>21</v>
      </c>
      <c r="C10" s="10" t="s">
        <v>22</v>
      </c>
      <c r="D10" s="11" t="s">
        <v>23</v>
      </c>
    </row>
    <row r="12" customFormat="false" ht="25.5" hidden="false" customHeight="true" outlineLevel="0" collapsed="false">
      <c r="A12" s="12" t="s">
        <v>24</v>
      </c>
      <c r="B12" s="12"/>
      <c r="C12" s="12"/>
      <c r="D12" s="12"/>
    </row>
    <row r="13" customFormat="false" ht="15" hidden="false" customHeight="true" outlineLevel="0" collapsed="false">
      <c r="A13" s="13" t="s">
        <v>25</v>
      </c>
      <c r="B13" s="13"/>
      <c r="C13" s="13"/>
      <c r="D13" s="13"/>
    </row>
    <row r="14" customFormat="false" ht="15" hidden="false" customHeight="true" outlineLevel="0" collapsed="false">
      <c r="A14" s="13" t="s">
        <v>26</v>
      </c>
      <c r="B14" s="13"/>
      <c r="C14" s="13"/>
      <c r="D14" s="13"/>
    </row>
    <row r="15" customFormat="false" ht="15" hidden="false" customHeight="true" outlineLevel="0" collapsed="false">
      <c r="A15" s="13" t="s">
        <v>27</v>
      </c>
      <c r="B15" s="13"/>
      <c r="C15" s="13"/>
      <c r="D15" s="13"/>
    </row>
    <row r="16" customFormat="false" ht="15" hidden="false" customHeight="true" outlineLevel="0" collapsed="false">
      <c r="A16" s="13" t="s">
        <v>28</v>
      </c>
      <c r="B16" s="13"/>
      <c r="C16" s="13"/>
      <c r="D16" s="13"/>
    </row>
    <row r="17" customFormat="false" ht="15" hidden="false" customHeight="true" outlineLevel="0" collapsed="false">
      <c r="A17" s="13" t="s">
        <v>29</v>
      </c>
      <c r="B17" s="13"/>
      <c r="C17" s="13"/>
      <c r="D17" s="13"/>
    </row>
    <row r="18" customFormat="false" ht="15" hidden="false" customHeight="true" outlineLevel="0" collapsed="false">
      <c r="A18" s="13" t="s">
        <v>30</v>
      </c>
      <c r="B18" s="13"/>
      <c r="C18" s="13"/>
      <c r="D18" s="13"/>
    </row>
    <row r="19" customFormat="false" ht="15" hidden="false" customHeight="true" outlineLevel="0" collapsed="false">
      <c r="A19" s="13" t="s">
        <v>31</v>
      </c>
      <c r="B19" s="13"/>
      <c r="C19" s="13"/>
      <c r="D19" s="13"/>
    </row>
    <row r="20" customFormat="false" ht="15" hidden="false" customHeight="true" outlineLevel="0" collapsed="false">
      <c r="A20" s="13" t="s">
        <v>32</v>
      </c>
      <c r="B20" s="13"/>
      <c r="C20" s="13"/>
      <c r="D20" s="13"/>
    </row>
    <row r="21" customFormat="false" ht="15" hidden="false" customHeight="true" outlineLevel="0" collapsed="false">
      <c r="A21" s="13" t="s">
        <v>33</v>
      </c>
      <c r="B21" s="13"/>
      <c r="C21" s="13"/>
      <c r="D21" s="13"/>
    </row>
  </sheetData>
  <mergeCells count="12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35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35.05" hidden="false" customHeight="false" outlineLevel="0" collapsed="false">
      <c r="A3" s="16" t="s">
        <v>36</v>
      </c>
      <c r="B3" s="16" t="s">
        <v>37</v>
      </c>
      <c r="C3" s="16" t="s">
        <v>38</v>
      </c>
      <c r="D3" s="16" t="s">
        <v>39</v>
      </c>
      <c r="E3" s="16" t="s">
        <v>40</v>
      </c>
      <c r="F3" s="16" t="s">
        <v>41</v>
      </c>
      <c r="G3" s="16" t="s">
        <v>42</v>
      </c>
      <c r="H3" s="16" t="s">
        <v>43</v>
      </c>
      <c r="I3" s="16" t="s">
        <v>44</v>
      </c>
      <c r="J3" s="16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8" t="n">
        <f aca="false">SUM(D4:F4)</f>
        <v>0</v>
      </c>
      <c r="H4" s="17"/>
      <c r="I4" s="18" t="n">
        <f aca="false">IF(G4&gt;0,H4/G4*100,0)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4" t="n">
        <f aca="false">SUM(D5:F5)</f>
        <v>0</v>
      </c>
      <c r="H5" s="19"/>
      <c r="I5" s="20" t="n">
        <f aca="false">IF(G5&gt;0,H5/G5*100,0)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8" t="n">
        <f aca="false">SUM(D6:F6)</f>
        <v>0</v>
      </c>
      <c r="H6" s="17"/>
      <c r="I6" s="18" t="n">
        <f aca="false">IF(G6&gt;0,H6/G6*100,0)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4" t="n">
        <f aca="false">SUM(D7:F7)</f>
        <v>0</v>
      </c>
      <c r="H7" s="19"/>
      <c r="I7" s="20" t="n">
        <f aca="false">IF(G7&gt;0,H7/G7*100,0)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8" t="n">
        <f aca="false">SUM(D8:F8)</f>
        <v>0</v>
      </c>
      <c r="H8" s="17"/>
      <c r="I8" s="18" t="n">
        <f aca="false">IF(G8&gt;0,H8/G8*100,0)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4" t="n">
        <f aca="false">SUM(D9:F9)</f>
        <v>0</v>
      </c>
      <c r="H9" s="19"/>
      <c r="I9" s="20" t="n">
        <f aca="false">IF(G9&gt;0,H9/G9*100,0)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8" t="n">
        <f aca="false">SUM(D10:F10)</f>
        <v>0</v>
      </c>
      <c r="H10" s="17"/>
      <c r="I10" s="18" t="n">
        <f aca="false">IF(G10&gt;0,H10/G10*100,0)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4" t="n">
        <f aca="false">SUM(D11:F11)</f>
        <v>0</v>
      </c>
      <c r="H11" s="19"/>
      <c r="I11" s="20" t="n">
        <f aca="false">IF(G11&gt;0,H11/G11*100,0)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8" t="n">
        <f aca="false">SUM(D12:F12)</f>
        <v>0</v>
      </c>
      <c r="H12" s="17"/>
      <c r="I12" s="18" t="n">
        <f aca="false">IF(G12&gt;0,H12/G12*100,0)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4" t="n">
        <f aca="false">SUM(D13:F13)</f>
        <v>0</v>
      </c>
      <c r="H13" s="19"/>
      <c r="I13" s="20" t="n">
        <f aca="false">IF(G13&gt;0,H13/G13*100,0)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8" t="n">
        <f aca="false">SUM(D14:F14)</f>
        <v>0</v>
      </c>
      <c r="H14" s="17"/>
      <c r="I14" s="18" t="n">
        <f aca="false">IF(G14&gt;0,H14/G14*100,0)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4" t="n">
        <f aca="false">SUM(D15:F15)</f>
        <v>0</v>
      </c>
      <c r="H15" s="19"/>
      <c r="I15" s="20" t="n">
        <f aca="false">IF(G15&gt;0,H15/G15*100,0)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8" t="n">
        <f aca="false">SUM(D16:F16)</f>
        <v>0</v>
      </c>
      <c r="H16" s="17"/>
      <c r="I16" s="18" t="n">
        <f aca="false">IF(G16&gt;0,H16/G16*100,0)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4" t="n">
        <f aca="false">SUM(D17:F17)</f>
        <v>0</v>
      </c>
      <c r="H17" s="19"/>
      <c r="I17" s="20" t="n">
        <f aca="false">IF(G17&gt;0,H17/G17*100,0)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8" t="n">
        <f aca="false">SUM(D18:F18)</f>
        <v>0</v>
      </c>
      <c r="H18" s="17"/>
      <c r="I18" s="18" t="n">
        <f aca="false">IF(G18&gt;0,H18/G18*100,0)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4" t="n">
        <f aca="false">SUM(D19:F19)</f>
        <v>0</v>
      </c>
      <c r="H19" s="19"/>
      <c r="I19" s="20" t="n">
        <f aca="false">IF(G19&gt;0,H19/G19*100,0)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8" t="n">
        <f aca="false">SUM(D20:F20)</f>
        <v>0</v>
      </c>
      <c r="H20" s="17"/>
      <c r="I20" s="18" t="n">
        <f aca="false">IF(G20&gt;0,H20/G20*100,0)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4" t="n">
        <f aca="false">SUM(D21:F21)</f>
        <v>0</v>
      </c>
      <c r="H21" s="19"/>
      <c r="I21" s="20" t="n">
        <f aca="false">IF(G21&gt;0,H21/G21*100,0)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8" t="n">
        <f aca="false">SUM(D22:F22)</f>
        <v>0</v>
      </c>
      <c r="H22" s="17"/>
      <c r="I22" s="18" t="n">
        <f aca="false">IF(G22&gt;0,H22/G22*100,0)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4" t="n">
        <f aca="false">SUM(D23:F23)</f>
        <v>0</v>
      </c>
      <c r="H23" s="19"/>
      <c r="I23" s="20" t="n">
        <f aca="false">IF(G23&gt;0,H23/G23*100,0)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8" t="n">
        <f aca="false">SUM(D24:F24)</f>
        <v>0</v>
      </c>
      <c r="H24" s="17"/>
      <c r="I24" s="18" t="n">
        <f aca="false">IF(G24&gt;0,H24/G24*100,0)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4" t="n">
        <f aca="false">SUM(D25:F25)</f>
        <v>0</v>
      </c>
      <c r="H25" s="19"/>
      <c r="I25" s="20" t="n">
        <f aca="false">IF(G25&gt;0,H25/G25*100,0)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8" t="n">
        <f aca="false">SUM(D26:F26)</f>
        <v>0</v>
      </c>
      <c r="H26" s="17"/>
      <c r="I26" s="18" t="n">
        <f aca="false">IF(G26&gt;0,H26/G26*100,0)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4" t="n">
        <f aca="false">SUM(D27:F27)</f>
        <v>0</v>
      </c>
      <c r="H27" s="19"/>
      <c r="I27" s="20" t="n">
        <f aca="false">IF(G27&gt;0,H27/G27*100,0)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8" t="n">
        <f aca="false">SUM(D28:F28)</f>
        <v>0</v>
      </c>
      <c r="H28" s="17"/>
      <c r="I28" s="18" t="n">
        <f aca="false">IF(G28&gt;0,H28/G28*100,0)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4" t="n">
        <f aca="false">SUM(D29:F29)</f>
        <v>0</v>
      </c>
      <c r="H29" s="19"/>
      <c r="I29" s="20" t="n">
        <f aca="false">IF(G29&gt;0,H29/G29*100,0)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8" t="n">
        <f aca="false">SUM(D30:F30)</f>
        <v>0</v>
      </c>
      <c r="H30" s="17"/>
      <c r="I30" s="18" t="n">
        <f aca="false">IF(G30&gt;0,H30/G30*100,0)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4" t="n">
        <f aca="false">SUM(D31:F31)</f>
        <v>0</v>
      </c>
      <c r="H31" s="19"/>
      <c r="I31" s="20" t="n">
        <f aca="false">IF(G31&gt;0,H31/G31*100,0)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8" t="n">
        <f aca="false">SUM(D32:F32)</f>
        <v>0</v>
      </c>
      <c r="H32" s="17"/>
      <c r="I32" s="18" t="n">
        <f aca="false">IF(G32&gt;0,H32/G32*100,0)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4" t="n">
        <f aca="false">SUM(D33:F33)</f>
        <v>0</v>
      </c>
      <c r="H33" s="19"/>
      <c r="I33" s="20" t="n">
        <f aca="false">IF(G33&gt;0,H33/G33*100,0)</f>
        <v>0</v>
      </c>
      <c r="J33" s="19"/>
    </row>
    <row r="35" customFormat="false" ht="25.5" hidden="false" customHeight="true" outlineLevel="0" collapsed="false">
      <c r="A35" s="21" t="s">
        <v>46</v>
      </c>
      <c r="B35" s="21"/>
      <c r="C35" s="21"/>
      <c r="D35" s="21"/>
      <c r="E35" s="21"/>
      <c r="F35" s="21"/>
      <c r="G35" s="21"/>
      <c r="H35" s="21"/>
      <c r="I35" s="21"/>
      <c r="J35" s="21"/>
    </row>
    <row r="36" customFormat="false" ht="15" hidden="false" customHeight="false" outlineLevel="0" collapsed="false">
      <c r="A36" s="22" t="s">
        <v>36</v>
      </c>
      <c r="B36" s="22" t="s">
        <v>37</v>
      </c>
      <c r="C36" s="22" t="s">
        <v>38</v>
      </c>
      <c r="D36" s="22" t="s">
        <v>47</v>
      </c>
      <c r="E36" s="22" t="s">
        <v>48</v>
      </c>
      <c r="F36" s="22" t="s">
        <v>49</v>
      </c>
      <c r="G36" s="22" t="s">
        <v>50</v>
      </c>
      <c r="H36" s="22" t="s">
        <v>51</v>
      </c>
      <c r="I36" s="22" t="s">
        <v>52</v>
      </c>
      <c r="J36" s="22" t="s">
        <v>53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7" t="n">
        <f aca="false">SUM(D37:H37)</f>
        <v>0</v>
      </c>
      <c r="J37" s="23" t="n">
        <f aca="false">IFERROR(IF(AND(D37&gt;0,H37&gt;0),(H37/D37)^(1/4)-1,0)*100,0)</f>
        <v>0</v>
      </c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1" t="n">
        <f aca="false">SUM(D38:H38)</f>
        <v>0</v>
      </c>
      <c r="J38" s="24" t="n">
        <f aca="false">IFERROR(IF(AND(D38&gt;0,H38&gt;0),(H38/D38)^(1/4)-1,0)*100,0)</f>
        <v>0</v>
      </c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7" t="n">
        <f aca="false">SUM(D39:H39)</f>
        <v>0</v>
      </c>
      <c r="J39" s="23" t="n">
        <f aca="false">IFERROR(IF(AND(D39&gt;0,H39&gt;0),(H39/D39)^(1/4)-1,0)*100,0)</f>
        <v>0</v>
      </c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1" t="n">
        <f aca="false">SUM(D40:H40)</f>
        <v>0</v>
      </c>
      <c r="J40" s="24" t="n">
        <f aca="false">IFERROR(IF(AND(D40&gt;0,H40&gt;0),(H40/D40)^(1/4)-1,0)*100,0)</f>
        <v>0</v>
      </c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7" t="n">
        <f aca="false">SUM(D41:H41)</f>
        <v>0</v>
      </c>
      <c r="J41" s="23" t="n">
        <f aca="false">IFERROR(IF(AND(D41&gt;0,H41&gt;0),(H41/D41)^(1/4)-1,0)*100,0)</f>
        <v>0</v>
      </c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1" t="n">
        <f aca="false">SUM(D42:H42)</f>
        <v>0</v>
      </c>
      <c r="J42" s="24" t="n">
        <f aca="false">IFERROR(IF(AND(D42&gt;0,H42&gt;0),(H42/D42)^(1/4)-1,0)*100,0)</f>
        <v>0</v>
      </c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7" t="n">
        <f aca="false">SUM(D43:H43)</f>
        <v>0</v>
      </c>
      <c r="J43" s="23" t="n">
        <f aca="false">IFERROR(IF(AND(D43&gt;0,H43&gt;0),(H43/D43)^(1/4)-1,0)*100,0)</f>
        <v>0</v>
      </c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1" t="n">
        <f aca="false">SUM(D44:H44)</f>
        <v>0</v>
      </c>
      <c r="J44" s="24" t="n">
        <f aca="false">IFERROR(IF(AND(D44&gt;0,H44&gt;0),(H44/D44)^(1/4)-1,0)*100,0)</f>
        <v>0</v>
      </c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7" t="n">
        <f aca="false">SUM(D45:H45)</f>
        <v>0</v>
      </c>
      <c r="J45" s="23" t="n">
        <f aca="false">IFERROR(IF(AND(D45&gt;0,H45&gt;0),(H45/D45)^(1/4)-1,0)*100,0)</f>
        <v>0</v>
      </c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1" t="n">
        <f aca="false">SUM(D46:H46)</f>
        <v>0</v>
      </c>
      <c r="J46" s="24" t="n">
        <f aca="false">IFERROR(IF(AND(D46&gt;0,H46&gt;0),(H46/D46)^(1/4)-1,0)*100,0)</f>
        <v>0</v>
      </c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7" t="n">
        <f aca="false">SUM(D47:H47)</f>
        <v>0</v>
      </c>
      <c r="J47" s="23" t="n">
        <f aca="false">IFERROR(IF(AND(D47&gt;0,H47&gt;0),(H47/D47)^(1/4)-1,0)*100,0)</f>
        <v>0</v>
      </c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1" t="n">
        <f aca="false">SUM(D48:H48)</f>
        <v>0</v>
      </c>
      <c r="J48" s="24" t="n">
        <f aca="false">IFERROR(IF(AND(D48&gt;0,H48&gt;0),(H48/D48)^(1/4)-1,0)*100,0)</f>
        <v>0</v>
      </c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7" t="n">
        <f aca="false">SUM(D49:H49)</f>
        <v>0</v>
      </c>
      <c r="J49" s="23" t="n">
        <f aca="false">IFERROR(IF(AND(D49&gt;0,H49&gt;0),(H49/D49)^(1/4)-1,0)*100,0)</f>
        <v>0</v>
      </c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1" t="n">
        <f aca="false">SUM(D50:H50)</f>
        <v>0</v>
      </c>
      <c r="J50" s="24" t="n">
        <f aca="false">IFERROR(IF(AND(D50&gt;0,H50&gt;0),(H50/D50)^(1/4)-1,0)*100,0)</f>
        <v>0</v>
      </c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7" t="n">
        <f aca="false">SUM(D51:H51)</f>
        <v>0</v>
      </c>
      <c r="J51" s="23" t="n">
        <f aca="false">IFERROR(IF(AND(D51&gt;0,H51&gt;0),(H51/D51)^(1/4)-1,0)*100,0)</f>
        <v>0</v>
      </c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1" t="n">
        <f aca="false">SUM(D52:H52)</f>
        <v>0</v>
      </c>
      <c r="J52" s="24" t="n">
        <f aca="false">IFERROR(IF(AND(D52&gt;0,H52&gt;0),(H52/D52)^(1/4)-1,0)*100,0)</f>
        <v>0</v>
      </c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7" t="n">
        <f aca="false">SUM(D53:H53)</f>
        <v>0</v>
      </c>
      <c r="J53" s="23" t="n">
        <f aca="false">IFERROR(IF(AND(D53&gt;0,H53&gt;0),(H53/D53)^(1/4)-1,0)*100,0)</f>
        <v>0</v>
      </c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1" t="n">
        <f aca="false">SUM(D54:H54)</f>
        <v>0</v>
      </c>
      <c r="J54" s="24" t="n">
        <f aca="false">IFERROR(IF(AND(D54&gt;0,H54&gt;0),(H54/D54)^(1/4)-1,0)*100,0)</f>
        <v>0</v>
      </c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7" t="n">
        <f aca="false">SUM(D55:H55)</f>
        <v>0</v>
      </c>
      <c r="J55" s="23" t="n">
        <f aca="false">IFERROR(IF(AND(D55&gt;0,H55&gt;0),(H55/D55)^(1/4)-1,0)*100,0)</f>
        <v>0</v>
      </c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1" t="n">
        <f aca="false">SUM(D56:H56)</f>
        <v>0</v>
      </c>
      <c r="J56" s="24" t="n">
        <f aca="false">IFERROR(IF(AND(D56&gt;0,H56&gt;0),(H56/D56)^(1/4)-1,0)*100,0)</f>
        <v>0</v>
      </c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25.5" hidden="false" customHeight="true" outlineLevel="0" collapsed="false">
      <c r="A2" s="26" t="s">
        <v>55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23.85" hidden="false" customHeight="false" outlineLevel="0" collapsed="false">
      <c r="A3" s="27" t="s">
        <v>36</v>
      </c>
      <c r="B3" s="27" t="s">
        <v>37</v>
      </c>
      <c r="C3" s="27" t="s">
        <v>38</v>
      </c>
      <c r="D3" s="27" t="s">
        <v>56</v>
      </c>
      <c r="E3" s="27" t="s">
        <v>57</v>
      </c>
      <c r="F3" s="27" t="s">
        <v>58</v>
      </c>
      <c r="G3" s="27" t="s">
        <v>59</v>
      </c>
      <c r="H3" s="27" t="s">
        <v>60</v>
      </c>
      <c r="I3" s="27" t="s">
        <v>61</v>
      </c>
      <c r="J3" s="27" t="s">
        <v>62</v>
      </c>
      <c r="K3" s="27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8" t="n">
        <f aca="false">SUM(D4:I4)</f>
        <v>0</v>
      </c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19"/>
      <c r="J5" s="4" t="n">
        <f aca="false">SUM(D5:I5)</f>
        <v>0</v>
      </c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8" t="n">
        <f aca="false">SUM(D6:I6)</f>
        <v>0</v>
      </c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19"/>
      <c r="J7" s="4" t="n">
        <f aca="false">SUM(D7:I7)</f>
        <v>0</v>
      </c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8" t="n">
        <f aca="false">SUM(D8:I8)</f>
        <v>0</v>
      </c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19"/>
      <c r="J9" s="4" t="n">
        <f aca="false">SUM(D9:I9)</f>
        <v>0</v>
      </c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8" t="n">
        <f aca="false">SUM(D10:I10)</f>
        <v>0</v>
      </c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19"/>
      <c r="J11" s="4" t="n">
        <f aca="false">SUM(D11:I11)</f>
        <v>0</v>
      </c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8" t="n">
        <f aca="false">SUM(D12:I12)</f>
        <v>0</v>
      </c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19"/>
      <c r="J13" s="4" t="n">
        <f aca="false">SUM(D13:I13)</f>
        <v>0</v>
      </c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8" t="n">
        <f aca="false">SUM(D14:I14)</f>
        <v>0</v>
      </c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19"/>
      <c r="J15" s="4" t="n">
        <f aca="false">SUM(D15:I15)</f>
        <v>0</v>
      </c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8" t="n">
        <f aca="false">SUM(D16:I16)</f>
        <v>0</v>
      </c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19"/>
      <c r="J17" s="4" t="n">
        <f aca="false">SUM(D17:I17)</f>
        <v>0</v>
      </c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8" t="n">
        <f aca="false">SUM(D18:I18)</f>
        <v>0</v>
      </c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19"/>
      <c r="J19" s="4" t="n">
        <f aca="false">SUM(D19:I19)</f>
        <v>0</v>
      </c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8" t="n">
        <f aca="false">SUM(D20:I20)</f>
        <v>0</v>
      </c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19"/>
      <c r="J21" s="4" t="n">
        <f aca="false">SUM(D21:I21)</f>
        <v>0</v>
      </c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8" t="n">
        <f aca="false">SUM(D22:I22)</f>
        <v>0</v>
      </c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19"/>
      <c r="J23" s="4" t="n">
        <f aca="false">SUM(D23:I23)</f>
        <v>0</v>
      </c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8" t="n">
        <f aca="false">SUM(D24:I24)</f>
        <v>0</v>
      </c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19"/>
      <c r="J25" s="4" t="n">
        <f aca="false">SUM(D25:I25)</f>
        <v>0</v>
      </c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8" t="n">
        <f aca="false">SUM(D26:I26)</f>
        <v>0</v>
      </c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19"/>
      <c r="J27" s="4" t="n">
        <f aca="false">SUM(D27:I27)</f>
        <v>0</v>
      </c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8" t="n">
        <f aca="false">SUM(D28:I28)</f>
        <v>0</v>
      </c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19"/>
      <c r="J29" s="4" t="n">
        <f aca="false">SUM(D29:I29)</f>
        <v>0</v>
      </c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8" t="n">
        <f aca="false">SUM(D30:I30)</f>
        <v>0</v>
      </c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19"/>
      <c r="J31" s="4" t="n">
        <f aca="false">SUM(D31:I31)</f>
        <v>0</v>
      </c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8" t="n">
        <f aca="false">SUM(D32:I32)</f>
        <v>0</v>
      </c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19"/>
      <c r="J33" s="4" t="n">
        <f aca="false">SUM(D33:I33)</f>
        <v>0</v>
      </c>
      <c r="K33" s="1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8" t="s">
        <v>63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25.5" hidden="false" customHeight="true" outlineLevel="0" collapsed="false">
      <c r="A2" s="29" t="s">
        <v>64</v>
      </c>
      <c r="B2" s="29"/>
      <c r="C2" s="29"/>
      <c r="D2" s="29"/>
      <c r="E2" s="29"/>
      <c r="F2" s="29"/>
      <c r="G2" s="29"/>
      <c r="H2" s="29"/>
      <c r="I2" s="29"/>
      <c r="J2" s="29"/>
    </row>
    <row r="3" customFormat="false" ht="23.85" hidden="false" customHeight="false" outlineLevel="0" collapsed="false">
      <c r="A3" s="30" t="s">
        <v>36</v>
      </c>
      <c r="B3" s="30" t="s">
        <v>37</v>
      </c>
      <c r="C3" s="30" t="s">
        <v>38</v>
      </c>
      <c r="D3" s="30" t="s">
        <v>65</v>
      </c>
      <c r="E3" s="30" t="s">
        <v>66</v>
      </c>
      <c r="F3" s="30" t="s">
        <v>67</v>
      </c>
      <c r="G3" s="30" t="s">
        <v>68</v>
      </c>
      <c r="H3" s="30" t="s">
        <v>69</v>
      </c>
      <c r="I3" s="30" t="s">
        <v>70</v>
      </c>
      <c r="J3" s="30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8" t="n">
        <f aca="false">'1. Publication Output'!H4</f>
        <v>0</v>
      </c>
      <c r="E4" s="8" t="n">
        <f aca="false">'2. Staff FTE'!J4</f>
        <v>0</v>
      </c>
      <c r="F4" s="31" t="n">
        <f aca="false">IF(E4&gt;0,D4/E4,0)</f>
        <v>0</v>
      </c>
      <c r="G4" s="32" t="n">
        <f aca="false">IF(F4&gt;0,LN(1+F4),0)</f>
        <v>0</v>
      </c>
      <c r="H4" s="33" t="n">
        <f aca="false">IFERROR((G4-AVERAGE($G$4:$G$33))/STDEV($G$4:$G$33),0)</f>
        <v>0</v>
      </c>
      <c r="I4" s="24" t="n">
        <f aca="false">IFERROR(IF(MAX($G$4:$G$33)-MIN($G$4:$G$33)&gt;0,(G4-MIN($G$4:$G$33))/(MAX($G$4:$G$33)-MIN($G$4:$G$33))*100,0),0)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20" t="n">
        <f aca="false">'1. Publication Output'!H5</f>
        <v>0</v>
      </c>
      <c r="E5" s="4" t="n">
        <f aca="false">'2. Staff FTE'!J5</f>
        <v>0</v>
      </c>
      <c r="F5" s="34" t="n">
        <f aca="false">IF(E5&gt;0,D5/E5,0)</f>
        <v>0</v>
      </c>
      <c r="G5" s="35" t="n">
        <f aca="false">IF(F5&gt;0,LN(1+F5),0)</f>
        <v>0</v>
      </c>
      <c r="H5" s="36" t="n">
        <f aca="false">IFERROR((G5-AVERAGE($G$4:$G$33))/STDEV($G$4:$G$33),0)</f>
        <v>0</v>
      </c>
      <c r="I5" s="23" t="n">
        <f aca="false">IFERROR(IF(MAX($G$4:$G$33)-MIN($G$4:$G$33)&gt;0,(G5-MIN($G$4:$G$33))/(MAX($G$4:$G$33)-MIN($G$4:$G$33))*100,0),0)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8" t="n">
        <f aca="false">'1. Publication Output'!H6</f>
        <v>0</v>
      </c>
      <c r="E6" s="8" t="n">
        <f aca="false">'2. Staff FTE'!J6</f>
        <v>0</v>
      </c>
      <c r="F6" s="31" t="n">
        <f aca="false">IF(E6&gt;0,D6/E6,0)</f>
        <v>0</v>
      </c>
      <c r="G6" s="32" t="n">
        <f aca="false">IF(F6&gt;0,LN(1+F6),0)</f>
        <v>0</v>
      </c>
      <c r="H6" s="33" t="n">
        <f aca="false">IFERROR((G6-AVERAGE($G$4:$G$33))/STDEV($G$4:$G$33),0)</f>
        <v>0</v>
      </c>
      <c r="I6" s="24" t="n">
        <f aca="false">IFERROR(IF(MAX($G$4:$G$33)-MIN($G$4:$G$33)&gt;0,(G6-MIN($G$4:$G$33))/(MAX($G$4:$G$33)-MIN($G$4:$G$33))*100,0),0)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20" t="n">
        <f aca="false">'1. Publication Output'!H7</f>
        <v>0</v>
      </c>
      <c r="E7" s="4" t="n">
        <f aca="false">'2. Staff FTE'!J7</f>
        <v>0</v>
      </c>
      <c r="F7" s="34" t="n">
        <f aca="false">IF(E7&gt;0,D7/E7,0)</f>
        <v>0</v>
      </c>
      <c r="G7" s="35" t="n">
        <f aca="false">IF(F7&gt;0,LN(1+F7),0)</f>
        <v>0</v>
      </c>
      <c r="H7" s="36" t="n">
        <f aca="false">IFERROR((G7-AVERAGE($G$4:$G$33))/STDEV($G$4:$G$33),0)</f>
        <v>0</v>
      </c>
      <c r="I7" s="23" t="n">
        <f aca="false">IFERROR(IF(MAX($G$4:$G$33)-MIN($G$4:$G$33)&gt;0,(G7-MIN($G$4:$G$33))/(MAX($G$4:$G$33)-MIN($G$4:$G$33))*100,0),0)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8" t="n">
        <f aca="false">'1. Publication Output'!H8</f>
        <v>0</v>
      </c>
      <c r="E8" s="8" t="n">
        <f aca="false">'2. Staff FTE'!J8</f>
        <v>0</v>
      </c>
      <c r="F8" s="31" t="n">
        <f aca="false">IF(E8&gt;0,D8/E8,0)</f>
        <v>0</v>
      </c>
      <c r="G8" s="32" t="n">
        <f aca="false">IF(F8&gt;0,LN(1+F8),0)</f>
        <v>0</v>
      </c>
      <c r="H8" s="33" t="n">
        <f aca="false">IFERROR((G8-AVERAGE($G$4:$G$33))/STDEV($G$4:$G$33),0)</f>
        <v>0</v>
      </c>
      <c r="I8" s="24" t="n">
        <f aca="false">IFERROR(IF(MAX($G$4:$G$33)-MIN($G$4:$G$33)&gt;0,(G8-MIN($G$4:$G$33))/(MAX($G$4:$G$33)-MIN($G$4:$G$33))*100,0),0)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20" t="n">
        <f aca="false">'1. Publication Output'!H9</f>
        <v>0</v>
      </c>
      <c r="E9" s="4" t="n">
        <f aca="false">'2. Staff FTE'!J9</f>
        <v>0</v>
      </c>
      <c r="F9" s="34" t="n">
        <f aca="false">IF(E9&gt;0,D9/E9,0)</f>
        <v>0</v>
      </c>
      <c r="G9" s="35" t="n">
        <f aca="false">IF(F9&gt;0,LN(1+F9),0)</f>
        <v>0</v>
      </c>
      <c r="H9" s="36" t="n">
        <f aca="false">IFERROR((G9-AVERAGE($G$4:$G$33))/STDEV($G$4:$G$33),0)</f>
        <v>0</v>
      </c>
      <c r="I9" s="23" t="n">
        <f aca="false">IFERROR(IF(MAX($G$4:$G$33)-MIN($G$4:$G$33)&gt;0,(G9-MIN($G$4:$G$33))/(MAX($G$4:$G$33)-MIN($G$4:$G$33))*100,0),0)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8" t="n">
        <f aca="false">'1. Publication Output'!H10</f>
        <v>0</v>
      </c>
      <c r="E10" s="8" t="n">
        <f aca="false">'2. Staff FTE'!J10</f>
        <v>0</v>
      </c>
      <c r="F10" s="31" t="n">
        <f aca="false">IF(E10&gt;0,D10/E10,0)</f>
        <v>0</v>
      </c>
      <c r="G10" s="32" t="n">
        <f aca="false">IF(F10&gt;0,LN(1+F10),0)</f>
        <v>0</v>
      </c>
      <c r="H10" s="33" t="n">
        <f aca="false">IFERROR((G10-AVERAGE($G$4:$G$33))/STDEV($G$4:$G$33),0)</f>
        <v>0</v>
      </c>
      <c r="I10" s="24" t="n">
        <f aca="false">IFERROR(IF(MAX($G$4:$G$33)-MIN($G$4:$G$33)&gt;0,(G10-MIN($G$4:$G$33))/(MAX($G$4:$G$33)-MIN($G$4:$G$33))*100,0),0)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20" t="n">
        <f aca="false">'1. Publication Output'!H11</f>
        <v>0</v>
      </c>
      <c r="E11" s="4" t="n">
        <f aca="false">'2. Staff FTE'!J11</f>
        <v>0</v>
      </c>
      <c r="F11" s="34" t="n">
        <f aca="false">IF(E11&gt;0,D11/E11,0)</f>
        <v>0</v>
      </c>
      <c r="G11" s="35" t="n">
        <f aca="false">IF(F11&gt;0,LN(1+F11),0)</f>
        <v>0</v>
      </c>
      <c r="H11" s="36" t="n">
        <f aca="false">IFERROR((G11-AVERAGE($G$4:$G$33))/STDEV($G$4:$G$33),0)</f>
        <v>0</v>
      </c>
      <c r="I11" s="23" t="n">
        <f aca="false">IFERROR(IF(MAX($G$4:$G$33)-MIN($G$4:$G$33)&gt;0,(G11-MIN($G$4:$G$33))/(MAX($G$4:$G$33)-MIN($G$4:$G$33))*100,0),0)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8" t="n">
        <f aca="false">'1. Publication Output'!H12</f>
        <v>0</v>
      </c>
      <c r="E12" s="8" t="n">
        <f aca="false">'2. Staff FTE'!J12</f>
        <v>0</v>
      </c>
      <c r="F12" s="31" t="n">
        <f aca="false">IF(E12&gt;0,D12/E12,0)</f>
        <v>0</v>
      </c>
      <c r="G12" s="32" t="n">
        <f aca="false">IF(F12&gt;0,LN(1+F12),0)</f>
        <v>0</v>
      </c>
      <c r="H12" s="33" t="n">
        <f aca="false">IFERROR((G12-AVERAGE($G$4:$G$33))/STDEV($G$4:$G$33),0)</f>
        <v>0</v>
      </c>
      <c r="I12" s="24" t="n">
        <f aca="false">IFERROR(IF(MAX($G$4:$G$33)-MIN($G$4:$G$33)&gt;0,(G12-MIN($G$4:$G$33))/(MAX($G$4:$G$33)-MIN($G$4:$G$33))*100,0),0)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20" t="n">
        <f aca="false">'1. Publication Output'!H13</f>
        <v>0</v>
      </c>
      <c r="E13" s="4" t="n">
        <f aca="false">'2. Staff FTE'!J13</f>
        <v>0</v>
      </c>
      <c r="F13" s="34" t="n">
        <f aca="false">IF(E13&gt;0,D13/E13,0)</f>
        <v>0</v>
      </c>
      <c r="G13" s="35" t="n">
        <f aca="false">IF(F13&gt;0,LN(1+F13),0)</f>
        <v>0</v>
      </c>
      <c r="H13" s="36" t="n">
        <f aca="false">IFERROR((G13-AVERAGE($G$4:$G$33))/STDEV($G$4:$G$33),0)</f>
        <v>0</v>
      </c>
      <c r="I13" s="23" t="n">
        <f aca="false">IFERROR(IF(MAX($G$4:$G$33)-MIN($G$4:$G$33)&gt;0,(G13-MIN($G$4:$G$33))/(MAX($G$4:$G$33)-MIN($G$4:$G$33))*100,0),0)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8" t="n">
        <f aca="false">'1. Publication Output'!H14</f>
        <v>0</v>
      </c>
      <c r="E14" s="8" t="n">
        <f aca="false">'2. Staff FTE'!J14</f>
        <v>0</v>
      </c>
      <c r="F14" s="31" t="n">
        <f aca="false">IF(E14&gt;0,D14/E14,0)</f>
        <v>0</v>
      </c>
      <c r="G14" s="32" t="n">
        <f aca="false">IF(F14&gt;0,LN(1+F14),0)</f>
        <v>0</v>
      </c>
      <c r="H14" s="33" t="n">
        <f aca="false">IFERROR((G14-AVERAGE($G$4:$G$33))/STDEV($G$4:$G$33),0)</f>
        <v>0</v>
      </c>
      <c r="I14" s="24" t="n">
        <f aca="false">IFERROR(IF(MAX($G$4:$G$33)-MIN($G$4:$G$33)&gt;0,(G14-MIN($G$4:$G$33))/(MAX($G$4:$G$33)-MIN($G$4:$G$33))*100,0),0)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20" t="n">
        <f aca="false">'1. Publication Output'!H15</f>
        <v>0</v>
      </c>
      <c r="E15" s="4" t="n">
        <f aca="false">'2. Staff FTE'!J15</f>
        <v>0</v>
      </c>
      <c r="F15" s="34" t="n">
        <f aca="false">IF(E15&gt;0,D15/E15,0)</f>
        <v>0</v>
      </c>
      <c r="G15" s="35" t="n">
        <f aca="false">IF(F15&gt;0,LN(1+F15),0)</f>
        <v>0</v>
      </c>
      <c r="H15" s="36" t="n">
        <f aca="false">IFERROR((G15-AVERAGE($G$4:$G$33))/STDEV($G$4:$G$33),0)</f>
        <v>0</v>
      </c>
      <c r="I15" s="23" t="n">
        <f aca="false">IFERROR(IF(MAX($G$4:$G$33)-MIN($G$4:$G$33)&gt;0,(G15-MIN($G$4:$G$33))/(MAX($G$4:$G$33)-MIN($G$4:$G$33))*100,0),0)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8" t="n">
        <f aca="false">'1. Publication Output'!H16</f>
        <v>0</v>
      </c>
      <c r="E16" s="8" t="n">
        <f aca="false">'2. Staff FTE'!J16</f>
        <v>0</v>
      </c>
      <c r="F16" s="31" t="n">
        <f aca="false">IF(E16&gt;0,D16/E16,0)</f>
        <v>0</v>
      </c>
      <c r="G16" s="32" t="n">
        <f aca="false">IF(F16&gt;0,LN(1+F16),0)</f>
        <v>0</v>
      </c>
      <c r="H16" s="33" t="n">
        <f aca="false">IFERROR((G16-AVERAGE($G$4:$G$33))/STDEV($G$4:$G$33),0)</f>
        <v>0</v>
      </c>
      <c r="I16" s="24" t="n">
        <f aca="false">IFERROR(IF(MAX($G$4:$G$33)-MIN($G$4:$G$33)&gt;0,(G16-MIN($G$4:$G$33))/(MAX($G$4:$G$33)-MIN($G$4:$G$33))*100,0),0)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20" t="n">
        <f aca="false">'1. Publication Output'!H17</f>
        <v>0</v>
      </c>
      <c r="E17" s="4" t="n">
        <f aca="false">'2. Staff FTE'!J17</f>
        <v>0</v>
      </c>
      <c r="F17" s="34" t="n">
        <f aca="false">IF(E17&gt;0,D17/E17,0)</f>
        <v>0</v>
      </c>
      <c r="G17" s="35" t="n">
        <f aca="false">IF(F17&gt;0,LN(1+F17),0)</f>
        <v>0</v>
      </c>
      <c r="H17" s="36" t="n">
        <f aca="false">IFERROR((G17-AVERAGE($G$4:$G$33))/STDEV($G$4:$G$33),0)</f>
        <v>0</v>
      </c>
      <c r="I17" s="23" t="n">
        <f aca="false">IFERROR(IF(MAX($G$4:$G$33)-MIN($G$4:$G$33)&gt;0,(G17-MIN($G$4:$G$33))/(MAX($G$4:$G$33)-MIN($G$4:$G$33))*100,0),0)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8" t="n">
        <f aca="false">'1. Publication Output'!H18</f>
        <v>0</v>
      </c>
      <c r="E18" s="8" t="n">
        <f aca="false">'2. Staff FTE'!J18</f>
        <v>0</v>
      </c>
      <c r="F18" s="31" t="n">
        <f aca="false">IF(E18&gt;0,D18/E18,0)</f>
        <v>0</v>
      </c>
      <c r="G18" s="32" t="n">
        <f aca="false">IF(F18&gt;0,LN(1+F18),0)</f>
        <v>0</v>
      </c>
      <c r="H18" s="33" t="n">
        <f aca="false">IFERROR((G18-AVERAGE($G$4:$G$33))/STDEV($G$4:$G$33),0)</f>
        <v>0</v>
      </c>
      <c r="I18" s="24" t="n">
        <f aca="false">IFERROR(IF(MAX($G$4:$G$33)-MIN($G$4:$G$33)&gt;0,(G18-MIN($G$4:$G$33))/(MAX($G$4:$G$33)-MIN($G$4:$G$33))*100,0),0)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20" t="n">
        <f aca="false">'1. Publication Output'!H19</f>
        <v>0</v>
      </c>
      <c r="E19" s="4" t="n">
        <f aca="false">'2. Staff FTE'!J19</f>
        <v>0</v>
      </c>
      <c r="F19" s="34" t="n">
        <f aca="false">IF(E19&gt;0,D19/E19,0)</f>
        <v>0</v>
      </c>
      <c r="G19" s="35" t="n">
        <f aca="false">IF(F19&gt;0,LN(1+F19),0)</f>
        <v>0</v>
      </c>
      <c r="H19" s="36" t="n">
        <f aca="false">IFERROR((G19-AVERAGE($G$4:$G$33))/STDEV($G$4:$G$33),0)</f>
        <v>0</v>
      </c>
      <c r="I19" s="23" t="n">
        <f aca="false">IFERROR(IF(MAX($G$4:$G$33)-MIN($G$4:$G$33)&gt;0,(G19-MIN($G$4:$G$33))/(MAX($G$4:$G$33)-MIN($G$4:$G$33))*100,0),0)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8" t="n">
        <f aca="false">'1. Publication Output'!H20</f>
        <v>0</v>
      </c>
      <c r="E20" s="8" t="n">
        <f aca="false">'2. Staff FTE'!J20</f>
        <v>0</v>
      </c>
      <c r="F20" s="31" t="n">
        <f aca="false">IF(E20&gt;0,D20/E20,0)</f>
        <v>0</v>
      </c>
      <c r="G20" s="32" t="n">
        <f aca="false">IF(F20&gt;0,LN(1+F20),0)</f>
        <v>0</v>
      </c>
      <c r="H20" s="33" t="n">
        <f aca="false">IFERROR((G20-AVERAGE($G$4:$G$33))/STDEV($G$4:$G$33),0)</f>
        <v>0</v>
      </c>
      <c r="I20" s="24" t="n">
        <f aca="false">IFERROR(IF(MAX($G$4:$G$33)-MIN($G$4:$G$33)&gt;0,(G20-MIN($G$4:$G$33))/(MAX($G$4:$G$33)-MIN($G$4:$G$33))*100,0),0)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20" t="n">
        <f aca="false">'1. Publication Output'!H21</f>
        <v>0</v>
      </c>
      <c r="E21" s="4" t="n">
        <f aca="false">'2. Staff FTE'!J21</f>
        <v>0</v>
      </c>
      <c r="F21" s="34" t="n">
        <f aca="false">IF(E21&gt;0,D21/E21,0)</f>
        <v>0</v>
      </c>
      <c r="G21" s="35" t="n">
        <f aca="false">IF(F21&gt;0,LN(1+F21),0)</f>
        <v>0</v>
      </c>
      <c r="H21" s="36" t="n">
        <f aca="false">IFERROR((G21-AVERAGE($G$4:$G$33))/STDEV($G$4:$G$33),0)</f>
        <v>0</v>
      </c>
      <c r="I21" s="23" t="n">
        <f aca="false">IFERROR(IF(MAX($G$4:$G$33)-MIN($G$4:$G$33)&gt;0,(G21-MIN($G$4:$G$33))/(MAX($G$4:$G$33)-MIN($G$4:$G$33))*100,0),0)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8" t="n">
        <f aca="false">'1. Publication Output'!H22</f>
        <v>0</v>
      </c>
      <c r="E22" s="8" t="n">
        <f aca="false">'2. Staff FTE'!J22</f>
        <v>0</v>
      </c>
      <c r="F22" s="31" t="n">
        <f aca="false">IF(E22&gt;0,D22/E22,0)</f>
        <v>0</v>
      </c>
      <c r="G22" s="32" t="n">
        <f aca="false">IF(F22&gt;0,LN(1+F22),0)</f>
        <v>0</v>
      </c>
      <c r="H22" s="33" t="n">
        <f aca="false">IFERROR((G22-AVERAGE($G$4:$G$33))/STDEV($G$4:$G$33),0)</f>
        <v>0</v>
      </c>
      <c r="I22" s="24" t="n">
        <f aca="false">IFERROR(IF(MAX($G$4:$G$33)-MIN($G$4:$G$33)&gt;0,(G22-MIN($G$4:$G$33))/(MAX($G$4:$G$33)-MIN($G$4:$G$33))*100,0),0)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20" t="n">
        <f aca="false">'1. Publication Output'!H23</f>
        <v>0</v>
      </c>
      <c r="E23" s="4" t="n">
        <f aca="false">'2. Staff FTE'!J23</f>
        <v>0</v>
      </c>
      <c r="F23" s="34" t="n">
        <f aca="false">IF(E23&gt;0,D23/E23,0)</f>
        <v>0</v>
      </c>
      <c r="G23" s="35" t="n">
        <f aca="false">IF(F23&gt;0,LN(1+F23),0)</f>
        <v>0</v>
      </c>
      <c r="H23" s="36" t="n">
        <f aca="false">IFERROR((G23-AVERAGE($G$4:$G$33))/STDEV($G$4:$G$33),0)</f>
        <v>0</v>
      </c>
      <c r="I23" s="23" t="n">
        <f aca="false">IFERROR(IF(MAX($G$4:$G$33)-MIN($G$4:$G$33)&gt;0,(G23-MIN($G$4:$G$33))/(MAX($G$4:$G$33)-MIN($G$4:$G$33))*100,0),0)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8" t="n">
        <f aca="false">'1. Publication Output'!H24</f>
        <v>0</v>
      </c>
      <c r="E24" s="8" t="n">
        <f aca="false">'2. Staff FTE'!J24</f>
        <v>0</v>
      </c>
      <c r="F24" s="31" t="n">
        <f aca="false">IF(E24&gt;0,D24/E24,0)</f>
        <v>0</v>
      </c>
      <c r="G24" s="32" t="n">
        <f aca="false">IF(F24&gt;0,LN(1+F24),0)</f>
        <v>0</v>
      </c>
      <c r="H24" s="33" t="n">
        <f aca="false">IFERROR((G24-AVERAGE($G$4:$G$33))/STDEV($G$4:$G$33),0)</f>
        <v>0</v>
      </c>
      <c r="I24" s="24" t="n">
        <f aca="false">IFERROR(IF(MAX($G$4:$G$33)-MIN($G$4:$G$33)&gt;0,(G24-MIN($G$4:$G$33))/(MAX($G$4:$G$33)-MIN($G$4:$G$33))*100,0),0)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20" t="n">
        <f aca="false">'1. Publication Output'!H25</f>
        <v>0</v>
      </c>
      <c r="E25" s="4" t="n">
        <f aca="false">'2. Staff FTE'!J25</f>
        <v>0</v>
      </c>
      <c r="F25" s="34" t="n">
        <f aca="false">IF(E25&gt;0,D25/E25,0)</f>
        <v>0</v>
      </c>
      <c r="G25" s="35" t="n">
        <f aca="false">IF(F25&gt;0,LN(1+F25),0)</f>
        <v>0</v>
      </c>
      <c r="H25" s="36" t="n">
        <f aca="false">IFERROR((G25-AVERAGE($G$4:$G$33))/STDEV($G$4:$G$33),0)</f>
        <v>0</v>
      </c>
      <c r="I25" s="23" t="n">
        <f aca="false">IFERROR(IF(MAX($G$4:$G$33)-MIN($G$4:$G$33)&gt;0,(G25-MIN($G$4:$G$33))/(MAX($G$4:$G$33)-MIN($G$4:$G$33))*100,0),0)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8" t="n">
        <f aca="false">'1. Publication Output'!H26</f>
        <v>0</v>
      </c>
      <c r="E26" s="8" t="n">
        <f aca="false">'2. Staff FTE'!J26</f>
        <v>0</v>
      </c>
      <c r="F26" s="31" t="n">
        <f aca="false">IF(E26&gt;0,D26/E26,0)</f>
        <v>0</v>
      </c>
      <c r="G26" s="32" t="n">
        <f aca="false">IF(F26&gt;0,LN(1+F26),0)</f>
        <v>0</v>
      </c>
      <c r="H26" s="33" t="n">
        <f aca="false">IFERROR((G26-AVERAGE($G$4:$G$33))/STDEV($G$4:$G$33),0)</f>
        <v>0</v>
      </c>
      <c r="I26" s="24" t="n">
        <f aca="false">IFERROR(IF(MAX($G$4:$G$33)-MIN($G$4:$G$33)&gt;0,(G26-MIN($G$4:$G$33))/(MAX($G$4:$G$33)-MIN($G$4:$G$33))*100,0),0)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20" t="n">
        <f aca="false">'1. Publication Output'!H27</f>
        <v>0</v>
      </c>
      <c r="E27" s="4" t="n">
        <f aca="false">'2. Staff FTE'!J27</f>
        <v>0</v>
      </c>
      <c r="F27" s="34" t="n">
        <f aca="false">IF(E27&gt;0,D27/E27,0)</f>
        <v>0</v>
      </c>
      <c r="G27" s="35" t="n">
        <f aca="false">IF(F27&gt;0,LN(1+F27),0)</f>
        <v>0</v>
      </c>
      <c r="H27" s="36" t="n">
        <f aca="false">IFERROR((G27-AVERAGE($G$4:$G$33))/STDEV($G$4:$G$33),0)</f>
        <v>0</v>
      </c>
      <c r="I27" s="23" t="n">
        <f aca="false">IFERROR(IF(MAX($G$4:$G$33)-MIN($G$4:$G$33)&gt;0,(G27-MIN($G$4:$G$33))/(MAX($G$4:$G$33)-MIN($G$4:$G$33))*100,0),0)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8" t="n">
        <f aca="false">'1. Publication Output'!H28</f>
        <v>0</v>
      </c>
      <c r="E28" s="8" t="n">
        <f aca="false">'2. Staff FTE'!J28</f>
        <v>0</v>
      </c>
      <c r="F28" s="31" t="n">
        <f aca="false">IF(E28&gt;0,D28/E28,0)</f>
        <v>0</v>
      </c>
      <c r="G28" s="32" t="n">
        <f aca="false">IF(F28&gt;0,LN(1+F28),0)</f>
        <v>0</v>
      </c>
      <c r="H28" s="33" t="n">
        <f aca="false">IFERROR((G28-AVERAGE($G$4:$G$33))/STDEV($G$4:$G$33),0)</f>
        <v>0</v>
      </c>
      <c r="I28" s="24" t="n">
        <f aca="false">IFERROR(IF(MAX($G$4:$G$33)-MIN($G$4:$G$33)&gt;0,(G28-MIN($G$4:$G$33))/(MAX($G$4:$G$33)-MIN($G$4:$G$33))*100,0),0)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20" t="n">
        <f aca="false">'1. Publication Output'!H29</f>
        <v>0</v>
      </c>
      <c r="E29" s="4" t="n">
        <f aca="false">'2. Staff FTE'!J29</f>
        <v>0</v>
      </c>
      <c r="F29" s="34" t="n">
        <f aca="false">IF(E29&gt;0,D29/E29,0)</f>
        <v>0</v>
      </c>
      <c r="G29" s="35" t="n">
        <f aca="false">IF(F29&gt;0,LN(1+F29),0)</f>
        <v>0</v>
      </c>
      <c r="H29" s="36" t="n">
        <f aca="false">IFERROR((G29-AVERAGE($G$4:$G$33))/STDEV($G$4:$G$33),0)</f>
        <v>0</v>
      </c>
      <c r="I29" s="23" t="n">
        <f aca="false">IFERROR(IF(MAX($G$4:$G$33)-MIN($G$4:$G$33)&gt;0,(G29-MIN($G$4:$G$33))/(MAX($G$4:$G$33)-MIN($G$4:$G$33))*100,0),0)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8" t="n">
        <f aca="false">'1. Publication Output'!H30</f>
        <v>0</v>
      </c>
      <c r="E30" s="8" t="n">
        <f aca="false">'2. Staff FTE'!J30</f>
        <v>0</v>
      </c>
      <c r="F30" s="31" t="n">
        <f aca="false">IF(E30&gt;0,D30/E30,0)</f>
        <v>0</v>
      </c>
      <c r="G30" s="32" t="n">
        <f aca="false">IF(F30&gt;0,LN(1+F30),0)</f>
        <v>0</v>
      </c>
      <c r="H30" s="33" t="n">
        <f aca="false">IFERROR((G30-AVERAGE($G$4:$G$33))/STDEV($G$4:$G$33),0)</f>
        <v>0</v>
      </c>
      <c r="I30" s="24" t="n">
        <f aca="false">IFERROR(IF(MAX($G$4:$G$33)-MIN($G$4:$G$33)&gt;0,(G30-MIN($G$4:$G$33))/(MAX($G$4:$G$33)-MIN($G$4:$G$33))*100,0),0)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20" t="n">
        <f aca="false">'1. Publication Output'!H31</f>
        <v>0</v>
      </c>
      <c r="E31" s="4" t="n">
        <f aca="false">'2. Staff FTE'!J31</f>
        <v>0</v>
      </c>
      <c r="F31" s="34" t="n">
        <f aca="false">IF(E31&gt;0,D31/E31,0)</f>
        <v>0</v>
      </c>
      <c r="G31" s="35" t="n">
        <f aca="false">IF(F31&gt;0,LN(1+F31),0)</f>
        <v>0</v>
      </c>
      <c r="H31" s="36" t="n">
        <f aca="false">IFERROR((G31-AVERAGE($G$4:$G$33))/STDEV($G$4:$G$33),0)</f>
        <v>0</v>
      </c>
      <c r="I31" s="23" t="n">
        <f aca="false">IFERROR(IF(MAX($G$4:$G$33)-MIN($G$4:$G$33)&gt;0,(G31-MIN($G$4:$G$33))/(MAX($G$4:$G$33)-MIN($G$4:$G$33))*100,0),0)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8" t="n">
        <f aca="false">'1. Publication Output'!H32</f>
        <v>0</v>
      </c>
      <c r="E32" s="8" t="n">
        <f aca="false">'2. Staff FTE'!J32</f>
        <v>0</v>
      </c>
      <c r="F32" s="31" t="n">
        <f aca="false">IF(E32&gt;0,D32/E32,0)</f>
        <v>0</v>
      </c>
      <c r="G32" s="32" t="n">
        <f aca="false">IF(F32&gt;0,LN(1+F32),0)</f>
        <v>0</v>
      </c>
      <c r="H32" s="33" t="n">
        <f aca="false">IFERROR((G32-AVERAGE($G$4:$G$33))/STDEV($G$4:$G$33),0)</f>
        <v>0</v>
      </c>
      <c r="I32" s="24" t="n">
        <f aca="false">IFERROR(IF(MAX($G$4:$G$33)-MIN($G$4:$G$33)&gt;0,(G32-MIN($G$4:$G$33))/(MAX($G$4:$G$33)-MIN($G$4:$G$33))*100,0),0)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20" t="n">
        <f aca="false">'1. Publication Output'!H33</f>
        <v>0</v>
      </c>
      <c r="E33" s="4" t="n">
        <f aca="false">'2. Staff FTE'!J33</f>
        <v>0</v>
      </c>
      <c r="F33" s="34" t="n">
        <f aca="false">IF(E33&gt;0,D33/E33,0)</f>
        <v>0</v>
      </c>
      <c r="G33" s="35" t="n">
        <f aca="false">IF(F33&gt;0,LN(1+F33),0)</f>
        <v>0</v>
      </c>
      <c r="H33" s="36" t="n">
        <f aca="false">IFERROR((G33-AVERAGE($G$4:$G$33))/STDEV($G$4:$G$33),0)</f>
        <v>0</v>
      </c>
      <c r="I33" s="23" t="n">
        <f aca="false">IFERROR(IF(MAX($G$4:$G$33)-MIN($G$4:$G$33)&gt;0,(G33-MIN($G$4:$G$33))/(MAX($G$4:$G$33)-MIN($G$4:$G$33))*100,0),0)</f>
        <v>0</v>
      </c>
      <c r="J33" s="19"/>
    </row>
    <row r="35" customFormat="false" ht="25.5" hidden="false" customHeight="true" outlineLevel="0" collapsed="false">
      <c r="A35" s="12" t="s">
        <v>71</v>
      </c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true" outlineLevel="0" collapsed="false">
      <c r="A36" s="37" t="s">
        <v>72</v>
      </c>
      <c r="B36" s="37"/>
      <c r="C36" s="37"/>
      <c r="D36" s="37"/>
      <c r="E36" s="37"/>
      <c r="F36" s="38" t="n">
        <f aca="false">IF(COUNTA(F4:F33)&gt;0,AVERAGE(F4:F33),0)</f>
        <v>0</v>
      </c>
      <c r="G36" s="39"/>
      <c r="H36" s="39"/>
      <c r="I36" s="39"/>
      <c r="J36" s="39"/>
    </row>
    <row r="37" customFormat="false" ht="15" hidden="false" customHeight="true" outlineLevel="0" collapsed="false">
      <c r="A37" s="37" t="s">
        <v>73</v>
      </c>
      <c r="B37" s="37"/>
      <c r="C37" s="37"/>
      <c r="D37" s="37"/>
      <c r="E37" s="37"/>
      <c r="F37" s="38" t="n">
        <f aca="false">MAX(F4:F33)</f>
        <v>0</v>
      </c>
      <c r="G37" s="39"/>
      <c r="H37" s="39"/>
      <c r="I37" s="39"/>
      <c r="J37" s="39"/>
    </row>
    <row r="38" customFormat="false" ht="15" hidden="false" customHeight="true" outlineLevel="0" collapsed="false">
      <c r="A38" s="37" t="s">
        <v>74</v>
      </c>
      <c r="B38" s="37"/>
      <c r="C38" s="37"/>
      <c r="D38" s="37"/>
      <c r="E38" s="37"/>
      <c r="F38" s="38" t="n">
        <f aca="false">MIN(F4:F33)</f>
        <v>0</v>
      </c>
      <c r="G38" s="39"/>
      <c r="H38" s="39"/>
      <c r="I38" s="39"/>
      <c r="J38" s="39"/>
    </row>
    <row r="39" customFormat="false" ht="15" hidden="false" customHeight="true" outlineLevel="0" collapsed="false">
      <c r="A39" s="37" t="s">
        <v>75</v>
      </c>
      <c r="B39" s="37"/>
      <c r="C39" s="37"/>
      <c r="D39" s="37"/>
      <c r="E39" s="37"/>
      <c r="F39" s="38" t="n">
        <f aca="false">MEDIAN(F4:F33)</f>
        <v>0</v>
      </c>
      <c r="G39" s="39"/>
      <c r="H39" s="39"/>
      <c r="I39" s="39"/>
      <c r="J39" s="39"/>
    </row>
    <row r="40" customFormat="false" ht="15" hidden="false" customHeight="true" outlineLevel="0" collapsed="false">
      <c r="A40" s="37" t="s">
        <v>76</v>
      </c>
      <c r="B40" s="37"/>
      <c r="C40" s="37"/>
      <c r="D40" s="37"/>
      <c r="E40" s="37"/>
      <c r="F40" s="40" t="n">
        <f aca="false">SUM(D4:D33)</f>
        <v>0</v>
      </c>
      <c r="G40" s="39"/>
      <c r="H40" s="39"/>
      <c r="I40" s="39"/>
      <c r="J40" s="39"/>
    </row>
  </sheetData>
  <mergeCells count="8">
    <mergeCell ref="A1:J1"/>
    <mergeCell ref="A2:J2"/>
    <mergeCell ref="A35:J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1" t="s">
        <v>77</v>
      </c>
      <c r="B1" s="41"/>
      <c r="C1" s="41"/>
      <c r="D1" s="41"/>
      <c r="E1" s="41"/>
      <c r="F1" s="41"/>
      <c r="G1" s="41"/>
      <c r="H1" s="41"/>
      <c r="I1" s="41"/>
    </row>
    <row r="2" customFormat="false" ht="25.5" hidden="false" customHeight="true" outlineLevel="0" collapsed="false">
      <c r="A2" s="21" t="s">
        <v>78</v>
      </c>
      <c r="B2" s="21"/>
      <c r="C2" s="21"/>
      <c r="D2" s="21"/>
      <c r="E2" s="21"/>
      <c r="F2" s="21"/>
      <c r="G2" s="21"/>
      <c r="H2" s="21"/>
      <c r="I2" s="21"/>
    </row>
    <row r="3" customFormat="false" ht="23.85" hidden="false" customHeight="false" outlineLevel="0" collapsed="false">
      <c r="A3" s="22" t="s">
        <v>36</v>
      </c>
      <c r="B3" s="22" t="s">
        <v>79</v>
      </c>
      <c r="C3" s="22" t="s">
        <v>80</v>
      </c>
      <c r="D3" s="22" t="s">
        <v>81</v>
      </c>
      <c r="E3" s="22" t="s">
        <v>82</v>
      </c>
      <c r="F3" s="22" t="s">
        <v>83</v>
      </c>
      <c r="G3" s="22" t="s">
        <v>84</v>
      </c>
      <c r="H3" s="22" t="s">
        <v>85</v>
      </c>
      <c r="I3" s="22" t="s">
        <v>86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1" t="n">
        <f aca="false">IF(E4&gt;0,D4/E4,0)</f>
        <v>0</v>
      </c>
      <c r="G4" s="17"/>
      <c r="H4" s="33" t="n">
        <f aca="false">IF(AND(G4&gt;0,F4&lt;G4),G4-F4,0)</f>
        <v>0</v>
      </c>
      <c r="I4" s="11" t="str">
        <f aca="false">IF(H4&gt;1,"High",IF(H4&gt;0.5,"Medium",IF(H4&gt;0,"Low","On Target")))</f>
        <v>On Target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34" t="n">
        <f aca="false">IF(E5&gt;0,D5/E5,0)</f>
        <v>0</v>
      </c>
      <c r="G5" s="19"/>
      <c r="H5" s="36" t="n">
        <f aca="false">IF(AND(G5&gt;0,F5&lt;G5),G5-F5,0)</f>
        <v>0</v>
      </c>
      <c r="I5" s="7" t="str">
        <f aca="false">IF(H5&gt;1,"High",IF(H5&gt;0.5,"Medium",IF(H5&gt;0,"Low","On Target")))</f>
        <v>On Target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1" t="n">
        <f aca="false">IF(E6&gt;0,D6/E6,0)</f>
        <v>0</v>
      </c>
      <c r="G6" s="17"/>
      <c r="H6" s="33" t="n">
        <f aca="false">IF(AND(G6&gt;0,F6&lt;G6),G6-F6,0)</f>
        <v>0</v>
      </c>
      <c r="I6" s="11" t="str">
        <f aca="false">IF(H6&gt;1,"High",IF(H6&gt;0.5,"Medium",IF(H6&gt;0,"Low","On Target")))</f>
        <v>On Target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34" t="n">
        <f aca="false">IF(E7&gt;0,D7/E7,0)</f>
        <v>0</v>
      </c>
      <c r="G7" s="19"/>
      <c r="H7" s="36" t="n">
        <f aca="false">IF(AND(G7&gt;0,F7&lt;G7),G7-F7,0)</f>
        <v>0</v>
      </c>
      <c r="I7" s="7" t="str">
        <f aca="false">IF(H7&gt;1,"High",IF(H7&gt;0.5,"Medium",IF(H7&gt;0,"Low","On Target")))</f>
        <v>On Target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1" t="n">
        <f aca="false">IF(E8&gt;0,D8/E8,0)</f>
        <v>0</v>
      </c>
      <c r="G8" s="17"/>
      <c r="H8" s="33" t="n">
        <f aca="false">IF(AND(G8&gt;0,F8&lt;G8),G8-F8,0)</f>
        <v>0</v>
      </c>
      <c r="I8" s="11" t="str">
        <f aca="false">IF(H8&gt;1,"High",IF(H8&gt;0.5,"Medium",IF(H8&gt;0,"Low","On Target")))</f>
        <v>On Target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34" t="n">
        <f aca="false">IF(E9&gt;0,D9/E9,0)</f>
        <v>0</v>
      </c>
      <c r="G9" s="19"/>
      <c r="H9" s="36" t="n">
        <f aca="false">IF(AND(G9&gt;0,F9&lt;G9),G9-F9,0)</f>
        <v>0</v>
      </c>
      <c r="I9" s="7" t="str">
        <f aca="false">IF(H9&gt;1,"High",IF(H9&gt;0.5,"Medium",IF(H9&gt;0,"Low","On Target")))</f>
        <v>On Target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1" t="n">
        <f aca="false">IF(E10&gt;0,D10/E10,0)</f>
        <v>0</v>
      </c>
      <c r="G10" s="17"/>
      <c r="H10" s="33" t="n">
        <f aca="false">IF(AND(G10&gt;0,F10&lt;G10),G10-F10,0)</f>
        <v>0</v>
      </c>
      <c r="I10" s="11" t="str">
        <f aca="false">IF(H10&gt;1,"High",IF(H10&gt;0.5,"Medium",IF(H10&gt;0,"Low","On Target")))</f>
        <v>On Target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34" t="n">
        <f aca="false">IF(E11&gt;0,D11/E11,0)</f>
        <v>0</v>
      </c>
      <c r="G11" s="19"/>
      <c r="H11" s="36" t="n">
        <f aca="false">IF(AND(G11&gt;0,F11&lt;G11),G11-F11,0)</f>
        <v>0</v>
      </c>
      <c r="I11" s="7" t="str">
        <f aca="false">IF(H11&gt;1,"High",IF(H11&gt;0.5,"Medium",IF(H11&gt;0,"Low","On Target")))</f>
        <v>On Target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1" t="n">
        <f aca="false">IF(E12&gt;0,D12/E12,0)</f>
        <v>0</v>
      </c>
      <c r="G12" s="17"/>
      <c r="H12" s="33" t="n">
        <f aca="false">IF(AND(G12&gt;0,F12&lt;G12),G12-F12,0)</f>
        <v>0</v>
      </c>
      <c r="I12" s="11" t="str">
        <f aca="false">IF(H12&gt;1,"High",IF(H12&gt;0.5,"Medium",IF(H12&gt;0,"Low","On Target")))</f>
        <v>On Target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34" t="n">
        <f aca="false">IF(E13&gt;0,D13/E13,0)</f>
        <v>0</v>
      </c>
      <c r="G13" s="19"/>
      <c r="H13" s="36" t="n">
        <f aca="false">IF(AND(G13&gt;0,F13&lt;G13),G13-F13,0)</f>
        <v>0</v>
      </c>
      <c r="I13" s="7" t="str">
        <f aca="false">IF(H13&gt;1,"High",IF(H13&gt;0.5,"Medium",IF(H13&gt;0,"Low","On Target")))</f>
        <v>On Target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1" t="n">
        <f aca="false">IF(E14&gt;0,D14/E14,0)</f>
        <v>0</v>
      </c>
      <c r="G14" s="17"/>
      <c r="H14" s="33" t="n">
        <f aca="false">IF(AND(G14&gt;0,F14&lt;G14),G14-F14,0)</f>
        <v>0</v>
      </c>
      <c r="I14" s="11" t="str">
        <f aca="false">IF(H14&gt;1,"High",IF(H14&gt;0.5,"Medium",IF(H14&gt;0,"Low","On Target")))</f>
        <v>On Target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34" t="n">
        <f aca="false">IF(E15&gt;0,D15/E15,0)</f>
        <v>0</v>
      </c>
      <c r="G15" s="19"/>
      <c r="H15" s="36" t="n">
        <f aca="false">IF(AND(G15&gt;0,F15&lt;G15),G15-F15,0)</f>
        <v>0</v>
      </c>
      <c r="I15" s="7" t="str">
        <f aca="false">IF(H15&gt;1,"High",IF(H15&gt;0.5,"Medium",IF(H15&gt;0,"Low","On Target")))</f>
        <v>On Target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1" t="n">
        <f aca="false">IF(E16&gt;0,D16/E16,0)</f>
        <v>0</v>
      </c>
      <c r="G16" s="17"/>
      <c r="H16" s="33" t="n">
        <f aca="false">IF(AND(G16&gt;0,F16&lt;G16),G16-F16,0)</f>
        <v>0</v>
      </c>
      <c r="I16" s="11" t="str">
        <f aca="false">IF(H16&gt;1,"High",IF(H16&gt;0.5,"Medium",IF(H16&gt;0,"Low","On Target")))</f>
        <v>On Target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34" t="n">
        <f aca="false">IF(E17&gt;0,D17/E17,0)</f>
        <v>0</v>
      </c>
      <c r="G17" s="19"/>
      <c r="H17" s="36" t="n">
        <f aca="false">IF(AND(G17&gt;0,F17&lt;G17),G17-F17,0)</f>
        <v>0</v>
      </c>
      <c r="I17" s="7" t="str">
        <f aca="false">IF(H17&gt;1,"High",IF(H17&gt;0.5,"Medium",IF(H17&gt;0,"Low","On Target")))</f>
        <v>On Target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1" t="n">
        <f aca="false">IF(E18&gt;0,D18/E18,0)</f>
        <v>0</v>
      </c>
      <c r="G18" s="17"/>
      <c r="H18" s="33" t="n">
        <f aca="false">IF(AND(G18&gt;0,F18&lt;G18),G18-F18,0)</f>
        <v>0</v>
      </c>
      <c r="I18" s="11" t="str">
        <f aca="false">IF(H18&gt;1,"High",IF(H18&gt;0.5,"Medium",IF(H18&gt;0,"Low","On Target")))</f>
        <v>On Target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34" t="n">
        <f aca="false">IF(E19&gt;0,D19/E19,0)</f>
        <v>0</v>
      </c>
      <c r="G19" s="19"/>
      <c r="H19" s="36" t="n">
        <f aca="false">IF(AND(G19&gt;0,F19&lt;G19),G19-F19,0)</f>
        <v>0</v>
      </c>
      <c r="I19" s="7" t="str">
        <f aca="false">IF(H19&gt;1,"High",IF(H19&gt;0.5,"Medium",IF(H19&gt;0,"Low","On Target")))</f>
        <v>On Target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1" t="n">
        <f aca="false">IF(E20&gt;0,D20/E20,0)</f>
        <v>0</v>
      </c>
      <c r="G20" s="17"/>
      <c r="H20" s="33" t="n">
        <f aca="false">IF(AND(G20&gt;0,F20&lt;G20),G20-F20,0)</f>
        <v>0</v>
      </c>
      <c r="I20" s="11" t="str">
        <f aca="false">IF(H20&gt;1,"High",IF(H20&gt;0.5,"Medium",IF(H20&gt;0,"Low","On Target")))</f>
        <v>On Target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34" t="n">
        <f aca="false">IF(E21&gt;0,D21/E21,0)</f>
        <v>0</v>
      </c>
      <c r="G21" s="19"/>
      <c r="H21" s="36" t="n">
        <f aca="false">IF(AND(G21&gt;0,F21&lt;G21),G21-F21,0)</f>
        <v>0</v>
      </c>
      <c r="I21" s="7" t="str">
        <f aca="false">IF(H21&gt;1,"High",IF(H21&gt;0.5,"Medium",IF(H21&gt;0,"Low","On Target")))</f>
        <v>On Target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1" t="n">
        <f aca="false">IF(E22&gt;0,D22/E22,0)</f>
        <v>0</v>
      </c>
      <c r="G22" s="17"/>
      <c r="H22" s="33" t="n">
        <f aca="false">IF(AND(G22&gt;0,F22&lt;G22),G22-F22,0)</f>
        <v>0</v>
      </c>
      <c r="I22" s="11" t="str">
        <f aca="false">IF(H22&gt;1,"High",IF(H22&gt;0.5,"Medium",IF(H22&gt;0,"Low","On Target")))</f>
        <v>On Target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34" t="n">
        <f aca="false">IF(E23&gt;0,D23/E23,0)</f>
        <v>0</v>
      </c>
      <c r="G23" s="19"/>
      <c r="H23" s="36" t="n">
        <f aca="false">IF(AND(G23&gt;0,F23&lt;G23),G23-F23,0)</f>
        <v>0</v>
      </c>
      <c r="I23" s="7" t="str">
        <f aca="false">IF(H23&gt;1,"High",IF(H23&gt;0.5,"Medium",IF(H23&gt;0,"Low","On Target")))</f>
        <v>On Target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1" t="n">
        <f aca="false">IF(E24&gt;0,D24/E24,0)</f>
        <v>0</v>
      </c>
      <c r="G24" s="17"/>
      <c r="H24" s="33" t="n">
        <f aca="false">IF(AND(G24&gt;0,F24&lt;G24),G24-F24,0)</f>
        <v>0</v>
      </c>
      <c r="I24" s="11" t="str">
        <f aca="false">IF(H24&gt;1,"High",IF(H24&gt;0.5,"Medium",IF(H24&gt;0,"Low","On Target")))</f>
        <v>On Target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34" t="n">
        <f aca="false">IF(E25&gt;0,D25/E25,0)</f>
        <v>0</v>
      </c>
      <c r="G25" s="19"/>
      <c r="H25" s="36" t="n">
        <f aca="false">IF(AND(G25&gt;0,F25&lt;G25),G25-F25,0)</f>
        <v>0</v>
      </c>
      <c r="I25" s="7" t="str">
        <f aca="false">IF(H25&gt;1,"High",IF(H25&gt;0.5,"Medium",IF(H25&gt;0,"Low","On Target")))</f>
        <v>On Target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1" t="n">
        <f aca="false">IF(E26&gt;0,D26/E26,0)</f>
        <v>0</v>
      </c>
      <c r="G26" s="17"/>
      <c r="H26" s="33" t="n">
        <f aca="false">IF(AND(G26&gt;0,F26&lt;G26),G26-F26,0)</f>
        <v>0</v>
      </c>
      <c r="I26" s="11" t="str">
        <f aca="false">IF(H26&gt;1,"High",IF(H26&gt;0.5,"Medium",IF(H26&gt;0,"Low","On Target")))</f>
        <v>On Target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34" t="n">
        <f aca="false">IF(E27&gt;0,D27/E27,0)</f>
        <v>0</v>
      </c>
      <c r="G27" s="19"/>
      <c r="H27" s="36" t="n">
        <f aca="false">IF(AND(G27&gt;0,F27&lt;G27),G27-F27,0)</f>
        <v>0</v>
      </c>
      <c r="I27" s="7" t="str">
        <f aca="false">IF(H27&gt;1,"High",IF(H27&gt;0.5,"Medium",IF(H27&gt;0,"Low","On Target")))</f>
        <v>On Target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1" t="n">
        <f aca="false">IF(E28&gt;0,D28/E28,0)</f>
        <v>0</v>
      </c>
      <c r="G28" s="17"/>
      <c r="H28" s="33" t="n">
        <f aca="false">IF(AND(G28&gt;0,F28&lt;G28),G28-F28,0)</f>
        <v>0</v>
      </c>
      <c r="I28" s="11" t="str">
        <f aca="false">IF(H28&gt;1,"High",IF(H28&gt;0.5,"Medium",IF(H28&gt;0,"Low","On Target")))</f>
        <v>On Target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34" t="n">
        <f aca="false">IF(E29&gt;0,D29/E29,0)</f>
        <v>0</v>
      </c>
      <c r="G29" s="19"/>
      <c r="H29" s="36" t="n">
        <f aca="false">IF(AND(G29&gt;0,F29&lt;G29),G29-F29,0)</f>
        <v>0</v>
      </c>
      <c r="I29" s="7" t="str">
        <f aca="false">IF(H29&gt;1,"High",IF(H29&gt;0.5,"Medium",IF(H29&gt;0,"Low","On Target")))</f>
        <v>On Target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1" t="n">
        <f aca="false">IF(E30&gt;0,D30/E30,0)</f>
        <v>0</v>
      </c>
      <c r="G30" s="17"/>
      <c r="H30" s="33" t="n">
        <f aca="false">IF(AND(G30&gt;0,F30&lt;G30),G30-F30,0)</f>
        <v>0</v>
      </c>
      <c r="I30" s="11" t="str">
        <f aca="false">IF(H30&gt;1,"High",IF(H30&gt;0.5,"Medium",IF(H30&gt;0,"Low","On Target")))</f>
        <v>On Target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34" t="n">
        <f aca="false">IF(E31&gt;0,D31/E31,0)</f>
        <v>0</v>
      </c>
      <c r="G31" s="19"/>
      <c r="H31" s="36" t="n">
        <f aca="false">IF(AND(G31&gt;0,F31&lt;G31),G31-F31,0)</f>
        <v>0</v>
      </c>
      <c r="I31" s="7" t="str">
        <f aca="false">IF(H31&gt;1,"High",IF(H31&gt;0.5,"Medium",IF(H31&gt;0,"Low","On Target")))</f>
        <v>On Target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1" t="n">
        <f aca="false">IF(E32&gt;0,D32/E32,0)</f>
        <v>0</v>
      </c>
      <c r="G32" s="17"/>
      <c r="H32" s="33" t="n">
        <f aca="false">IF(AND(G32&gt;0,F32&lt;G32),G32-F32,0)</f>
        <v>0</v>
      </c>
      <c r="I32" s="11" t="str">
        <f aca="false">IF(H32&gt;1,"High",IF(H32&gt;0.5,"Medium",IF(H32&gt;0,"Low","On Target")))</f>
        <v>On Target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34" t="n">
        <f aca="false">IF(E33&gt;0,D33/E33,0)</f>
        <v>0</v>
      </c>
      <c r="G33" s="19"/>
      <c r="H33" s="36" t="n">
        <f aca="false">IF(AND(G33&gt;0,F33&lt;G33),G33-F33,0)</f>
        <v>0</v>
      </c>
      <c r="I33" s="7" t="str">
        <f aca="false">IF(H33&gt;1,"High",IF(H33&gt;0.5,"Medium",IF(H33&gt;0,"Low","On Target")))</f>
        <v>On Target</v>
      </c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31" t="n">
        <f aca="false">IF(E34&gt;0,D34/E34,0)</f>
        <v>0</v>
      </c>
      <c r="G34" s="17"/>
      <c r="H34" s="33" t="n">
        <f aca="false">IF(AND(G34&gt;0,F34&lt;G34),G34-F34,0)</f>
        <v>0</v>
      </c>
      <c r="I34" s="11" t="str">
        <f aca="false">IF(H34&gt;1,"High",IF(H34&gt;0.5,"Medium",IF(H34&gt;0,"Low","On Target")))</f>
        <v>On Target</v>
      </c>
    </row>
    <row r="35" customFormat="false" ht="15" hidden="false" customHeight="false" outlineLevel="0" collapsed="false">
      <c r="A35" s="4" t="n">
        <v>32</v>
      </c>
      <c r="B35" s="19"/>
      <c r="C35" s="19"/>
      <c r="D35" s="19"/>
      <c r="E35" s="19"/>
      <c r="F35" s="34" t="n">
        <f aca="false">IF(E35&gt;0,D35/E35,0)</f>
        <v>0</v>
      </c>
      <c r="G35" s="19"/>
      <c r="H35" s="36" t="n">
        <f aca="false">IF(AND(G35&gt;0,F35&lt;G35),G35-F35,0)</f>
        <v>0</v>
      </c>
      <c r="I35" s="7" t="str">
        <f aca="false">IF(H35&gt;1,"High",IF(H35&gt;0.5,"Medium",IF(H35&gt;0,"Low","On Target")))</f>
        <v>On Target</v>
      </c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31" t="n">
        <f aca="false">IF(E36&gt;0,D36/E36,0)</f>
        <v>0</v>
      </c>
      <c r="G36" s="17"/>
      <c r="H36" s="33" t="n">
        <f aca="false">IF(AND(G36&gt;0,F36&lt;G36),G36-F36,0)</f>
        <v>0</v>
      </c>
      <c r="I36" s="11" t="str">
        <f aca="false">IF(H36&gt;1,"High",IF(H36&gt;0.5,"Medium",IF(H36&gt;0,"Low","On Target")))</f>
        <v>On Target</v>
      </c>
    </row>
    <row r="37" customFormat="false" ht="15" hidden="false" customHeight="false" outlineLevel="0" collapsed="false">
      <c r="A37" s="4" t="n">
        <v>34</v>
      </c>
      <c r="B37" s="19"/>
      <c r="C37" s="19"/>
      <c r="D37" s="19"/>
      <c r="E37" s="19"/>
      <c r="F37" s="34" t="n">
        <f aca="false">IF(E37&gt;0,D37/E37,0)</f>
        <v>0</v>
      </c>
      <c r="G37" s="19"/>
      <c r="H37" s="36" t="n">
        <f aca="false">IF(AND(G37&gt;0,F37&lt;G37),G37-F37,0)</f>
        <v>0</v>
      </c>
      <c r="I37" s="7" t="str">
        <f aca="false">IF(H37&gt;1,"High",IF(H37&gt;0.5,"Medium",IF(H37&gt;0,"Low","On Target")))</f>
        <v>On Target</v>
      </c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31" t="n">
        <f aca="false">IF(E38&gt;0,D38/E38,0)</f>
        <v>0</v>
      </c>
      <c r="G38" s="17"/>
      <c r="H38" s="33" t="n">
        <f aca="false">IF(AND(G38&gt;0,F38&lt;G38),G38-F38,0)</f>
        <v>0</v>
      </c>
      <c r="I38" s="11" t="str">
        <f aca="false">IF(H38&gt;1,"High",IF(H38&gt;0.5,"Medium",IF(H38&gt;0,"Low","On Target")))</f>
        <v>On Target</v>
      </c>
    </row>
    <row r="39" customFormat="false" ht="15" hidden="false" customHeight="false" outlineLevel="0" collapsed="false">
      <c r="A39" s="4" t="n">
        <v>36</v>
      </c>
      <c r="B39" s="19"/>
      <c r="C39" s="19"/>
      <c r="D39" s="19"/>
      <c r="E39" s="19"/>
      <c r="F39" s="34" t="n">
        <f aca="false">IF(E39&gt;0,D39/E39,0)</f>
        <v>0</v>
      </c>
      <c r="G39" s="19"/>
      <c r="H39" s="36" t="n">
        <f aca="false">IF(AND(G39&gt;0,F39&lt;G39),G39-F39,0)</f>
        <v>0</v>
      </c>
      <c r="I39" s="7" t="str">
        <f aca="false">IF(H39&gt;1,"High",IF(H39&gt;0.5,"Medium",IF(H39&gt;0,"Low","On Target")))</f>
        <v>On Target</v>
      </c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31" t="n">
        <f aca="false">IF(E40&gt;0,D40/E40,0)</f>
        <v>0</v>
      </c>
      <c r="G40" s="17"/>
      <c r="H40" s="33" t="n">
        <f aca="false">IF(AND(G40&gt;0,F40&lt;G40),G40-F40,0)</f>
        <v>0</v>
      </c>
      <c r="I40" s="11" t="str">
        <f aca="false">IF(H40&gt;1,"High",IF(H40&gt;0.5,"Medium",IF(H40&gt;0,"Low","On Target")))</f>
        <v>On Target</v>
      </c>
    </row>
    <row r="41" customFormat="false" ht="15" hidden="false" customHeight="false" outlineLevel="0" collapsed="false">
      <c r="A41" s="4" t="n">
        <v>38</v>
      </c>
      <c r="B41" s="19"/>
      <c r="C41" s="19"/>
      <c r="D41" s="19"/>
      <c r="E41" s="19"/>
      <c r="F41" s="34" t="n">
        <f aca="false">IF(E41&gt;0,D41/E41,0)</f>
        <v>0</v>
      </c>
      <c r="G41" s="19"/>
      <c r="H41" s="36" t="n">
        <f aca="false">IF(AND(G41&gt;0,F41&lt;G41),G41-F41,0)</f>
        <v>0</v>
      </c>
      <c r="I41" s="7" t="str">
        <f aca="false">IF(H41&gt;1,"High",IF(H41&gt;0.5,"Medium",IF(H41&gt;0,"Low","On Target")))</f>
        <v>On Target</v>
      </c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31" t="n">
        <f aca="false">IF(E42&gt;0,D42/E42,0)</f>
        <v>0</v>
      </c>
      <c r="G42" s="17"/>
      <c r="H42" s="33" t="n">
        <f aca="false">IF(AND(G42&gt;0,F42&lt;G42),G42-F42,0)</f>
        <v>0</v>
      </c>
      <c r="I42" s="11" t="str">
        <f aca="false">IF(H42&gt;1,"High",IF(H42&gt;0.5,"Medium",IF(H42&gt;0,"Low","On Target")))</f>
        <v>On Target</v>
      </c>
    </row>
    <row r="43" customFormat="false" ht="15" hidden="false" customHeight="false" outlineLevel="0" collapsed="false">
      <c r="A43" s="4" t="n">
        <v>40</v>
      </c>
      <c r="B43" s="19"/>
      <c r="C43" s="19"/>
      <c r="D43" s="19"/>
      <c r="E43" s="19"/>
      <c r="F43" s="34" t="n">
        <f aca="false">IF(E43&gt;0,D43/E43,0)</f>
        <v>0</v>
      </c>
      <c r="G43" s="19"/>
      <c r="H43" s="36" t="n">
        <f aca="false">IF(AND(G43&gt;0,F43&lt;G43),G43-F43,0)</f>
        <v>0</v>
      </c>
      <c r="I43" s="7" t="str">
        <f aca="false">IF(H43&gt;1,"High",IF(H43&gt;0.5,"Medium",IF(H43&gt;0,"Low","On Target")))</f>
        <v>On Target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2" t="s">
        <v>87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25.5" hidden="false" customHeight="true" outlineLevel="0" collapsed="false">
      <c r="A2" s="43" t="s">
        <v>88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customFormat="false" ht="23.85" hidden="false" customHeight="false" outlineLevel="0" collapsed="false">
      <c r="A3" s="44" t="s">
        <v>36</v>
      </c>
      <c r="B3" s="44" t="s">
        <v>37</v>
      </c>
      <c r="C3" s="44" t="s">
        <v>38</v>
      </c>
      <c r="D3" s="44" t="s">
        <v>89</v>
      </c>
      <c r="E3" s="44" t="s">
        <v>90</v>
      </c>
      <c r="F3" s="44" t="s">
        <v>91</v>
      </c>
      <c r="G3" s="44" t="s">
        <v>92</v>
      </c>
      <c r="H3" s="44" t="s">
        <v>93</v>
      </c>
      <c r="I3" s="44" t="s">
        <v>94</v>
      </c>
      <c r="J3" s="44" t="s">
        <v>95</v>
      </c>
      <c r="K3" s="44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8" t="n">
        <f aca="false">SUM(D4:G4)</f>
        <v>0</v>
      </c>
      <c r="I4" s="18" t="n">
        <f aca="false">IF(H4&gt;0,D4/H4*100,0)</f>
        <v>0</v>
      </c>
      <c r="J4" s="18" t="n">
        <f aca="false">IF(H4&gt;0,(D4+E4)/H4*100,0)</f>
        <v>0</v>
      </c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4" t="n">
        <f aca="false">SUM(D5:G5)</f>
        <v>0</v>
      </c>
      <c r="I5" s="20" t="n">
        <f aca="false">IF(H5&gt;0,D5/H5*100,0)</f>
        <v>0</v>
      </c>
      <c r="J5" s="20" t="n">
        <f aca="false">IF(H5&gt;0,(D5+E5)/H5*100,0)</f>
        <v>0</v>
      </c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8" t="n">
        <f aca="false">SUM(D6:G6)</f>
        <v>0</v>
      </c>
      <c r="I6" s="18" t="n">
        <f aca="false">IF(H6&gt;0,D6/H6*100,0)</f>
        <v>0</v>
      </c>
      <c r="J6" s="18" t="n">
        <f aca="false">IF(H6&gt;0,(D6+E6)/H6*100,0)</f>
        <v>0</v>
      </c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4" t="n">
        <f aca="false">SUM(D7:G7)</f>
        <v>0</v>
      </c>
      <c r="I7" s="20" t="n">
        <f aca="false">IF(H7&gt;0,D7/H7*100,0)</f>
        <v>0</v>
      </c>
      <c r="J7" s="20" t="n">
        <f aca="false">IF(H7&gt;0,(D7+E7)/H7*100,0)</f>
        <v>0</v>
      </c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8" t="n">
        <f aca="false">SUM(D8:G8)</f>
        <v>0</v>
      </c>
      <c r="I8" s="18" t="n">
        <f aca="false">IF(H8&gt;0,D8/H8*100,0)</f>
        <v>0</v>
      </c>
      <c r="J8" s="18" t="n">
        <f aca="false">IF(H8&gt;0,(D8+E8)/H8*100,0)</f>
        <v>0</v>
      </c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4" t="n">
        <f aca="false">SUM(D9:G9)</f>
        <v>0</v>
      </c>
      <c r="I9" s="20" t="n">
        <f aca="false">IF(H9&gt;0,D9/H9*100,0)</f>
        <v>0</v>
      </c>
      <c r="J9" s="20" t="n">
        <f aca="false">IF(H9&gt;0,(D9+E9)/H9*100,0)</f>
        <v>0</v>
      </c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8" t="n">
        <f aca="false">SUM(D10:G10)</f>
        <v>0</v>
      </c>
      <c r="I10" s="18" t="n">
        <f aca="false">IF(H10&gt;0,D10/H10*100,0)</f>
        <v>0</v>
      </c>
      <c r="J10" s="18" t="n">
        <f aca="false">IF(H10&gt;0,(D10+E10)/H10*100,0)</f>
        <v>0</v>
      </c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4" t="n">
        <f aca="false">SUM(D11:G11)</f>
        <v>0</v>
      </c>
      <c r="I11" s="20" t="n">
        <f aca="false">IF(H11&gt;0,D11/H11*100,0)</f>
        <v>0</v>
      </c>
      <c r="J11" s="20" t="n">
        <f aca="false">IF(H11&gt;0,(D11+E11)/H11*100,0)</f>
        <v>0</v>
      </c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8" t="n">
        <f aca="false">SUM(D12:G12)</f>
        <v>0</v>
      </c>
      <c r="I12" s="18" t="n">
        <f aca="false">IF(H12&gt;0,D12/H12*100,0)</f>
        <v>0</v>
      </c>
      <c r="J12" s="18" t="n">
        <f aca="false">IF(H12&gt;0,(D12+E12)/H12*100,0)</f>
        <v>0</v>
      </c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4" t="n">
        <f aca="false">SUM(D13:G13)</f>
        <v>0</v>
      </c>
      <c r="I13" s="20" t="n">
        <f aca="false">IF(H13&gt;0,D13/H13*100,0)</f>
        <v>0</v>
      </c>
      <c r="J13" s="20" t="n">
        <f aca="false">IF(H13&gt;0,(D13+E13)/H13*100,0)</f>
        <v>0</v>
      </c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8" t="n">
        <f aca="false">SUM(D14:G14)</f>
        <v>0</v>
      </c>
      <c r="I14" s="18" t="n">
        <f aca="false">IF(H14&gt;0,D14/H14*100,0)</f>
        <v>0</v>
      </c>
      <c r="J14" s="18" t="n">
        <f aca="false">IF(H14&gt;0,(D14+E14)/H14*100,0)</f>
        <v>0</v>
      </c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4" t="n">
        <f aca="false">SUM(D15:G15)</f>
        <v>0</v>
      </c>
      <c r="I15" s="20" t="n">
        <f aca="false">IF(H15&gt;0,D15/H15*100,0)</f>
        <v>0</v>
      </c>
      <c r="J15" s="20" t="n">
        <f aca="false">IF(H15&gt;0,(D15+E15)/H15*100,0)</f>
        <v>0</v>
      </c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8" t="n">
        <f aca="false">SUM(D16:G16)</f>
        <v>0</v>
      </c>
      <c r="I16" s="18" t="n">
        <f aca="false">IF(H16&gt;0,D16/H16*100,0)</f>
        <v>0</v>
      </c>
      <c r="J16" s="18" t="n">
        <f aca="false">IF(H16&gt;0,(D16+E16)/H16*100,0)</f>
        <v>0</v>
      </c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4" t="n">
        <f aca="false">SUM(D17:G17)</f>
        <v>0</v>
      </c>
      <c r="I17" s="20" t="n">
        <f aca="false">IF(H17&gt;0,D17/H17*100,0)</f>
        <v>0</v>
      </c>
      <c r="J17" s="20" t="n">
        <f aca="false">IF(H17&gt;0,(D17+E17)/H17*100,0)</f>
        <v>0</v>
      </c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8" t="n">
        <f aca="false">SUM(D18:G18)</f>
        <v>0</v>
      </c>
      <c r="I18" s="18" t="n">
        <f aca="false">IF(H18&gt;0,D18/H18*100,0)</f>
        <v>0</v>
      </c>
      <c r="J18" s="18" t="n">
        <f aca="false">IF(H18&gt;0,(D18+E18)/H18*100,0)</f>
        <v>0</v>
      </c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4" t="n">
        <f aca="false">SUM(D19:G19)</f>
        <v>0</v>
      </c>
      <c r="I19" s="20" t="n">
        <f aca="false">IF(H19&gt;0,D19/H19*100,0)</f>
        <v>0</v>
      </c>
      <c r="J19" s="20" t="n">
        <f aca="false">IF(H19&gt;0,(D19+E19)/H19*100,0)</f>
        <v>0</v>
      </c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8" t="n">
        <f aca="false">SUM(D20:G20)</f>
        <v>0</v>
      </c>
      <c r="I20" s="18" t="n">
        <f aca="false">IF(H20&gt;0,D20/H20*100,0)</f>
        <v>0</v>
      </c>
      <c r="J20" s="18" t="n">
        <f aca="false">IF(H20&gt;0,(D20+E20)/H20*100,0)</f>
        <v>0</v>
      </c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4" t="n">
        <f aca="false">SUM(D21:G21)</f>
        <v>0</v>
      </c>
      <c r="I21" s="20" t="n">
        <f aca="false">IF(H21&gt;0,D21/H21*100,0)</f>
        <v>0</v>
      </c>
      <c r="J21" s="20" t="n">
        <f aca="false">IF(H21&gt;0,(D21+E21)/H21*100,0)</f>
        <v>0</v>
      </c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8" t="n">
        <f aca="false">SUM(D22:G22)</f>
        <v>0</v>
      </c>
      <c r="I22" s="18" t="n">
        <f aca="false">IF(H22&gt;0,D22/H22*100,0)</f>
        <v>0</v>
      </c>
      <c r="J22" s="18" t="n">
        <f aca="false">IF(H22&gt;0,(D22+E22)/H22*100,0)</f>
        <v>0</v>
      </c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4" t="n">
        <f aca="false">SUM(D23:G23)</f>
        <v>0</v>
      </c>
      <c r="I23" s="20" t="n">
        <f aca="false">IF(H23&gt;0,D23/H23*100,0)</f>
        <v>0</v>
      </c>
      <c r="J23" s="20" t="n">
        <f aca="false">IF(H23&gt;0,(D23+E23)/H23*100,0)</f>
        <v>0</v>
      </c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8" t="n">
        <f aca="false">SUM(D24:G24)</f>
        <v>0</v>
      </c>
      <c r="I24" s="18" t="n">
        <f aca="false">IF(H24&gt;0,D24/H24*100,0)</f>
        <v>0</v>
      </c>
      <c r="J24" s="18" t="n">
        <f aca="false">IF(H24&gt;0,(D24+E24)/H24*100,0)</f>
        <v>0</v>
      </c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4" t="n">
        <f aca="false">SUM(D25:G25)</f>
        <v>0</v>
      </c>
      <c r="I25" s="20" t="n">
        <f aca="false">IF(H25&gt;0,D25/H25*100,0)</f>
        <v>0</v>
      </c>
      <c r="J25" s="20" t="n">
        <f aca="false">IF(H25&gt;0,(D25+E25)/H25*100,0)</f>
        <v>0</v>
      </c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8" t="n">
        <f aca="false">SUM(D26:G26)</f>
        <v>0</v>
      </c>
      <c r="I26" s="18" t="n">
        <f aca="false">IF(H26&gt;0,D26/H26*100,0)</f>
        <v>0</v>
      </c>
      <c r="J26" s="18" t="n">
        <f aca="false">IF(H26&gt;0,(D26+E26)/H26*100,0)</f>
        <v>0</v>
      </c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4" t="n">
        <f aca="false">SUM(D27:G27)</f>
        <v>0</v>
      </c>
      <c r="I27" s="20" t="n">
        <f aca="false">IF(H27&gt;0,D27/H27*100,0)</f>
        <v>0</v>
      </c>
      <c r="J27" s="20" t="n">
        <f aca="false">IF(H27&gt;0,(D27+E27)/H27*100,0)</f>
        <v>0</v>
      </c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8" t="n">
        <f aca="false">SUM(D28:G28)</f>
        <v>0</v>
      </c>
      <c r="I28" s="18" t="n">
        <f aca="false">IF(H28&gt;0,D28/H28*100,0)</f>
        <v>0</v>
      </c>
      <c r="J28" s="18" t="n">
        <f aca="false">IF(H28&gt;0,(D28+E28)/H28*100,0)</f>
        <v>0</v>
      </c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4" t="n">
        <f aca="false">SUM(D29:G29)</f>
        <v>0</v>
      </c>
      <c r="I29" s="20" t="n">
        <f aca="false">IF(H29&gt;0,D29/H29*100,0)</f>
        <v>0</v>
      </c>
      <c r="J29" s="20" t="n">
        <f aca="false">IF(H29&gt;0,(D29+E29)/H29*100,0)</f>
        <v>0</v>
      </c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8" t="n">
        <f aca="false">SUM(D30:G30)</f>
        <v>0</v>
      </c>
      <c r="I30" s="18" t="n">
        <f aca="false">IF(H30&gt;0,D30/H30*100,0)</f>
        <v>0</v>
      </c>
      <c r="J30" s="18" t="n">
        <f aca="false">IF(H30&gt;0,(D30+E30)/H30*100,0)</f>
        <v>0</v>
      </c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4" t="n">
        <f aca="false">SUM(D31:G31)</f>
        <v>0</v>
      </c>
      <c r="I31" s="20" t="n">
        <f aca="false">IF(H31&gt;0,D31/H31*100,0)</f>
        <v>0</v>
      </c>
      <c r="J31" s="20" t="n">
        <f aca="false">IF(H31&gt;0,(D31+E31)/H31*100,0)</f>
        <v>0</v>
      </c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8" t="n">
        <f aca="false">SUM(D32:G32)</f>
        <v>0</v>
      </c>
      <c r="I32" s="18" t="n">
        <f aca="false">IF(H32&gt;0,D32/H32*100,0)</f>
        <v>0</v>
      </c>
      <c r="J32" s="18" t="n">
        <f aca="false">IF(H32&gt;0,(D32+E32)/H32*100,0)</f>
        <v>0</v>
      </c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4" t="n">
        <f aca="false">SUM(D33:G33)</f>
        <v>0</v>
      </c>
      <c r="I33" s="20" t="n">
        <f aca="false">IF(H33&gt;0,D33/H33*100,0)</f>
        <v>0</v>
      </c>
      <c r="J33" s="20" t="n">
        <f aca="false">IF(H33&gt;0,(D33+E33)/H33*100,0)</f>
        <v>0</v>
      </c>
      <c r="K33" s="1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5" t="s">
        <v>96</v>
      </c>
      <c r="B1" s="45"/>
      <c r="C1" s="45"/>
      <c r="D1" s="45"/>
      <c r="E1" s="45"/>
      <c r="F1" s="45"/>
      <c r="G1" s="45"/>
      <c r="H1" s="45"/>
      <c r="I1" s="45"/>
    </row>
    <row r="2" customFormat="false" ht="25.5" hidden="false" customHeight="true" outlineLevel="0" collapsed="false">
      <c r="A2" s="46" t="s">
        <v>97</v>
      </c>
      <c r="B2" s="46"/>
      <c r="C2" s="46"/>
      <c r="D2" s="46"/>
      <c r="E2" s="46"/>
      <c r="F2" s="46"/>
      <c r="G2" s="46"/>
      <c r="H2" s="46"/>
      <c r="I2" s="46"/>
    </row>
    <row r="3" customFormat="false" ht="23.85" hidden="false" customHeight="false" outlineLevel="0" collapsed="false">
      <c r="A3" s="47" t="s">
        <v>36</v>
      </c>
      <c r="B3" s="47" t="s">
        <v>37</v>
      </c>
      <c r="C3" s="47" t="s">
        <v>38</v>
      </c>
      <c r="D3" s="47" t="s">
        <v>62</v>
      </c>
      <c r="E3" s="47" t="s">
        <v>98</v>
      </c>
      <c r="F3" s="47" t="s">
        <v>99</v>
      </c>
      <c r="G3" s="47" t="s">
        <v>100</v>
      </c>
      <c r="H3" s="47" t="s">
        <v>101</v>
      </c>
      <c r="I3" s="47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8" t="n">
        <f aca="false">IF(D4&gt;0,G4/D4*100,0)</f>
        <v>0</v>
      </c>
      <c r="I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20" t="n">
        <f aca="false">IF(D5&gt;0,E5/D5*100,0)</f>
        <v>0</v>
      </c>
      <c r="G5" s="19"/>
      <c r="H5" s="20" t="n">
        <f aca="false">IF(D5&gt;0,G5/D5*100,0)</f>
        <v>0</v>
      </c>
      <c r="I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8" t="n">
        <f aca="false">IF(D6&gt;0,G6/D6*100,0)</f>
        <v>0</v>
      </c>
      <c r="I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20" t="n">
        <f aca="false">IF(D7&gt;0,E7/D7*100,0)</f>
        <v>0</v>
      </c>
      <c r="G7" s="19"/>
      <c r="H7" s="20" t="n">
        <f aca="false">IF(D7&gt;0,G7/D7*100,0)</f>
        <v>0</v>
      </c>
      <c r="I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8" t="n">
        <f aca="false">IF(D8&gt;0,G8/D8*100,0)</f>
        <v>0</v>
      </c>
      <c r="I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20" t="n">
        <f aca="false">IF(D9&gt;0,E9/D9*100,0)</f>
        <v>0</v>
      </c>
      <c r="G9" s="19"/>
      <c r="H9" s="20" t="n">
        <f aca="false">IF(D9&gt;0,G9/D9*100,0)</f>
        <v>0</v>
      </c>
      <c r="I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8" t="n">
        <f aca="false">IF(D10&gt;0,G10/D10*100,0)</f>
        <v>0</v>
      </c>
      <c r="I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20" t="n">
        <f aca="false">IF(D11&gt;0,E11/D11*100,0)</f>
        <v>0</v>
      </c>
      <c r="G11" s="19"/>
      <c r="H11" s="20" t="n">
        <f aca="false">IF(D11&gt;0,G11/D11*100,0)</f>
        <v>0</v>
      </c>
      <c r="I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8" t="n">
        <f aca="false">IF(D12&gt;0,G12/D12*100,0)</f>
        <v>0</v>
      </c>
      <c r="I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20" t="n">
        <f aca="false">IF(D13&gt;0,E13/D13*100,0)</f>
        <v>0</v>
      </c>
      <c r="G13" s="19"/>
      <c r="H13" s="20" t="n">
        <f aca="false">IF(D13&gt;0,G13/D13*100,0)</f>
        <v>0</v>
      </c>
      <c r="I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8" t="n">
        <f aca="false">IF(D14&gt;0,G14/D14*100,0)</f>
        <v>0</v>
      </c>
      <c r="I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20" t="n">
        <f aca="false">IF(D15&gt;0,E15/D15*100,0)</f>
        <v>0</v>
      </c>
      <c r="G15" s="19"/>
      <c r="H15" s="20" t="n">
        <f aca="false">IF(D15&gt;0,G15/D15*100,0)</f>
        <v>0</v>
      </c>
      <c r="I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8" t="n">
        <f aca="false">IF(D16&gt;0,G16/D16*100,0)</f>
        <v>0</v>
      </c>
      <c r="I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20" t="n">
        <f aca="false">IF(D17&gt;0,E17/D17*100,0)</f>
        <v>0</v>
      </c>
      <c r="G17" s="19"/>
      <c r="H17" s="20" t="n">
        <f aca="false">IF(D17&gt;0,G17/D17*100,0)</f>
        <v>0</v>
      </c>
      <c r="I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8" t="n">
        <f aca="false">IF(D18&gt;0,G18/D18*100,0)</f>
        <v>0</v>
      </c>
      <c r="I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20" t="n">
        <f aca="false">IF(D19&gt;0,E19/D19*100,0)</f>
        <v>0</v>
      </c>
      <c r="G19" s="19"/>
      <c r="H19" s="20" t="n">
        <f aca="false">IF(D19&gt;0,G19/D19*100,0)</f>
        <v>0</v>
      </c>
      <c r="I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8" t="n">
        <f aca="false">IF(D20&gt;0,G20/D20*100,0)</f>
        <v>0</v>
      </c>
      <c r="I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20" t="n">
        <f aca="false">IF(D21&gt;0,E21/D21*100,0)</f>
        <v>0</v>
      </c>
      <c r="G21" s="19"/>
      <c r="H21" s="20" t="n">
        <f aca="false">IF(D21&gt;0,G21/D21*100,0)</f>
        <v>0</v>
      </c>
      <c r="I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8" t="n">
        <f aca="false">IF(D22&gt;0,G22/D22*100,0)</f>
        <v>0</v>
      </c>
      <c r="I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20" t="n">
        <f aca="false">IF(D23&gt;0,E23/D23*100,0)</f>
        <v>0</v>
      </c>
      <c r="G23" s="19"/>
      <c r="H23" s="20" t="n">
        <f aca="false">IF(D23&gt;0,G23/D23*100,0)</f>
        <v>0</v>
      </c>
      <c r="I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8" t="n">
        <f aca="false">IF(D24&gt;0,G24/D24*100,0)</f>
        <v>0</v>
      </c>
      <c r="I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20" t="n">
        <f aca="false">IF(D25&gt;0,E25/D25*100,0)</f>
        <v>0</v>
      </c>
      <c r="G25" s="19"/>
      <c r="H25" s="20" t="n">
        <f aca="false">IF(D25&gt;0,G25/D25*100,0)</f>
        <v>0</v>
      </c>
      <c r="I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8" t="n">
        <f aca="false">IF(D26&gt;0,G26/D26*100,0)</f>
        <v>0</v>
      </c>
      <c r="I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20" t="n">
        <f aca="false">IF(D27&gt;0,E27/D27*100,0)</f>
        <v>0</v>
      </c>
      <c r="G27" s="19"/>
      <c r="H27" s="20" t="n">
        <f aca="false">IF(D27&gt;0,G27/D27*100,0)</f>
        <v>0</v>
      </c>
      <c r="I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8" t="n">
        <f aca="false">IF(D28&gt;0,G28/D28*100,0)</f>
        <v>0</v>
      </c>
      <c r="I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20" t="n">
        <f aca="false">IF(D29&gt;0,E29/D29*100,0)</f>
        <v>0</v>
      </c>
      <c r="G29" s="19"/>
      <c r="H29" s="20" t="n">
        <f aca="false">IF(D29&gt;0,G29/D29*100,0)</f>
        <v>0</v>
      </c>
      <c r="I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8" t="n">
        <f aca="false">IF(D30&gt;0,G30/D30*100,0)</f>
        <v>0</v>
      </c>
      <c r="I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20" t="n">
        <f aca="false">IF(D31&gt;0,E31/D31*100,0)</f>
        <v>0</v>
      </c>
      <c r="G31" s="19"/>
      <c r="H31" s="20" t="n">
        <f aca="false">IF(D31&gt;0,G31/D31*100,0)</f>
        <v>0</v>
      </c>
      <c r="I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8" t="n">
        <f aca="false">IF(D32&gt;0,G32/D32*100,0)</f>
        <v>0</v>
      </c>
      <c r="I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20" t="n">
        <f aca="false">IF(D33&gt;0,E33/D33*100,0)</f>
        <v>0</v>
      </c>
      <c r="G33" s="19"/>
      <c r="H33" s="20" t="n">
        <f aca="false">IF(D33&gt;0,G33/D33*100,0)</f>
        <v>0</v>
      </c>
      <c r="I33" s="1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5" t="s">
        <v>102</v>
      </c>
      <c r="B1" s="25"/>
      <c r="C1" s="25"/>
      <c r="D1" s="25"/>
      <c r="E1" s="25"/>
      <c r="F1" s="25"/>
      <c r="G1" s="25"/>
      <c r="H1" s="25"/>
      <c r="I1" s="25"/>
    </row>
    <row r="2" customFormat="false" ht="25.5" hidden="false" customHeight="true" outlineLevel="0" collapsed="false">
      <c r="A2" s="26" t="s">
        <v>103</v>
      </c>
      <c r="B2" s="26"/>
      <c r="C2" s="26"/>
      <c r="D2" s="26"/>
      <c r="E2" s="26"/>
      <c r="F2" s="26"/>
      <c r="G2" s="26"/>
      <c r="H2" s="26"/>
      <c r="I2" s="26"/>
    </row>
    <row r="3" customFormat="false" ht="23.85" hidden="false" customHeight="false" outlineLevel="0" collapsed="false">
      <c r="A3" s="27" t="s">
        <v>36</v>
      </c>
      <c r="B3" s="27" t="s">
        <v>37</v>
      </c>
      <c r="C3" s="27" t="s">
        <v>38</v>
      </c>
      <c r="D3" s="27" t="s">
        <v>104</v>
      </c>
      <c r="E3" s="27" t="s">
        <v>105</v>
      </c>
      <c r="F3" s="27" t="s">
        <v>106</v>
      </c>
      <c r="G3" s="27" t="s">
        <v>107</v>
      </c>
      <c r="H3" s="27" t="s">
        <v>108</v>
      </c>
      <c r="I3" s="27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8" t="n">
        <f aca="false">IF(D4&gt;0,G4/D4*100,0)</f>
        <v>0</v>
      </c>
      <c r="I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20" t="n">
        <f aca="false">IF(D5&gt;0,E5/D5*100,0)</f>
        <v>0</v>
      </c>
      <c r="G5" s="19"/>
      <c r="H5" s="20" t="n">
        <f aca="false">IF(D5&gt;0,G5/D5*100,0)</f>
        <v>0</v>
      </c>
      <c r="I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8" t="n">
        <f aca="false">IF(D6&gt;0,G6/D6*100,0)</f>
        <v>0</v>
      </c>
      <c r="I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20" t="n">
        <f aca="false">IF(D7&gt;0,E7/D7*100,0)</f>
        <v>0</v>
      </c>
      <c r="G7" s="19"/>
      <c r="H7" s="20" t="n">
        <f aca="false">IF(D7&gt;0,G7/D7*100,0)</f>
        <v>0</v>
      </c>
      <c r="I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8" t="n">
        <f aca="false">IF(D8&gt;0,G8/D8*100,0)</f>
        <v>0</v>
      </c>
      <c r="I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20" t="n">
        <f aca="false">IF(D9&gt;0,E9/D9*100,0)</f>
        <v>0</v>
      </c>
      <c r="G9" s="19"/>
      <c r="H9" s="20" t="n">
        <f aca="false">IF(D9&gt;0,G9/D9*100,0)</f>
        <v>0</v>
      </c>
      <c r="I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8" t="n">
        <f aca="false">IF(D10&gt;0,G10/D10*100,0)</f>
        <v>0</v>
      </c>
      <c r="I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20" t="n">
        <f aca="false">IF(D11&gt;0,E11/D11*100,0)</f>
        <v>0</v>
      </c>
      <c r="G11" s="19"/>
      <c r="H11" s="20" t="n">
        <f aca="false">IF(D11&gt;0,G11/D11*100,0)</f>
        <v>0</v>
      </c>
      <c r="I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8" t="n">
        <f aca="false">IF(D12&gt;0,G12/D12*100,0)</f>
        <v>0</v>
      </c>
      <c r="I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20" t="n">
        <f aca="false">IF(D13&gt;0,E13/D13*100,0)</f>
        <v>0</v>
      </c>
      <c r="G13" s="19"/>
      <c r="H13" s="20" t="n">
        <f aca="false">IF(D13&gt;0,G13/D13*100,0)</f>
        <v>0</v>
      </c>
      <c r="I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8" t="n">
        <f aca="false">IF(D14&gt;0,G14/D14*100,0)</f>
        <v>0</v>
      </c>
      <c r="I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20" t="n">
        <f aca="false">IF(D15&gt;0,E15/D15*100,0)</f>
        <v>0</v>
      </c>
      <c r="G15" s="19"/>
      <c r="H15" s="20" t="n">
        <f aca="false">IF(D15&gt;0,G15/D15*100,0)</f>
        <v>0</v>
      </c>
      <c r="I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8" t="n">
        <f aca="false">IF(D16&gt;0,G16/D16*100,0)</f>
        <v>0</v>
      </c>
      <c r="I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20" t="n">
        <f aca="false">IF(D17&gt;0,E17/D17*100,0)</f>
        <v>0</v>
      </c>
      <c r="G17" s="19"/>
      <c r="H17" s="20" t="n">
        <f aca="false">IF(D17&gt;0,G17/D17*100,0)</f>
        <v>0</v>
      </c>
      <c r="I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8" t="n">
        <f aca="false">IF(D18&gt;0,G18/D18*100,0)</f>
        <v>0</v>
      </c>
      <c r="I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20" t="n">
        <f aca="false">IF(D19&gt;0,E19/D19*100,0)</f>
        <v>0</v>
      </c>
      <c r="G19" s="19"/>
      <c r="H19" s="20" t="n">
        <f aca="false">IF(D19&gt;0,G19/D19*100,0)</f>
        <v>0</v>
      </c>
      <c r="I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8" t="n">
        <f aca="false">IF(D20&gt;0,G20/D20*100,0)</f>
        <v>0</v>
      </c>
      <c r="I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20" t="n">
        <f aca="false">IF(D21&gt;0,E21/D21*100,0)</f>
        <v>0</v>
      </c>
      <c r="G21" s="19"/>
      <c r="H21" s="20" t="n">
        <f aca="false">IF(D21&gt;0,G21/D21*100,0)</f>
        <v>0</v>
      </c>
      <c r="I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8" t="n">
        <f aca="false">IF(D22&gt;0,G22/D22*100,0)</f>
        <v>0</v>
      </c>
      <c r="I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20" t="n">
        <f aca="false">IF(D23&gt;0,E23/D23*100,0)</f>
        <v>0</v>
      </c>
      <c r="G23" s="19"/>
      <c r="H23" s="20" t="n">
        <f aca="false">IF(D23&gt;0,G23/D23*100,0)</f>
        <v>0</v>
      </c>
      <c r="I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8" t="n">
        <f aca="false">IF(D24&gt;0,G24/D24*100,0)</f>
        <v>0</v>
      </c>
      <c r="I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20" t="n">
        <f aca="false">IF(D25&gt;0,E25/D25*100,0)</f>
        <v>0</v>
      </c>
      <c r="G25" s="19"/>
      <c r="H25" s="20" t="n">
        <f aca="false">IF(D25&gt;0,G25/D25*100,0)</f>
        <v>0</v>
      </c>
      <c r="I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8" t="n">
        <f aca="false">IF(D26&gt;0,G26/D26*100,0)</f>
        <v>0</v>
      </c>
      <c r="I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20" t="n">
        <f aca="false">IF(D27&gt;0,E27/D27*100,0)</f>
        <v>0</v>
      </c>
      <c r="G27" s="19"/>
      <c r="H27" s="20" t="n">
        <f aca="false">IF(D27&gt;0,G27/D27*100,0)</f>
        <v>0</v>
      </c>
      <c r="I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8" t="n">
        <f aca="false">IF(D28&gt;0,G28/D28*100,0)</f>
        <v>0</v>
      </c>
      <c r="I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20" t="n">
        <f aca="false">IF(D29&gt;0,E29/D29*100,0)</f>
        <v>0</v>
      </c>
      <c r="G29" s="19"/>
      <c r="H29" s="20" t="n">
        <f aca="false">IF(D29&gt;0,G29/D29*100,0)</f>
        <v>0</v>
      </c>
      <c r="I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8" t="n">
        <f aca="false">IF(D30&gt;0,G30/D30*100,0)</f>
        <v>0</v>
      </c>
      <c r="I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20" t="n">
        <f aca="false">IF(D31&gt;0,E31/D31*100,0)</f>
        <v>0</v>
      </c>
      <c r="G31" s="19"/>
      <c r="H31" s="20" t="n">
        <f aca="false">IF(D31&gt;0,G31/D31*100,0)</f>
        <v>0</v>
      </c>
      <c r="I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8" t="n">
        <f aca="false">IF(D32&gt;0,G32/D32*100,0)</f>
        <v>0</v>
      </c>
      <c r="I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20" t="n">
        <f aca="false">IF(D33&gt;0,E33/D33*100,0)</f>
        <v>0</v>
      </c>
      <c r="G33" s="19"/>
      <c r="H33" s="20" t="n">
        <f aca="false">IF(D33&gt;0,G33/D33*100,0)</f>
        <v>0</v>
      </c>
      <c r="I33" s="1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48" t="s">
        <v>109</v>
      </c>
      <c r="B1" s="48"/>
      <c r="C1" s="48"/>
      <c r="D1" s="48"/>
      <c r="E1" s="48"/>
    </row>
    <row r="3" customFormat="false" ht="15" hidden="false" customHeight="false" outlineLevel="0" collapsed="false">
      <c r="A3" s="49" t="s">
        <v>2</v>
      </c>
      <c r="B3" s="49" t="s">
        <v>110</v>
      </c>
      <c r="C3" s="49" t="s">
        <v>111</v>
      </c>
      <c r="D3" s="49" t="s">
        <v>112</v>
      </c>
      <c r="E3" s="49" t="s">
        <v>113</v>
      </c>
    </row>
    <row r="4" customFormat="false" ht="27.75" hidden="false" customHeight="true" outlineLevel="0" collapsed="false">
      <c r="A4" s="8" t="n">
        <v>1</v>
      </c>
      <c r="B4" s="11" t="s">
        <v>114</v>
      </c>
      <c r="C4" s="10" t="s">
        <v>115</v>
      </c>
      <c r="D4" s="50" t="s">
        <v>116</v>
      </c>
      <c r="E4" s="10" t="s">
        <v>117</v>
      </c>
    </row>
    <row r="5" customFormat="false" ht="27.75" hidden="false" customHeight="true" outlineLevel="0" collapsed="false">
      <c r="A5" s="4" t="n">
        <v>2</v>
      </c>
      <c r="B5" s="7" t="s">
        <v>114</v>
      </c>
      <c r="C5" s="6" t="s">
        <v>118</v>
      </c>
      <c r="D5" s="50" t="s">
        <v>116</v>
      </c>
      <c r="E5" s="6" t="s">
        <v>119</v>
      </c>
    </row>
    <row r="6" customFormat="false" ht="27.75" hidden="false" customHeight="true" outlineLevel="0" collapsed="false">
      <c r="A6" s="8" t="n">
        <v>3</v>
      </c>
      <c r="B6" s="11" t="s">
        <v>114</v>
      </c>
      <c r="C6" s="10" t="s">
        <v>120</v>
      </c>
      <c r="D6" s="50" t="s">
        <v>116</v>
      </c>
      <c r="E6" s="10" t="s">
        <v>121</v>
      </c>
    </row>
    <row r="7" customFormat="false" ht="27.75" hidden="false" customHeight="true" outlineLevel="0" collapsed="false">
      <c r="A7" s="4" t="n">
        <v>4</v>
      </c>
      <c r="B7" s="7" t="s">
        <v>114</v>
      </c>
      <c r="C7" s="6" t="s">
        <v>122</v>
      </c>
      <c r="D7" s="51" t="s">
        <v>123</v>
      </c>
      <c r="E7" s="6" t="s">
        <v>124</v>
      </c>
    </row>
    <row r="8" customFormat="false" ht="27.75" hidden="false" customHeight="true" outlineLevel="0" collapsed="false">
      <c r="A8" s="8" t="n">
        <v>5</v>
      </c>
      <c r="B8" s="11" t="s">
        <v>114</v>
      </c>
      <c r="C8" s="10" t="s">
        <v>125</v>
      </c>
      <c r="D8" s="51" t="s">
        <v>123</v>
      </c>
      <c r="E8" s="10" t="s">
        <v>126</v>
      </c>
    </row>
    <row r="9" customFormat="false" ht="27.75" hidden="false" customHeight="true" outlineLevel="0" collapsed="false">
      <c r="A9" s="4" t="n">
        <v>6</v>
      </c>
      <c r="B9" s="7" t="s">
        <v>114</v>
      </c>
      <c r="C9" s="6" t="s">
        <v>127</v>
      </c>
      <c r="D9" s="51" t="s">
        <v>123</v>
      </c>
      <c r="E9" s="6" t="s">
        <v>128</v>
      </c>
    </row>
    <row r="10" customFormat="false" ht="27.75" hidden="false" customHeight="true" outlineLevel="0" collapsed="false">
      <c r="A10" s="8" t="n">
        <v>7</v>
      </c>
      <c r="B10" s="11" t="s">
        <v>114</v>
      </c>
      <c r="C10" s="10" t="s">
        <v>129</v>
      </c>
      <c r="D10" s="51" t="s">
        <v>123</v>
      </c>
      <c r="E10" s="10" t="s">
        <v>130</v>
      </c>
    </row>
    <row r="11" customFormat="false" ht="27.75" hidden="false" customHeight="true" outlineLevel="0" collapsed="false">
      <c r="A11" s="4" t="n">
        <v>8</v>
      </c>
      <c r="B11" s="7" t="s">
        <v>114</v>
      </c>
      <c r="C11" s="6" t="s">
        <v>131</v>
      </c>
      <c r="D11" s="51" t="s">
        <v>123</v>
      </c>
      <c r="E11" s="6" t="s">
        <v>132</v>
      </c>
    </row>
    <row r="12" customFormat="false" ht="27.75" hidden="false" customHeight="true" outlineLevel="0" collapsed="false">
      <c r="A12" s="8" t="n">
        <v>9</v>
      </c>
      <c r="B12" s="11" t="s">
        <v>114</v>
      </c>
      <c r="C12" s="10" t="s">
        <v>133</v>
      </c>
      <c r="D12" s="52" t="s">
        <v>134</v>
      </c>
      <c r="E12" s="10" t="s">
        <v>135</v>
      </c>
    </row>
    <row r="13" customFormat="false" ht="27.75" hidden="false" customHeight="true" outlineLevel="0" collapsed="false">
      <c r="A13" s="4" t="n">
        <v>10</v>
      </c>
      <c r="B13" s="7" t="s">
        <v>136</v>
      </c>
      <c r="C13" s="6" t="s">
        <v>137</v>
      </c>
      <c r="D13" s="50" t="s">
        <v>138</v>
      </c>
      <c r="E13" s="6" t="s">
        <v>139</v>
      </c>
    </row>
    <row r="14" customFormat="false" ht="27.75" hidden="false" customHeight="true" outlineLevel="0" collapsed="false">
      <c r="A14" s="8" t="n">
        <v>11</v>
      </c>
      <c r="B14" s="11" t="s">
        <v>136</v>
      </c>
      <c r="C14" s="10" t="s">
        <v>140</v>
      </c>
      <c r="D14" s="50" t="s">
        <v>141</v>
      </c>
      <c r="E14" s="10" t="s">
        <v>142</v>
      </c>
    </row>
    <row r="15" customFormat="false" ht="27.75" hidden="false" customHeight="true" outlineLevel="0" collapsed="false">
      <c r="A15" s="4" t="n">
        <v>12</v>
      </c>
      <c r="B15" s="7" t="s">
        <v>136</v>
      </c>
      <c r="C15" s="6" t="s">
        <v>143</v>
      </c>
      <c r="D15" s="50" t="s">
        <v>144</v>
      </c>
      <c r="E15" s="6" t="s">
        <v>145</v>
      </c>
    </row>
    <row r="16" customFormat="false" ht="27.75" hidden="false" customHeight="true" outlineLevel="0" collapsed="false">
      <c r="A16" s="8" t="n">
        <v>13</v>
      </c>
      <c r="B16" s="11" t="s">
        <v>136</v>
      </c>
      <c r="C16" s="10" t="s">
        <v>146</v>
      </c>
      <c r="D16" s="50" t="s">
        <v>147</v>
      </c>
      <c r="E16" s="10" t="s">
        <v>148</v>
      </c>
    </row>
    <row r="17" customFormat="false" ht="27.75" hidden="false" customHeight="true" outlineLevel="0" collapsed="false">
      <c r="A17" s="4" t="n">
        <v>14</v>
      </c>
      <c r="B17" s="7" t="s">
        <v>149</v>
      </c>
      <c r="C17" s="6" t="s">
        <v>150</v>
      </c>
      <c r="D17" s="50" t="s">
        <v>151</v>
      </c>
      <c r="E17" s="6" t="s">
        <v>152</v>
      </c>
    </row>
    <row r="18" customFormat="false" ht="27.75" hidden="false" customHeight="true" outlineLevel="0" collapsed="false">
      <c r="A18" s="8" t="n">
        <v>15</v>
      </c>
      <c r="B18" s="11" t="s">
        <v>149</v>
      </c>
      <c r="C18" s="10" t="s">
        <v>153</v>
      </c>
      <c r="D18" s="51" t="s">
        <v>123</v>
      </c>
      <c r="E18" s="10" t="s">
        <v>154</v>
      </c>
    </row>
    <row r="19" customFormat="false" ht="27.75" hidden="false" customHeight="true" outlineLevel="0" collapsed="false">
      <c r="A19" s="4" t="n">
        <v>16</v>
      </c>
      <c r="B19" s="7" t="s">
        <v>149</v>
      </c>
      <c r="C19" s="6" t="s">
        <v>155</v>
      </c>
      <c r="D19" s="51" t="s">
        <v>123</v>
      </c>
      <c r="E19" s="6" t="s">
        <v>156</v>
      </c>
    </row>
    <row r="20" customFormat="false" ht="27.75" hidden="false" customHeight="true" outlineLevel="0" collapsed="false">
      <c r="A20" s="8" t="n">
        <v>17</v>
      </c>
      <c r="B20" s="11" t="s">
        <v>157</v>
      </c>
      <c r="C20" s="10" t="s">
        <v>158</v>
      </c>
      <c r="D20" s="50" t="s">
        <v>151</v>
      </c>
      <c r="E20" s="10" t="s">
        <v>159</v>
      </c>
    </row>
    <row r="21" customFormat="false" ht="27.75" hidden="false" customHeight="true" outlineLevel="0" collapsed="false">
      <c r="A21" s="4" t="n">
        <v>18</v>
      </c>
      <c r="B21" s="7" t="s">
        <v>157</v>
      </c>
      <c r="C21" s="6" t="s">
        <v>160</v>
      </c>
      <c r="D21" s="51" t="s">
        <v>161</v>
      </c>
      <c r="E21" s="6" t="s">
        <v>162</v>
      </c>
    </row>
    <row r="22" customFormat="false" ht="27.75" hidden="false" customHeight="true" outlineLevel="0" collapsed="false">
      <c r="A22" s="8" t="n">
        <v>19</v>
      </c>
      <c r="B22" s="11" t="s">
        <v>163</v>
      </c>
      <c r="C22" s="10" t="s">
        <v>164</v>
      </c>
      <c r="D22" s="50" t="s">
        <v>151</v>
      </c>
      <c r="E22" s="10" t="s">
        <v>165</v>
      </c>
    </row>
    <row r="23" customFormat="false" ht="27.75" hidden="false" customHeight="true" outlineLevel="0" collapsed="false">
      <c r="A23" s="4" t="n">
        <v>20</v>
      </c>
      <c r="B23" s="7" t="s">
        <v>163</v>
      </c>
      <c r="C23" s="6" t="s">
        <v>166</v>
      </c>
      <c r="D23" s="51" t="s">
        <v>123</v>
      </c>
      <c r="E23" s="6" t="s">
        <v>167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5" t="s">
        <v>168</v>
      </c>
      <c r="B1" s="45"/>
      <c r="C1" s="45"/>
      <c r="D1" s="45"/>
      <c r="E1" s="45"/>
      <c r="F1" s="45"/>
      <c r="G1" s="45"/>
    </row>
    <row r="3" customFormat="false" ht="15" hidden="false" customHeight="false" outlineLevel="0" collapsed="false">
      <c r="A3" s="47" t="s">
        <v>2</v>
      </c>
      <c r="B3" s="47" t="s">
        <v>37</v>
      </c>
      <c r="C3" s="47" t="s">
        <v>169</v>
      </c>
      <c r="D3" s="47" t="s">
        <v>170</v>
      </c>
      <c r="E3" s="47" t="s">
        <v>171</v>
      </c>
      <c r="F3" s="47" t="s">
        <v>172</v>
      </c>
      <c r="G3" s="47" t="s">
        <v>173</v>
      </c>
    </row>
    <row r="4" customFormat="false" ht="27.75" hidden="false" customHeight="true" outlineLevel="0" collapsed="false">
      <c r="A4" s="8" t="n">
        <v>1</v>
      </c>
      <c r="B4" s="17"/>
      <c r="C4" s="10" t="s">
        <v>174</v>
      </c>
      <c r="D4" s="11" t="s">
        <v>175</v>
      </c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9"/>
      <c r="C5" s="6" t="s">
        <v>176</v>
      </c>
      <c r="D5" s="7" t="s">
        <v>175</v>
      </c>
      <c r="E5" s="19"/>
      <c r="F5" s="19"/>
      <c r="G5" s="19"/>
    </row>
    <row r="6" customFormat="false" ht="27.75" hidden="false" customHeight="true" outlineLevel="0" collapsed="false">
      <c r="A6" s="8" t="n">
        <v>3</v>
      </c>
      <c r="B6" s="17"/>
      <c r="C6" s="10" t="s">
        <v>177</v>
      </c>
      <c r="D6" s="11" t="s">
        <v>175</v>
      </c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9"/>
      <c r="C7" s="6" t="s">
        <v>178</v>
      </c>
      <c r="D7" s="7" t="s">
        <v>175</v>
      </c>
      <c r="E7" s="19"/>
      <c r="F7" s="19"/>
      <c r="G7" s="19"/>
    </row>
    <row r="8" customFormat="false" ht="27.75" hidden="false" customHeight="true" outlineLevel="0" collapsed="false">
      <c r="A8" s="8" t="n">
        <v>5</v>
      </c>
      <c r="B8" s="17"/>
      <c r="C8" s="10" t="s">
        <v>179</v>
      </c>
      <c r="D8" s="11" t="s">
        <v>175</v>
      </c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9"/>
      <c r="C9" s="6" t="s">
        <v>180</v>
      </c>
      <c r="D9" s="7" t="s">
        <v>181</v>
      </c>
      <c r="E9" s="19"/>
      <c r="F9" s="19"/>
      <c r="G9" s="19"/>
    </row>
    <row r="10" customFormat="false" ht="27.75" hidden="false" customHeight="true" outlineLevel="0" collapsed="false">
      <c r="A10" s="8" t="n">
        <v>7</v>
      </c>
      <c r="B10" s="17"/>
      <c r="C10" s="10" t="s">
        <v>182</v>
      </c>
      <c r="D10" s="11" t="s">
        <v>181</v>
      </c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9"/>
      <c r="C11" s="6" t="s">
        <v>183</v>
      </c>
      <c r="D11" s="7" t="s">
        <v>181</v>
      </c>
      <c r="E11" s="19"/>
      <c r="F11" s="19"/>
      <c r="G11" s="19"/>
    </row>
    <row r="12" customFormat="false" ht="27.75" hidden="false" customHeight="true" outlineLevel="0" collapsed="false">
      <c r="A12" s="8" t="n">
        <v>9</v>
      </c>
      <c r="B12" s="17"/>
      <c r="C12" s="10" t="s">
        <v>184</v>
      </c>
      <c r="D12" s="11" t="s">
        <v>181</v>
      </c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9"/>
      <c r="C13" s="6" t="s">
        <v>185</v>
      </c>
      <c r="D13" s="7" t="s">
        <v>181</v>
      </c>
      <c r="E13" s="19"/>
      <c r="F13" s="19"/>
      <c r="G13" s="19"/>
    </row>
    <row r="14" customFormat="false" ht="27.75" hidden="false" customHeight="true" outlineLevel="0" collapsed="false">
      <c r="A14" s="8" t="n">
        <v>11</v>
      </c>
      <c r="B14" s="17"/>
      <c r="C14" s="10" t="s">
        <v>186</v>
      </c>
      <c r="D14" s="11" t="s">
        <v>181</v>
      </c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9"/>
      <c r="C15" s="6" t="s">
        <v>187</v>
      </c>
      <c r="D15" s="7" t="s">
        <v>188</v>
      </c>
      <c r="E15" s="19"/>
      <c r="F15" s="19"/>
      <c r="G15" s="19"/>
    </row>
    <row r="16" customFormat="false" ht="27.75" hidden="false" customHeight="true" outlineLevel="0" collapsed="false">
      <c r="A16" s="8" t="n">
        <v>13</v>
      </c>
      <c r="B16" s="17"/>
      <c r="C16" s="10" t="s">
        <v>189</v>
      </c>
      <c r="D16" s="11" t="s">
        <v>188</v>
      </c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9"/>
      <c r="C17" s="6" t="s">
        <v>190</v>
      </c>
      <c r="D17" s="7" t="s">
        <v>188</v>
      </c>
      <c r="E17" s="19"/>
      <c r="F17" s="19"/>
      <c r="G17" s="19"/>
    </row>
    <row r="18" customFormat="false" ht="27.75" hidden="false" customHeight="true" outlineLevel="0" collapsed="false">
      <c r="A18" s="8" t="n">
        <v>15</v>
      </c>
      <c r="B18" s="17"/>
      <c r="C18" s="10" t="s">
        <v>191</v>
      </c>
      <c r="D18" s="11" t="s">
        <v>188</v>
      </c>
      <c r="E18" s="17"/>
      <c r="F18" s="17"/>
      <c r="G18" s="17"/>
    </row>
    <row r="20" customFormat="false" ht="25.5" hidden="false" customHeight="true" outlineLevel="0" collapsed="false">
      <c r="A20" s="26" t="s">
        <v>192</v>
      </c>
      <c r="B20" s="26"/>
      <c r="C20" s="26"/>
      <c r="D20" s="26"/>
      <c r="E20" s="26"/>
      <c r="F20" s="26"/>
      <c r="G20" s="26"/>
    </row>
    <row r="21" customFormat="false" ht="15" hidden="false" customHeight="true" outlineLevel="0" collapsed="false">
      <c r="A21" s="37" t="s">
        <v>193</v>
      </c>
      <c r="B21" s="37"/>
      <c r="C21" s="37"/>
      <c r="D21" s="53" t="n">
        <f aca="false">COUNTIF(E4:E18,"Done")</f>
        <v>0</v>
      </c>
      <c r="E21" s="39"/>
      <c r="F21" s="39"/>
      <c r="G21" s="39"/>
    </row>
    <row r="22" customFormat="false" ht="15" hidden="false" customHeight="true" outlineLevel="0" collapsed="false">
      <c r="A22" s="37" t="s">
        <v>194</v>
      </c>
      <c r="B22" s="37"/>
      <c r="C22" s="37"/>
      <c r="D22" s="53" t="n">
        <f aca="false">COUNTIF(E4:E18,"IP")</f>
        <v>0</v>
      </c>
      <c r="E22" s="39"/>
      <c r="F22" s="39"/>
      <c r="G22" s="39"/>
    </row>
    <row r="23" customFormat="false" ht="15" hidden="false" customHeight="true" outlineLevel="0" collapsed="false">
      <c r="A23" s="37" t="s">
        <v>195</v>
      </c>
      <c r="B23" s="37"/>
      <c r="C23" s="37"/>
      <c r="D23" s="53" t="n">
        <f aca="false">IFERROR(COUNTIF(E4:E18,"Done")/15*100,0)</f>
        <v>0</v>
      </c>
      <c r="E23" s="39"/>
      <c r="F23" s="39"/>
      <c r="G23" s="39"/>
    </row>
  </sheetData>
  <mergeCells count="5">
    <mergeCell ref="A1:G1"/>
    <mergeCell ref="A20:G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8" t="s">
        <v>196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30" t="s">
        <v>36</v>
      </c>
      <c r="B3" s="30" t="s">
        <v>197</v>
      </c>
      <c r="C3" s="30" t="s">
        <v>198</v>
      </c>
      <c r="D3" s="30" t="s">
        <v>82</v>
      </c>
      <c r="E3" s="30" t="s">
        <v>199</v>
      </c>
      <c r="F3" s="30" t="s">
        <v>200</v>
      </c>
      <c r="G3" s="30" t="s">
        <v>201</v>
      </c>
    </row>
    <row r="4" customFormat="false" ht="15" hidden="false" customHeight="false" outlineLevel="0" collapsed="false">
      <c r="A4" s="54" t="n">
        <v>1</v>
      </c>
      <c r="B4" s="55" t="s">
        <v>202</v>
      </c>
      <c r="C4" s="56"/>
      <c r="D4" s="56"/>
      <c r="E4" s="56"/>
      <c r="F4" s="56"/>
      <c r="G4" s="54" t="s">
        <v>203</v>
      </c>
    </row>
    <row r="5" customFormat="false" ht="15" hidden="false" customHeight="false" outlineLevel="0" collapsed="false">
      <c r="A5" s="4" t="n">
        <v>2</v>
      </c>
      <c r="B5" s="5" t="s">
        <v>204</v>
      </c>
      <c r="C5" s="19"/>
      <c r="D5" s="19"/>
      <c r="E5" s="19"/>
      <c r="F5" s="19"/>
      <c r="G5" s="4" t="s">
        <v>205</v>
      </c>
    </row>
    <row r="6" customFormat="false" ht="15" hidden="false" customHeight="false" outlineLevel="0" collapsed="false">
      <c r="A6" s="8" t="n">
        <v>3</v>
      </c>
      <c r="B6" s="9" t="s">
        <v>206</v>
      </c>
      <c r="C6" s="17"/>
      <c r="D6" s="17"/>
      <c r="E6" s="17"/>
      <c r="F6" s="17"/>
      <c r="G6" s="8" t="s">
        <v>207</v>
      </c>
    </row>
    <row r="7" customFormat="false" ht="15" hidden="false" customHeight="false" outlineLevel="0" collapsed="false">
      <c r="A7" s="4" t="n">
        <v>4</v>
      </c>
      <c r="B7" s="5" t="s">
        <v>208</v>
      </c>
      <c r="C7" s="19"/>
      <c r="D7" s="19"/>
      <c r="E7" s="19"/>
      <c r="F7" s="19"/>
      <c r="G7" s="4" t="s">
        <v>209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A9" s="4" t="n">
        <v>2</v>
      </c>
      <c r="B9" s="19"/>
      <c r="C9" s="19"/>
      <c r="D9" s="19"/>
      <c r="E9" s="19"/>
      <c r="F9" s="19"/>
      <c r="G9" s="19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4" t="n">
        <v>4</v>
      </c>
      <c r="B11" s="19"/>
      <c r="C11" s="19"/>
      <c r="D11" s="19"/>
      <c r="E11" s="19"/>
      <c r="F11" s="19"/>
      <c r="G11" s="19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4" t="n">
        <v>6</v>
      </c>
      <c r="B13" s="19"/>
      <c r="C13" s="19"/>
      <c r="D13" s="19"/>
      <c r="E13" s="19"/>
      <c r="F13" s="19"/>
      <c r="G13" s="19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4" t="n">
        <v>8</v>
      </c>
      <c r="B15" s="19"/>
      <c r="C15" s="19"/>
      <c r="D15" s="19"/>
      <c r="E15" s="19"/>
      <c r="F15" s="19"/>
      <c r="G15" s="19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</row>
    <row r="17" customFormat="false" ht="15" hidden="false" customHeight="false" outlineLevel="0" collapsed="false">
      <c r="A17" s="4" t="n">
        <v>10</v>
      </c>
      <c r="B17" s="19"/>
      <c r="C17" s="19"/>
      <c r="D17" s="19"/>
      <c r="E17" s="19"/>
      <c r="F17" s="19"/>
      <c r="G17" s="19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</row>
    <row r="19" customFormat="false" ht="15" hidden="false" customHeight="false" outlineLevel="0" collapsed="false">
      <c r="A19" s="4" t="n">
        <v>12</v>
      </c>
      <c r="B19" s="19"/>
      <c r="C19" s="19"/>
      <c r="D19" s="19"/>
      <c r="E19" s="19"/>
      <c r="F19" s="19"/>
      <c r="G19" s="19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</row>
    <row r="21" customFormat="false" ht="15" hidden="false" customHeight="false" outlineLevel="0" collapsed="false">
      <c r="A21" s="4" t="n">
        <v>14</v>
      </c>
      <c r="B21" s="19"/>
      <c r="C21" s="19"/>
      <c r="D21" s="19"/>
      <c r="E21" s="19"/>
      <c r="F21" s="19"/>
      <c r="G21" s="19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48" t="s">
        <v>210</v>
      </c>
      <c r="B1" s="48"/>
      <c r="C1" s="48"/>
      <c r="D1" s="48"/>
      <c r="E1" s="48"/>
      <c r="F1" s="48"/>
    </row>
    <row r="3" customFormat="false" ht="15" hidden="false" customHeight="false" outlineLevel="0" collapsed="false">
      <c r="A3" s="49" t="s">
        <v>2</v>
      </c>
      <c r="B3" s="49" t="s">
        <v>211</v>
      </c>
      <c r="C3" s="49" t="s">
        <v>212</v>
      </c>
      <c r="D3" s="49" t="s">
        <v>213</v>
      </c>
      <c r="E3" s="49" t="s">
        <v>214</v>
      </c>
      <c r="F3" s="49" t="s">
        <v>215</v>
      </c>
    </row>
    <row r="4" customFormat="false" ht="49.5" hidden="false" customHeight="true" outlineLevel="0" collapsed="false">
      <c r="A4" s="8" t="n">
        <v>1</v>
      </c>
      <c r="B4" s="9" t="s">
        <v>216</v>
      </c>
      <c r="C4" s="11" t="s">
        <v>217</v>
      </c>
      <c r="D4" s="10" t="s">
        <v>218</v>
      </c>
      <c r="E4" s="10" t="s">
        <v>219</v>
      </c>
      <c r="F4" s="17"/>
    </row>
    <row r="5" customFormat="false" ht="49.5" hidden="false" customHeight="true" outlineLevel="0" collapsed="false">
      <c r="A5" s="4" t="n">
        <v>2</v>
      </c>
      <c r="B5" s="5" t="s">
        <v>220</v>
      </c>
      <c r="C5" s="7" t="s">
        <v>217</v>
      </c>
      <c r="D5" s="6" t="s">
        <v>221</v>
      </c>
      <c r="E5" s="6" t="s">
        <v>222</v>
      </c>
      <c r="F5" s="19"/>
    </row>
    <row r="6" customFormat="false" ht="49.5" hidden="false" customHeight="true" outlineLevel="0" collapsed="false">
      <c r="A6" s="8" t="n">
        <v>3</v>
      </c>
      <c r="B6" s="9" t="s">
        <v>223</v>
      </c>
      <c r="C6" s="11" t="s">
        <v>224</v>
      </c>
      <c r="D6" s="10" t="s">
        <v>225</v>
      </c>
      <c r="E6" s="10" t="s">
        <v>226</v>
      </c>
      <c r="F6" s="17"/>
    </row>
    <row r="7" customFormat="false" ht="49.5" hidden="false" customHeight="true" outlineLevel="0" collapsed="false">
      <c r="A7" s="4" t="n">
        <v>4</v>
      </c>
      <c r="B7" s="5" t="s">
        <v>227</v>
      </c>
      <c r="C7" s="7" t="s">
        <v>224</v>
      </c>
      <c r="D7" s="6" t="s">
        <v>228</v>
      </c>
      <c r="E7" s="6" t="s">
        <v>229</v>
      </c>
      <c r="F7" s="19"/>
    </row>
    <row r="8" customFormat="false" ht="49.5" hidden="false" customHeight="true" outlineLevel="0" collapsed="false">
      <c r="A8" s="8" t="n">
        <v>5</v>
      </c>
      <c r="B8" s="9" t="s">
        <v>230</v>
      </c>
      <c r="C8" s="11" t="s">
        <v>217</v>
      </c>
      <c r="D8" s="10" t="s">
        <v>231</v>
      </c>
      <c r="E8" s="10" t="s">
        <v>232</v>
      </c>
      <c r="F8" s="17"/>
    </row>
    <row r="9" customFormat="false" ht="49.5" hidden="false" customHeight="true" outlineLevel="0" collapsed="false">
      <c r="A9" s="4" t="n">
        <v>6</v>
      </c>
      <c r="B9" s="5" t="s">
        <v>233</v>
      </c>
      <c r="C9" s="7" t="s">
        <v>217</v>
      </c>
      <c r="D9" s="6" t="s">
        <v>234</v>
      </c>
      <c r="E9" s="6" t="s">
        <v>235</v>
      </c>
      <c r="F9" s="19"/>
    </row>
    <row r="10" customFormat="false" ht="49.5" hidden="false" customHeight="true" outlineLevel="0" collapsed="false">
      <c r="A10" s="8" t="n">
        <v>7</v>
      </c>
      <c r="B10" s="9" t="s">
        <v>236</v>
      </c>
      <c r="C10" s="11" t="s">
        <v>224</v>
      </c>
      <c r="D10" s="10" t="s">
        <v>237</v>
      </c>
      <c r="E10" s="10" t="s">
        <v>238</v>
      </c>
      <c r="F10" s="17"/>
    </row>
    <row r="11" customFormat="false" ht="49.5" hidden="false" customHeight="true" outlineLevel="0" collapsed="false">
      <c r="A11" s="4" t="n">
        <v>8</v>
      </c>
      <c r="B11" s="5" t="s">
        <v>239</v>
      </c>
      <c r="C11" s="7" t="s">
        <v>224</v>
      </c>
      <c r="D11" s="6" t="s">
        <v>240</v>
      </c>
      <c r="E11" s="6" t="s">
        <v>241</v>
      </c>
      <c r="F11" s="1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242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7" t="s">
        <v>243</v>
      </c>
      <c r="B2" s="57"/>
      <c r="C2" s="57"/>
      <c r="D2" s="57"/>
      <c r="E2" s="57"/>
      <c r="F2" s="57"/>
    </row>
    <row r="3" customFormat="false" ht="15" hidden="false" customHeight="false" outlineLevel="0" collapsed="false">
      <c r="A3" s="16" t="s">
        <v>2</v>
      </c>
      <c r="B3" s="16" t="s">
        <v>244</v>
      </c>
      <c r="C3" s="16" t="s">
        <v>245</v>
      </c>
      <c r="D3" s="16" t="s">
        <v>246</v>
      </c>
      <c r="E3" s="16" t="s">
        <v>247</v>
      </c>
      <c r="F3" s="16" t="s">
        <v>248</v>
      </c>
    </row>
    <row r="4" customFormat="false" ht="31.5" hidden="false" customHeight="true" outlineLevel="0" collapsed="false">
      <c r="A4" s="8" t="n">
        <v>1</v>
      </c>
      <c r="B4" s="9" t="s">
        <v>249</v>
      </c>
      <c r="C4" s="10" t="s">
        <v>250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251</v>
      </c>
      <c r="C5" s="6" t="s">
        <v>252</v>
      </c>
      <c r="D5" s="19"/>
      <c r="E5" s="19"/>
      <c r="F5" s="19"/>
    </row>
    <row r="6" customFormat="false" ht="31.5" hidden="false" customHeight="true" outlineLevel="0" collapsed="false">
      <c r="A6" s="8" t="n">
        <v>3</v>
      </c>
      <c r="B6" s="9" t="s">
        <v>253</v>
      </c>
      <c r="C6" s="10" t="s">
        <v>254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255</v>
      </c>
      <c r="C7" s="6" t="s">
        <v>256</v>
      </c>
      <c r="D7" s="19"/>
      <c r="E7" s="19"/>
      <c r="F7" s="19"/>
    </row>
    <row r="8" customFormat="false" ht="31.5" hidden="false" customHeight="true" outlineLevel="0" collapsed="false">
      <c r="A8" s="8" t="n">
        <v>5</v>
      </c>
      <c r="B8" s="9" t="s">
        <v>257</v>
      </c>
      <c r="C8" s="10" t="s">
        <v>258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259</v>
      </c>
      <c r="C9" s="6" t="s">
        <v>260</v>
      </c>
      <c r="D9" s="19"/>
      <c r="E9" s="19"/>
      <c r="F9" s="19"/>
    </row>
    <row r="10" customFormat="false" ht="31.5" hidden="false" customHeight="true" outlineLevel="0" collapsed="false">
      <c r="A10" s="8" t="n">
        <v>7</v>
      </c>
      <c r="B10" s="9" t="s">
        <v>164</v>
      </c>
      <c r="C10" s="10" t="s">
        <v>261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262</v>
      </c>
      <c r="C11" s="6" t="s">
        <v>263</v>
      </c>
      <c r="D11" s="19"/>
      <c r="E11" s="19"/>
      <c r="F11" s="19"/>
    </row>
    <row r="12" customFormat="false" ht="31.5" hidden="false" customHeight="true" outlineLevel="0" collapsed="false">
      <c r="A12" s="8" t="n">
        <v>9</v>
      </c>
      <c r="B12" s="9" t="s">
        <v>264</v>
      </c>
      <c r="C12" s="10" t="s">
        <v>265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266</v>
      </c>
      <c r="C13" s="6" t="s">
        <v>267</v>
      </c>
      <c r="D13" s="19"/>
      <c r="E13" s="19"/>
      <c r="F13" s="19"/>
    </row>
    <row r="14" customFormat="false" ht="31.5" hidden="false" customHeight="true" outlineLevel="0" collapsed="false">
      <c r="A14" s="8" t="n">
        <v>11</v>
      </c>
      <c r="B14" s="9" t="s">
        <v>268</v>
      </c>
      <c r="C14" s="10" t="s">
        <v>269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270</v>
      </c>
      <c r="C15" s="6" t="s">
        <v>271</v>
      </c>
      <c r="D15" s="19"/>
      <c r="E15" s="19"/>
      <c r="F15" s="19"/>
    </row>
    <row r="16" customFormat="false" ht="31.5" hidden="false" customHeight="true" outlineLevel="0" collapsed="false">
      <c r="A16" s="8" t="n">
        <v>13</v>
      </c>
      <c r="B16" s="9" t="s">
        <v>272</v>
      </c>
      <c r="C16" s="10" t="s">
        <v>273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274</v>
      </c>
      <c r="C17" s="6" t="s">
        <v>275</v>
      </c>
      <c r="D17" s="19"/>
      <c r="E17" s="19"/>
      <c r="F17" s="19"/>
    </row>
    <row r="18" customFormat="false" ht="31.5" hidden="false" customHeight="true" outlineLevel="0" collapsed="false">
      <c r="A18" s="8" t="n">
        <v>15</v>
      </c>
      <c r="B18" s="9" t="s">
        <v>276</v>
      </c>
      <c r="C18" s="10" t="s">
        <v>277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278</v>
      </c>
      <c r="C19" s="6" t="s">
        <v>279</v>
      </c>
      <c r="D19" s="19"/>
      <c r="E19" s="19"/>
      <c r="F19" s="19"/>
    </row>
    <row r="20" customFormat="false" ht="31.5" hidden="false" customHeight="true" outlineLevel="0" collapsed="false">
      <c r="A20" s="8" t="n">
        <v>17</v>
      </c>
      <c r="B20" s="9" t="s">
        <v>280</v>
      </c>
      <c r="C20" s="10" t="s">
        <v>281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282</v>
      </c>
      <c r="C21" s="6" t="s">
        <v>283</v>
      </c>
      <c r="D21" s="19"/>
      <c r="E21" s="19"/>
      <c r="F21" s="19"/>
    </row>
    <row r="22" customFormat="false" ht="31.5" hidden="false" customHeight="true" outlineLevel="0" collapsed="false">
      <c r="A22" s="8" t="n">
        <v>19</v>
      </c>
      <c r="B22" s="9" t="s">
        <v>284</v>
      </c>
      <c r="C22" s="10" t="s">
        <v>285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286</v>
      </c>
      <c r="C23" s="6" t="s">
        <v>287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2026-05-15T04:43:25Z</dcterms:created>
  <dc:creator>openpyxl</dc:creator>
  <dc:description/>
  <dc:language>en-US</dc:language>
  <cp:lastModifiedBy/>
  <dcterms:modified xsi:type="dcterms:W3CDTF">2026-05-15T04:43:25Z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