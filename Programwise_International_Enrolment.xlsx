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gramwise_Master" sheetId="1" r:id="rId1"/>
    <sheet name="Formulas" sheetId="2" r:id="rId2"/>
    <sheet name="Program_Level_Agg" sheetId="3" r:id="rId3"/>
    <sheet name="THE_Rules" sheetId="4" r:id="rId4"/>
    <sheet name="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<sst xmlns="http://schemas.openxmlformats.org/spreadsheetml/2006/main" count="74" uniqueCount="65">
  <si>
    <t>Academic_Year</t>
  </si>
  <si>
    <t>Department</t>
  </si>
  <si>
    <t>Program_Name</t>
  </si>
  <si>
    <t>Program_Level (UG/PG/PhD)</t>
  </si>
  <si>
    <t>Total_Students</t>
  </si>
  <si>
    <t>International_Students</t>
  </si>
  <si>
    <t>Male_International</t>
  </si>
  <si>
    <t>Female_International</t>
  </si>
  <si>
    <t>Country</t>
  </si>
  <si>
    <t>Region</t>
  </si>
  <si>
    <t>Visa_Type</t>
  </si>
  <si>
    <t>Enrollment_Status (Full-Time/Exchange)</t>
  </si>
  <si>
    <t>Scholarship (Yes/No)</t>
  </si>
  <si>
    <t>Evidence_File</t>
  </si>
  <si>
    <t>Remarks</t>
  </si>
  <si>
    <t>Metric</t>
  </si>
  <si>
    <t>Formula</t>
  </si>
  <si>
    <t>Explanation</t>
  </si>
  <si>
    <t>International Enrollment % (Program)</t>
  </si>
  <si>
    <t>Male : Female Ratio (International)</t>
  </si>
  <si>
    <t>Program Contribution to Intl %</t>
  </si>
  <si>
    <t>UG International %</t>
  </si>
  <si>
    <t>PG International %</t>
  </si>
  <si>
    <t>PhD International %</t>
  </si>
  <si>
    <t>Indicates global diversity within each program.</t>
  </si>
  <si>
    <t>Shows gender inclusivity in international intake.</t>
  </si>
  <si>
    <t>Measures program’s share of the institution’s international population.</t>
  </si>
  <si>
    <t>UG-level global diversity.</t>
  </si>
  <si>
    <t>PG-level global participation.</t>
  </si>
  <si>
    <t>Research scholar internationalisation.</t>
  </si>
  <si>
    <t>Total_Programs</t>
  </si>
  <si>
    <t>International_%_Overall</t>
  </si>
  <si>
    <t>Scholarship_Count</t>
  </si>
  <si>
    <t>Rule</t>
  </si>
  <si>
    <t>International classification uses nationality.</t>
  </si>
  <si>
    <t>Program list must align with official catalog.</t>
  </si>
  <si>
    <t>Exchange students counted only if full-term.</t>
  </si>
  <si>
    <t>PhD records must include full-time scholars only.</t>
  </si>
  <si>
    <t>UG/PG/PhD segmentation must match MIS data.</t>
  </si>
  <si>
    <t>Gender and region data mandatory for diversity reporting.</t>
  </si>
  <si>
    <t>Ensures alignment with THE ranking methodology.</t>
  </si>
  <si>
    <t>Prevents mismatches during audit.</t>
  </si>
  <si>
    <t>Avoids artificial inflation of counts.</t>
  </si>
  <si>
    <t>Ensures research enrolment accuracy.</t>
  </si>
  <si>
    <t>Needed for reporting correctness.</t>
  </si>
  <si>
    <t>Supports global diversity indicators.</t>
  </si>
  <si>
    <t>Requirement</t>
  </si>
  <si>
    <t>Evidence_Required</t>
  </si>
  <si>
    <t>Status</t>
  </si>
  <si>
    <t>Nationality verification completed</t>
  </si>
  <si>
    <t>Program list validated with academic office</t>
  </si>
  <si>
    <t>UG/PG/PhD segmentation verified</t>
  </si>
  <si>
    <t>Visa/passport matching done</t>
  </si>
  <si>
    <t>Exchange students filtered</t>
  </si>
  <si>
    <t>Notes</t>
  </si>
  <si>
    <t>Recommended Visualizations:</t>
  </si>
  <si>
    <t>• Program-wise International % comparison</t>
  </si>
  <si>
    <t>• UG/PG/PhD International enrolment trends</t>
  </si>
  <si>
    <t>• Gender distribution among international students</t>
  </si>
  <si>
    <t>• Region-wise enrollment heatmap</t>
  </si>
  <si>
    <t>Insights:</t>
  </si>
  <si>
    <t>• Identifies globally attractive programs.</t>
  </si>
  <si>
    <t>• Helps in marketing and international recruitment.</t>
  </si>
  <si>
    <t>• Critical for THE International Outlook submission.</t>
  </si>
  <si>
    <t>• Supports accreditation and strategic planning.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</si>
</sst>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  <c r="B2">
        <f>International_Students / Total_Students</f>
        <v>0</v>
      </c>
      <c r="C2" t="s">
        <v>24</v>
      </c>
    </row>
    <row r="3" spans="1:3">
      <c r="A3" t="s">
        <v>19</v>
      </c>
      <c r="B3">
        <f>Male_International / Female_International</f>
        <v>0</v>
      </c>
      <c r="C3" t="s">
        <v>25</v>
      </c>
    </row>
    <row r="4" spans="1:3">
      <c r="A4" t="s">
        <v>20</v>
      </c>
      <c r="B4">
        <f>International_Students / SUM(All_International_Students)</f>
        <v>0</v>
      </c>
      <c r="C4" t="s">
        <v>26</v>
      </c>
    </row>
    <row r="5" spans="1:3">
      <c r="A5" t="s">
        <v>21</v>
      </c>
      <c r="B5">
        <f>SUM(UG International) / SUM(UG Total)</f>
        <v>0</v>
      </c>
      <c r="C5" t="s">
        <v>27</v>
      </c>
    </row>
    <row r="6" spans="1:3">
      <c r="A6" t="s">
        <v>22</v>
      </c>
      <c r="B6">
        <f>SUM(PG International) / SUM(PG Total)</f>
        <v>0</v>
      </c>
      <c r="C6" t="s">
        <v>28</v>
      </c>
    </row>
    <row r="7" spans="1:3">
      <c r="A7" t="s">
        <v>23</v>
      </c>
      <c r="B7">
        <f>SUM(PhD International) / SUM(PhD Total)</f>
        <v>0</v>
      </c>
      <c r="C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0</v>
      </c>
      <c r="B1" s="1" t="s">
        <v>3</v>
      </c>
      <c r="C1" s="1" t="s">
        <v>30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31</v>
      </c>
      <c r="I1" s="1" t="s">
        <v>32</v>
      </c>
      <c r="J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33</v>
      </c>
      <c r="B1" s="1" t="s">
        <v>17</v>
      </c>
    </row>
    <row r="2" spans="1:2">
      <c r="A2" t="s">
        <v>34</v>
      </c>
      <c r="B2" t="s">
        <v>40</v>
      </c>
    </row>
    <row r="3" spans="1:2">
      <c r="A3" t="s">
        <v>35</v>
      </c>
      <c r="B3" t="s">
        <v>41</v>
      </c>
    </row>
    <row r="4" spans="1:2">
      <c r="A4" t="s">
        <v>36</v>
      </c>
      <c r="B4" t="s">
        <v>42</v>
      </c>
    </row>
    <row r="5" spans="1:2">
      <c r="A5" t="s">
        <v>37</v>
      </c>
      <c r="B5" t="s">
        <v>43</v>
      </c>
    </row>
    <row r="6" spans="1:2">
      <c r="A6" t="s">
        <v>38</v>
      </c>
      <c r="B6" t="s">
        <v>44</v>
      </c>
    </row>
    <row r="7" spans="1:2">
      <c r="A7" t="s">
        <v>39</v>
      </c>
      <c r="B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46</v>
      </c>
      <c r="B1" s="1" t="s">
        <v>47</v>
      </c>
      <c r="C1" s="1" t="s">
        <v>48</v>
      </c>
      <c r="D1" s="1" t="s">
        <v>14</v>
      </c>
    </row>
    <row r="2" spans="1:4">
      <c r="A2" t="s">
        <v>49</v>
      </c>
    </row>
    <row r="3" spans="1:4">
      <c r="A3" t="s">
        <v>50</v>
      </c>
    </row>
    <row r="4" spans="1:4">
      <c r="A4" t="s">
        <v>51</v>
      </c>
    </row>
    <row r="5" spans="1:4">
      <c r="A5" t="s">
        <v>52</v>
      </c>
    </row>
    <row r="6" spans="1:4">
      <c r="A6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54</v>
      </c>
    </row>
    <row r="2" spans="1:1">
      <c r="A2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6" spans="1:1">
      <c r="A6" t="s">
        <v>59</v>
      </c>
    </row>
    <row r="8" spans="1:1">
      <c r="A8" t="s">
        <v>60</v>
      </c>
    </row>
    <row r="9" spans="1:1">
      <c r="A9" t="s">
        <v>61</v>
      </c>
    </row>
    <row r="10" spans="1:1">
      <c r="A10" t="s">
        <v>62</v>
      </c>
    </row>
    <row r="11" spans="1:1">
      <c r="A11" t="s">
        <v>63</v>
      </c>
    </row>
    <row r="12" spans="1:1">
      <c r="A1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Programwise_Master</vt:lpstr>
      <vt:lpstr>Formulas</vt:lpstr>
      <vt:lpstr>Program_Level_Agg</vt:lpstr>
      <vt:lpstr>THE_Rules</vt:lpstr>
      <vt:lpstr>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2025-12-07T04:16:37Z</dcterms:created>
  <dcterms:modified xsi:type="dcterms:W3CDTF">2025-12-07T04:16:37Z</dcterms:modified>
</cp:coreProperties>
</file>