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_Productivity_Master" sheetId="1" r:id="rId1"/>
    <sheet name="Subject_Normalisation_Formulas" sheetId="2" r:id="rId2"/>
    <sheet name="Dept_Subject_Contribution" sheetId="3" r:id="rId3"/>
    <sheet name="THE_Normalisation_Rules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<sst xmlns="http://schemas.openxmlformats.org/spreadsheetml/2006/main" count="73" uniqueCount="68">
  <si>
    <t>ASJC_Code</t>
  </si>
  <si>
    <t>Subject_Name</t>
  </si>
  <si>
    <t>Total_Publications</t>
  </si>
  <si>
    <t>Total_Citations</t>
  </si>
  <si>
    <t>FWCI_Average</t>
  </si>
  <si>
    <t>Top10Percent_Publications</t>
  </si>
  <si>
    <t>Top1Percent_Publications</t>
  </si>
  <si>
    <t>Number_of_Eligible_Staff</t>
  </si>
  <si>
    <t>Total_FTE</t>
  </si>
  <si>
    <t>Publications_per_FTE</t>
  </si>
  <si>
    <t>Citations_per_FTE</t>
  </si>
  <si>
    <t>Top10Percent_per_FTE</t>
  </si>
  <si>
    <t>Top1Percent_per_FTE</t>
  </si>
  <si>
    <t>Evidence_File</t>
  </si>
  <si>
    <t>Remarks</t>
  </si>
  <si>
    <t>Metric</t>
  </si>
  <si>
    <t>Formula</t>
  </si>
  <si>
    <t>Explanation</t>
  </si>
  <si>
    <t>Publications per FTE</t>
  </si>
  <si>
    <t>Citations per FTE</t>
  </si>
  <si>
    <t>Top 10% Publications per FTE</t>
  </si>
  <si>
    <t>Top 1% Publications per FTE</t>
  </si>
  <si>
    <t>Subject FWCI Mean Normalisation</t>
  </si>
  <si>
    <t>Normalises publication volume across subjects.</t>
  </si>
  <si>
    <t>Adjusts citation count relative to subject-specific staff/FTE.</t>
  </si>
  <si>
    <t>Measures high-impact research output per staff.</t>
  </si>
  <si>
    <t>Measures elite-level research per staff.</t>
  </si>
  <si>
    <t>Standardises FWCI against global subject averages used in THE methodology.</t>
  </si>
  <si>
    <t>Department</t>
  </si>
  <si>
    <t>Department_Publications</t>
  </si>
  <si>
    <t>Department_Citations</t>
  </si>
  <si>
    <t>Department_Top10Percent</t>
  </si>
  <si>
    <t>Department_Top1Percent</t>
  </si>
  <si>
    <t>Department_FTE</t>
  </si>
  <si>
    <t>Dept_Publications_per_FTE</t>
  </si>
  <si>
    <t>Dept_Citations_per_FTE</t>
  </si>
  <si>
    <t>Dept_Top10Percent_per_FTE</t>
  </si>
  <si>
    <t>Rule</t>
  </si>
  <si>
    <t>ASJC subject mapping must match Scopus definitions.</t>
  </si>
  <si>
    <t>FWCI must be normalized at the subject level.</t>
  </si>
  <si>
    <t>High-impact publications (Top 10%, Top 1%) must align with SciVal reports.</t>
  </si>
  <si>
    <t>FTE must be distributed across subjects proportionally.</t>
  </si>
  <si>
    <t>Multidisciplinary publications must be fractionally allocated across subjects.</t>
  </si>
  <si>
    <t>Excluded staff categories must not contribute to subject normalisation.</t>
  </si>
  <si>
    <t>Ensures alignment with THE Research Quality (30%) indicators.</t>
  </si>
  <si>
    <t>Subject-normalised FWCI is essential for accurate citation scoring.</t>
  </si>
  <si>
    <t>High-impact research is a major driver of research excellence.</t>
  </si>
  <si>
    <t>Prevents inflated productivity calculations.</t>
  </si>
  <si>
    <t>Matches THE’s fractional counting methodology.</t>
  </si>
  <si>
    <t>Maintains THE-eligible staff integrity in productivity metrics.</t>
  </si>
  <si>
    <t>Requirement</t>
  </si>
  <si>
    <t>Evidence_Required</t>
  </si>
  <si>
    <t>Status</t>
  </si>
  <si>
    <t>ASJC mapping verified with Scopus export</t>
  </si>
  <si>
    <t>FWCI validated with SciVal report</t>
  </si>
  <si>
    <t>High-impact publications confirmed (Top10/Top1)</t>
  </si>
  <si>
    <t>Subject-wise FTE allocation approved by HR</t>
  </si>
  <si>
    <t>Fractional allocation rules applied</t>
  </si>
  <si>
    <t>Notes</t>
  </si>
  <si>
    <t>Suggested Dashboard Visuals:</t>
  </si>
  <si>
    <t>• Subject-wise FWCI benchmarking</t>
  </si>
  <si>
    <t>• Publications per FTE (radar chart)</t>
  </si>
  <si>
    <t>• Citations per FTE (bar graph)</t>
  </si>
  <si>
    <t>• Top 1% &amp; Top 10% publications distribution</t>
  </si>
  <si>
    <t>Insights:</t>
  </si>
  <si>
    <t>• FWCI is the strongest driver of THE Citation Impact (15%).</t>
  </si>
  <si>
    <t>• High-impact output boosts Research Strength and Excellence metrics.</t>
  </si>
  <si>
    <t>• Subject-level productivity reveals strong and weak research areas.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</si>
</sst>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  <c r="B2">
        <f>Total_Publications / Total_FTE</f>
        <v>0</v>
      </c>
      <c r="C2" t="s">
        <v>23</v>
      </c>
    </row>
    <row r="3" spans="1:3">
      <c r="A3" t="s">
        <v>19</v>
      </c>
      <c r="B3">
        <f>Total_Citations / Total_FTE</f>
        <v>0</v>
      </c>
      <c r="C3" t="s">
        <v>24</v>
      </c>
    </row>
    <row r="4" spans="1:3">
      <c r="A4" t="s">
        <v>20</v>
      </c>
      <c r="B4">
        <f>Top10Percent_Publications / Total_FTE</f>
        <v>0</v>
      </c>
      <c r="C4" t="s">
        <v>25</v>
      </c>
    </row>
    <row r="5" spans="1:3">
      <c r="A5" t="s">
        <v>21</v>
      </c>
      <c r="B5">
        <f>Top1Percent_Publications / Total_FTE</f>
        <v>0</v>
      </c>
      <c r="C5" t="s">
        <v>26</v>
      </c>
    </row>
    <row r="6" spans="1:3">
      <c r="A6" t="s">
        <v>22</v>
      </c>
      <c r="B6">
        <f>FWCI_Average / Global_FWCI_Subject_Mean</f>
        <v>0</v>
      </c>
      <c r="C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28</v>
      </c>
      <c r="B1" s="1" t="s">
        <v>0</v>
      </c>
      <c r="C1" s="1" t="s">
        <v>1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37</v>
      </c>
      <c r="B1" s="1" t="s">
        <v>17</v>
      </c>
    </row>
    <row r="2" spans="1:2">
      <c r="A2" t="s">
        <v>38</v>
      </c>
      <c r="B2" t="s">
        <v>44</v>
      </c>
    </row>
    <row r="3" spans="1:2">
      <c r="A3" t="s">
        <v>39</v>
      </c>
      <c r="B3" t="s">
        <v>45</v>
      </c>
    </row>
    <row r="4" spans="1:2">
      <c r="A4" t="s">
        <v>40</v>
      </c>
      <c r="B4" t="s">
        <v>46</v>
      </c>
    </row>
    <row r="5" spans="1:2">
      <c r="A5" t="s">
        <v>41</v>
      </c>
      <c r="B5" t="s">
        <v>47</v>
      </c>
    </row>
    <row r="6" spans="1:2">
      <c r="A6" t="s">
        <v>42</v>
      </c>
      <c r="B6" t="s">
        <v>48</v>
      </c>
    </row>
    <row r="7" spans="1:2">
      <c r="A7" t="s">
        <v>43</v>
      </c>
      <c r="B7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50</v>
      </c>
      <c r="B1" s="1" t="s">
        <v>51</v>
      </c>
      <c r="C1" s="1" t="s">
        <v>52</v>
      </c>
      <c r="D1" s="1" t="s">
        <v>14</v>
      </c>
    </row>
    <row r="2" spans="1:4">
      <c r="A2" t="s">
        <v>53</v>
      </c>
    </row>
    <row r="3" spans="1:4">
      <c r="A3" t="s">
        <v>54</v>
      </c>
    </row>
    <row r="4" spans="1:4">
      <c r="A4" t="s">
        <v>55</v>
      </c>
    </row>
    <row r="5" spans="1:4">
      <c r="A5" t="s">
        <v>56</v>
      </c>
    </row>
    <row r="6" spans="1:4">
      <c r="A6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  <row r="8" spans="1:1">
      <c r="A8" t="s">
        <v>64</v>
      </c>
    </row>
    <row r="9" spans="1:1">
      <c r="A9" t="s">
        <v>65</v>
      </c>
    </row>
    <row r="10" spans="1:1">
      <c r="A10" t="s">
        <v>66</v>
      </c>
    </row>
    <row r="11" spans="1:1">
      <c r="A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Subject_Productivity_Master</vt:lpstr>
      <vt:lpstr>Subject_Normalisation_Formulas</vt:lpstr>
      <vt:lpstr>Dept_Subject_Contribution</vt:lpstr>
      <vt:lpstr>THE_Normalisation_Rules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2025-12-07T03:12:59Z</dcterms:created>
  <dcterms:modified xsi:type="dcterms:W3CDTF">2025-12-07T03:12:59Z</dcterms:modified>
</cp:coreProperties>
</file>