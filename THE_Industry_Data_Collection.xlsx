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ustry Income per Staff" sheetId="1" state="visible" r:id="rId3"/>
    <sheet name="Industry Income Tracker" sheetId="2" state="visible" r:id="rId4"/>
    <sheet name="IP Patents &amp; Tech Transfer" sheetId="3" state="visible" r:id="rId5"/>
    <sheet name="Industry Partnership Tracker" sheetId="4" state="visible" r:id="rId6"/>
    <sheet name="Year-on-Year Tracker" sheetId="5" state="visible" r:id="rId7"/>
    <sheet name="HEI Improvement Action Plan" sheetId="6" state="visible" r:id="rId8"/>
    <sheet name="Metadata &amp; Instru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<sst xmlns="http://schemas.openxmlformats.org/spreadsheetml/2006/main" count="209" uniqueCount="178">
  <si>
    <t xml:space="preserve">THE Industry — Industry Income from Knowledge Transfer per Academic Staff (PPP) — Weight: 2.5%</t>
  </si>
  <si>
    <t xml:space="preserve">Industry-Funded Research Income (PPP) / Academic Staff FTE | Measures Knowledge Transfer &amp; Industry Engagement Capacity</t>
  </si>
  <si>
    <t xml:space="preserve">S.No.</t>
  </si>
  <si>
    <t xml:space="preserve">HEI Name</t>
  </si>
  <si>
    <t xml:space="preserve">Country</t>
  </si>
  <si>
    <t xml:space="preserve">Year</t>
  </si>
  <si>
    <t xml:space="preserve">Industry Income (USD PPP)</t>
  </si>
  <si>
    <t xml:space="preserve">Academic Staff (FTE)</t>
  </si>
  <si>
    <t xml:space="preserve">Income per Staff (USD PPP)</t>
  </si>
  <si>
    <t xml:space="preserve">Score (0-100)</t>
  </si>
  <si>
    <t xml:space="preserve">Industry Sponsored R&amp;D (%)</t>
  </si>
  <si>
    <t xml:space="preserve">Consultancy Income (%)</t>
  </si>
  <si>
    <t xml:space="preserve">IP Licensing Revenue (%)</t>
  </si>
  <si>
    <t xml:space="preserve">Technology Transfer Deals</t>
  </si>
  <si>
    <t xml:space="preserve">Contract Research (%)</t>
  </si>
  <si>
    <t xml:space="preserve">Other Industry Income (%)</t>
  </si>
  <si>
    <t xml:space="preserve">Data Source</t>
  </si>
  <si>
    <t xml:space="preserve">Remarks</t>
  </si>
  <si>
    <t xml:space="preserve">THE Industry — Detailed Industry Income, Knowledge Transfer &amp; IP Tracker</t>
  </si>
  <si>
    <t xml:space="preserve">Project-Level Industry Funding | Company | Amount | IP | Consultancy | Technology Transfer | PPP Conversion</t>
  </si>
  <si>
    <t xml:space="preserve">Industry Partner / Company</t>
  </si>
  <si>
    <t xml:space="preserve">Sector</t>
  </si>
  <si>
    <t xml:space="preserve">Income Type</t>
  </si>
  <si>
    <t xml:space="preserve">Amount (INR Lakh)</t>
  </si>
  <si>
    <t xml:space="preserve">Amount (USD)</t>
  </si>
  <si>
    <t xml:space="preserve">PPP Factor</t>
  </si>
  <si>
    <t xml:space="preserve">Amount (USD PPP)</t>
  </si>
  <si>
    <t xml:space="preserve">PI / Faculty</t>
  </si>
  <si>
    <t xml:space="preserve">Department</t>
  </si>
  <si>
    <t xml:space="preserve">Duration (yrs)</t>
  </si>
  <si>
    <t xml:space="preserve">Start Year</t>
  </si>
  <si>
    <t xml:space="preserve">End Year</t>
  </si>
  <si>
    <t xml:space="preserve">IP Generated (Y/N)</t>
  </si>
  <si>
    <t xml:space="preserve">Patent Filed (Y/N)</t>
  </si>
  <si>
    <t xml:space="preserve">THE Industry — Intellectual Property, Patents &amp; Technology Transfer Portfolio</t>
  </si>
  <si>
    <t xml:space="preserve">Patents Filed/Granted | IP Licensed | Technology Transfers | Spin-offs | Commercialization Revenue | TTO Performance</t>
  </si>
  <si>
    <t xml:space="preserve">Patents Filed (India)</t>
  </si>
  <si>
    <t xml:space="preserve">Patents Granted (India)</t>
  </si>
  <si>
    <t xml:space="preserve">Patents Filed (Intl)</t>
  </si>
  <si>
    <t xml:space="preserve">Patents Granted (Intl)</t>
  </si>
  <si>
    <t xml:space="preserve">Total Active Patents</t>
  </si>
  <si>
    <t xml:space="preserve">IP Licensed (No.)</t>
  </si>
  <si>
    <t xml:space="preserve">IP Licensing Revenue (INR Lakh)</t>
  </si>
  <si>
    <t xml:space="preserve">Technologies Transferred</t>
  </si>
  <si>
    <t xml:space="preserve">Spin-off Companies</t>
  </si>
  <si>
    <t xml:space="preserve">Technology Transfer Office (Y/N)</t>
  </si>
  <si>
    <t xml:space="preserve">THE Industry — Industry-Academia MoU, Collaboration &amp; Engagement Tracker</t>
  </si>
  <si>
    <t xml:space="preserve">Track Active Industry MoUs | Sponsored Projects | Guest Lectures | Internships | Placements | CSR | Joint Labs</t>
  </si>
  <si>
    <t xml:space="preserve">Industry Partner</t>
  </si>
  <si>
    <t xml:space="preserve">MoU Type</t>
  </si>
  <si>
    <t xml:space="preserve">Date Signed</t>
  </si>
  <si>
    <t xml:space="preserve">Status (Active/Expired)</t>
  </si>
  <si>
    <t xml:space="preserve">Sponsored Projects (No.)</t>
  </si>
  <si>
    <t xml:space="preserve">Funding (INR Lakh)</t>
  </si>
  <si>
    <t xml:space="preserve">Guest Lectures/yr</t>
  </si>
  <si>
    <t xml:space="preserve">Internships Provided</t>
  </si>
  <si>
    <t xml:space="preserve">Students Placed</t>
  </si>
  <si>
    <t xml:space="preserve">Joint Lab/Centre (Y/N)</t>
  </si>
  <si>
    <t xml:space="preserve">CSR Contribution (INR Lakh)</t>
  </si>
  <si>
    <t xml:space="preserve">THE Industry — Year-on-Year Performance Tracker (5-Year Trend)</t>
  </si>
  <si>
    <t xml:space="preserve">Track Annual Industry Scores | Income Trends | IP/Patent Growth | Benchmark Against Peers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</si>
  <si>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</si>
  <si>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</si>
  <si>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</si>
  <si>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</si>
  <si>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</si>
  <si>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</si>
  <si>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Change</t>
  </si>
  <si>
    <t xml:space="preserve">5-Yr Avg</t>
  </si>
  <si>
    <t xml:space="preserve">Best</t>
  </si>
  <si>
    <t xml:space="preserve">Worst</t>
  </si>
  <si>
    <t xml:space="preserve">Trend (↑/↓/→)</t>
  </si>
  <si>
    <t xml:space="preserve">Peer Benchmark</t>
  </si>
  <si>
    <t xml:space="preserve">Industry Income per Staff (USD PPP)</t>
  </si>
  <si>
    <t xml:space="preserve">Industry Income Score (0-100, 2.5%)</t>
  </si>
  <si>
    <t xml:space="preserve">Patents Filed (Total)</t>
  </si>
  <si>
    <t xml:space="preserve">Patents Granted (Total)</t>
  </si>
  <si>
    <t xml:space="preserve">Technologies Transferred (No.)</t>
  </si>
  <si>
    <t xml:space="preserve">Industry MoUs Active</t>
  </si>
  <si>
    <t xml:space="preserve">THE Industry — HEI Improvement Action Plan &amp; Evidence Matrix</t>
  </si>
  <si>
    <t xml:space="preserve">Targeted Actions to Improve Industry Income, Knowledge Transfer &amp; Innovation Metrics</t>
  </si>
  <si>
    <t xml:space="preserve">THE Indicator</t>
  </si>
  <si>
    <t xml:space="preserve">Current Gap / Issue</t>
  </si>
  <si>
    <t xml:space="preserve">Improvement Action</t>
  </si>
  <si>
    <t xml:space="preserve">Target Outcome</t>
  </si>
  <si>
    <t xml:space="preserve">Responsible Officer</t>
  </si>
  <si>
    <t xml:space="preserve">Timeline</t>
  </si>
  <si>
    <t xml:space="preserve">Evidence / Document</t>
  </si>
  <si>
    <t xml:space="preserve">Budget (INR Lakh)</t>
  </si>
  <si>
    <t xml:space="preserve">Status (✓/IP/✗)</t>
  </si>
  <si>
    <t xml:space="preserve">% Progress</t>
  </si>
  <si>
    <t xml:space="preserve">Industry Income (2.5%)</t>
  </si>
  <si>
    <t xml:space="preserve">Low industry-funded research</t>
  </si>
  <si>
    <t xml:space="preserve">Proactive industry outreach; targeted proposals; sector-specific R&amp;D partnerships</t>
  </si>
  <si>
    <t xml:space="preserve">Income +50%</t>
  </si>
  <si>
    <t xml:space="preserve">Minimal consultancy revenue</t>
  </si>
  <si>
    <t xml:space="preserve">Establish Consultancy Cell; faculty incentive policy; market HEI expertise to industry</t>
  </si>
  <si>
    <t xml:space="preserve">Consultancy active</t>
  </si>
  <si>
    <t xml:space="preserve">Poor PPP reporting</t>
  </si>
  <si>
    <t xml:space="preserve">Accurately report all industry income in PPP terms; include sponsored R&amp;D, consultancy, IP revenue</t>
  </si>
  <si>
    <t xml:space="preserve">PPP correctly reported</t>
  </si>
  <si>
    <t xml:space="preserve">No Technology Transfer Office</t>
  </si>
  <si>
    <t xml:space="preserve">Establish TTO with IP policy, patent support, licensing team, commercialization strategy</t>
  </si>
  <si>
    <t xml:space="preserve">TTO operational</t>
  </si>
  <si>
    <t xml:space="preserve">Knowledge Transfer</t>
  </si>
  <si>
    <t xml:space="preserve">Low patent filings</t>
  </si>
  <si>
    <t xml:space="preserve">Faculty IP awareness workshops; patent filing support; incentivize invention disclosures</t>
  </si>
  <si>
    <t xml:space="preserve">Patents +100%</t>
  </si>
  <si>
    <t xml:space="preserve">No IP licensing revenue</t>
  </si>
  <si>
    <t xml:space="preserve">Identify licensable technologies; engage licensing agents; negotiate industry deals</t>
  </si>
  <si>
    <t xml:space="preserve">Licensing revenue ↑</t>
  </si>
  <si>
    <t xml:space="preserve">Few spin-off companies</t>
  </si>
  <si>
    <t xml:space="preserve">Support faculty/student startups; incubation centre; seed funding; industry mentorship</t>
  </si>
  <si>
    <t xml:space="preserve">Spin-offs launched</t>
  </si>
  <si>
    <t xml:space="preserve">Limited technology transfer</t>
  </si>
  <si>
    <t xml:space="preserve">Map HEI technologies to industry needs; organize tech showcases; B2R (bench-to-revenue) pipeline</t>
  </si>
  <si>
    <t xml:space="preserve">Transfers increasing</t>
  </si>
  <si>
    <t xml:space="preserve">Industry Partnerships</t>
  </si>
  <si>
    <t xml:space="preserve">Few active industry MoUs</t>
  </si>
  <si>
    <t xml:space="preserve">Targeted outreach to SMEs, MSMEs, corporates; sector-specific MoU templates; track deliverables</t>
  </si>
  <si>
    <t xml:space="preserve">MoUs ≥25 active</t>
  </si>
  <si>
    <t xml:space="preserve">Low industry guest lectures</t>
  </si>
  <si>
    <t xml:space="preserve">Invite industry experts for lectures, workshops, hackathons, capstone mentoring</t>
  </si>
  <si>
    <t xml:space="preserve">Lectures ≥50/yr</t>
  </si>
  <si>
    <t xml:space="preserve">Weak internship/placement pipeline</t>
  </si>
  <si>
    <t xml:space="preserve">Strengthen placement cell; industry internships; live projects; employability programmes</t>
  </si>
  <si>
    <t xml:space="preserve">Placements improving</t>
  </si>
  <si>
    <t xml:space="preserve">Overall Industry Score</t>
  </si>
  <si>
    <t xml:space="preserve">No dedicated industry coordination</t>
  </si>
  <si>
    <t xml:space="preserve">Establish Industry Liaison &amp; Knowledge Transfer Cell; assign coordinator; quarterly reviews</t>
  </si>
  <si>
    <t xml:space="preserve">Cell operational</t>
  </si>
  <si>
    <t xml:space="preserve">THE World University Rankings — Industry Metric — Metadata &amp; Instructions</t>
  </si>
  <si>
    <t xml:space="preserve">THE Industry Indicator Framework (2.5% of Overall Score)</t>
  </si>
  <si>
    <t xml:space="preserve">#</t>
  </si>
  <si>
    <t xml:space="preserve">Indicator</t>
  </si>
  <si>
    <t xml:space="preserve">Weight</t>
  </si>
  <si>
    <t xml:space="preserve">Description &amp; Calculation</t>
  </si>
  <si>
    <t xml:space="preserve">Key Data Points</t>
  </si>
  <si>
    <t xml:space="preserve">Freq.</t>
  </si>
  <si>
    <t xml:space="preserve">Industry Income per Staff</t>
  </si>
  <si>
    <t xml:space="preserve">2.5%</t>
  </si>
  <si>
    <t xml:space="preserve">Total industry income from knowledge transfer activities (PPP-adjusted) divided by academic staff FTE. Includes industry-sponsored R&amp;D, consultancy, IP licensing revenue, technology transfer deals, contract research. PPP normalization adjusts for purchasing power differences across countries. This is a proxy for an institution's ability to help industry with innovations, inventions, and consultancy — the extent to which businesses are willing to pay for research.</t>
  </si>
  <si>
    <t xml:space="preserve">Industry income (USD PPP), academic staff FTE, income per staff, income breakdown (sponsored R&amp;D %, consultancy %, IP licensing %, tech transfer, contract research %), PPP conversion factor</t>
  </si>
  <si>
    <t xml:space="preserve">Annual</t>
  </si>
  <si>
    <t xml:space="preserve">Data Collection Instructions</t>
  </si>
  <si>
    <t xml:space="preserve">1. Blue font = INPUT. Black font = AUTO-CALCULATED — do NOT overwrite formulas.</t>
  </si>
  <si>
    <t xml:space="preserve">2. Industry Income Definition: ALL income earned from industry through knowledge transfer activities. This includes: industry-sponsored/contract research, consultancy fees, IP licensing revenue, technology transfer deals, royalties from commercialized inventions, and any other payments from businesses for academic expertise.</t>
  </si>
  <si>
    <t xml:space="preserve">3. EXCLUDED from Industry Income: Government research grants (counted in Research Environment), tuition fees, donations/endowments, internal institutional funds, student fees for industry projects.</t>
  </si>
  <si>
    <t xml:space="preserve">4. PPP Conversion: Use World Bank PPP conversion factors. For India (approx): if PPP factor ~22.9, then ₹1 Cr ≈ $43,668 PPP. THE applies automatic PPP normalization to level the playing field between countries.</t>
  </si>
  <si>
    <t xml:space="preserve">5. Academic Staff FTE: Same denominator as used in Teaching and Research Environment pillars. Include professors, associate/assistant professors, lecturers, researchers with teaching duties. Convert part-time to FTE.</t>
  </si>
  <si>
    <t xml:space="preserve">6. IP &amp; Patents: Track patents filed (India + international), patents granted, IP licensed, licensing revenue. Establish an institutional IP Policy and Technology Transfer Office (TTO) to systematize this.</t>
  </si>
  <si>
    <t xml:space="preserve">7. Industry Income Tracker: Use sheet 2 for project-level recording — company name, sector, income type, amounts (INR and USD PPP), PI, department, duration, IP generated, patents filed.</t>
  </si>
  <si>
    <t xml:space="preserve">8. IP Portfolio: Use sheet 3 to track patents (filed/granted, India/international), licenses, technology transfers, spin-offs, TTO status, commercialization revenue.</t>
  </si>
  <si>
    <t xml:space="preserve">9. Industry Partnerships: Use sheet 4 to record all industry MoUs — partner company, sector, type, dates, sponsored projects, funding, guest lectures, internships, placements, joint labs, CSR.</t>
  </si>
  <si>
    <t xml:space="preserve">10. Year-on-Year: Track 8 industry KPIs (income/staff, score, patents filed/granted, licensing revenue, tech transfers, MoUs, spin-offs) across 5 years.</t>
  </si>
  <si>
    <t xml:space="preserve">11. Action Plan: 12 pre-filled targeted actions covering income growth, consultancy, TTO establishment, patent filing, licensing, spin-offs, tech transfer, industry MoUs, placements, coordination cell.</t>
  </si>
  <si>
    <t xml:space="preserve">12. Key Indian Agencies: DST (industry collaboration), MSME (tech support), DPIIT (startup/IP), BIRAC (biotech industry), TDB (technology development), DSIR (industrial research recognition).</t>
  </si>
  <si>
    <t xml:space="preserve">13. DSIR Recognition: HEIs recognized under DSIR (Dept of Scientific &amp; Industrial Research) can avail tax benefits for in-house R&amp;D and attract more industry funding.</t>
  </si>
  <si>
    <t xml:space="preserve">14. Although Industry is only 2.5% of THE overall score, it is a powerful differentiator for institutions seeking to demonstrate real-world impact and knowledge transfer capability.</t>
  </si>
  <si>
    <t xml:space="preserve">15. Validate: THE data portal, institutional annual reports, patent databases (IPO India, WIPO, USPTO), NIRF, NAAC SSR, industry MoU register, TTO records.</t>
  </si>
  <si>
    <t xml:space="preserve">THE Overall Rankings Pillar Structure (for context)</t>
  </si>
  <si>
    <t xml:space="preserve">• TEACHING (The Learning Environment) — 30%: Reputation (15%) + Staff:Student (4.5%) + Doct:Bachelor (2.25%) + Doct:Staff (6%) + Income:Staff (2.25%)</t>
  </si>
  <si>
    <t xml:space="preserve">• RESEARCH ENVIRONMENT — 30%: Reputation (18%) + Research Income (6%) + Research Productivity (6%)</t>
  </si>
  <si>
    <t xml:space="preserve">• RESEARCH QUALITY — 30%: Citation Impact/FWCI (15%) + Research Strength (5%) + Research Excellence (5%) + Research Influence (5%)</t>
  </si>
  <si>
    <t xml:space="preserve">• INTERNATIONAL OUTLOOK — 7.5%: International Students (2.5%) + International Staff (2.5%) + International Co-authorship (2.5%)</t>
  </si>
  <si>
    <t xml:space="preserve">• INDUSTRY — 2.5%: Industry Income from Knowledge Transfer per Academic Staff (2.5%)</t>
  </si>
  <si>
    <t xml:space="preserve">• TOTAL = 100% — Teaching 30% + Research Environment 30% + Research Quality 30% + International 7.5% + Industry 2.5%</t>
  </si>
  <si>
    <t xml:space="preserve">Types of Industry Income Counted by THE (Comprehensive List)</t>
  </si>
  <si>
    <t xml:space="preserve">• Industry-Sponsored Research — R&amp;D projects funded directly by companies, paid to the HEI</t>
  </si>
  <si>
    <t xml:space="preserve">• Contract Research — Research commissioned and paid for by industry clients with defined deliverables</t>
  </si>
  <si>
    <t xml:space="preserve">• Consultancy Fees — Payments to HEI/faculty for expert advice, technical consulting, feasibility studies</t>
  </si>
  <si>
    <t xml:space="preserve">• IP Licensing Revenue — Royalties and fees from licensing patents, copyrights, or know-how to industry</t>
  </si>
  <si>
    <t xml:space="preserve">• Technology Transfer Income — Payments for transferring developed technologies to industry for commercialization</t>
  </si>
  <si>
    <t xml:space="preserve">• Spin-off Equity/Revenue — Income from HEI-owned equity in spin-off companies or dividend revenue</t>
  </si>
  <si>
    <t xml:space="preserve">• Testing &amp; Calibration Services — Fees from industry for laboratory testing, calibration, certification services</t>
  </si>
  <si>
    <t xml:space="preserve">• Training &amp; CPD Income — Payments from industry for customized corporate training, executive education, skill programmes</t>
  </si>
  <si>
    <t xml:space="preserve">• Joint Lab / CoE Contributions — Industry financial contributions to jointly operated labs or centres of excellence</t>
  </si>
  <si>
    <t xml:space="preserve">• NOT Counted: Government grants, tuition fees, donations, endowments, student project fees, internal funds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</si>
</sst>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65100"/>
        <bgColor rgb="FFF4511E"/>
      </patternFill>
    </fill>
    <fill>
      <patternFill patternType="solid">
        <fgColor rgb="FFF4511E"/>
        <bgColor rgb="FFE651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BF360C"/>
        <bgColor rgb="FFD84315"/>
      </patternFill>
    </fill>
    <fill>
      <patternFill patternType="solid">
        <fgColor rgb="FFD84315"/>
        <bgColor rgb="FFE65100"/>
      </patternFill>
    </fill>
    <fill>
      <patternFill patternType="solid">
        <fgColor rgb="FF33691E"/>
        <bgColor rgb="FF37474F"/>
      </patternFill>
    </fill>
    <fill>
      <patternFill patternType="solid">
        <fgColor rgb="FF37474F"/>
        <bgColor rgb="FF404040"/>
      </patternFill>
    </fill>
    <fill>
      <patternFill patternType="solid">
        <fgColor rgb="FF00606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3691E"/>
      <rgbColor rgb="FF000080"/>
      <rgbColor rgb="FF808000"/>
      <rgbColor rgb="FF800080"/>
      <rgbColor rgb="FF006064"/>
      <rgbColor rgb="FFB4B4B4"/>
      <rgbColor rgb="FF808080"/>
      <rgbColor rgb="FF9999FF"/>
      <rgbColor rgb="FFD84315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5100"/>
      <rgbColor rgb="FFF4511E"/>
      <rgbColor rgb="FF666699"/>
      <rgbColor rgb="FF969696"/>
      <rgbColor rgb="FF003366"/>
      <rgbColor rgb="FF339966"/>
      <rgbColor rgb="FF003300"/>
      <rgbColor rgb="FF333300"/>
      <rgbColor rgb="FFBF360C"/>
      <rgbColor rgb="FF993366"/>
      <rgbColor rgb="FF37474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11" min="9" style="0" width="22"/>
    <col collapsed="false" customWidth="true" hidden="false" outlineLevel="0" max="12" min="12" style="0" width="24"/>
    <col collapsed="false" customWidth="true" hidden="false" outlineLevel="0" max="14" min="13" style="0" width="22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6" t="n">
        <f aca="false">IF(F5&gt;0,E5/F5,0)</f>
        <v>0</v>
      </c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9" t="n">
        <f aca="false">IF(F6&gt;0,E6/F6,0)</f>
        <v>0</v>
      </c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6" t="n">
        <f aca="false">IF(F7&gt;0,E7/F7,0)</f>
        <v>0</v>
      </c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9" t="n">
        <f aca="false">IF(F8&gt;0,E8/F8,0)</f>
        <v>0</v>
      </c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6" t="n">
        <f aca="false">IF(F9&gt;0,E9/F9,0)</f>
        <v>0</v>
      </c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9" t="n">
        <f aca="false">IF(F10&gt;0,E10/F10,0)</f>
        <v>0</v>
      </c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6" t="n">
        <f aca="false">IF(F11&gt;0,E11/F11,0)</f>
        <v>0</v>
      </c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9" t="n">
        <f aca="false">IF(F12&gt;0,E12/F12,0)</f>
        <v>0</v>
      </c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6" t="n">
        <f aca="false">IF(F13&gt;0,E13/F13,0)</f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9" t="n">
        <f aca="false">IF(F14&gt;0,E14/F14,0)</f>
        <v>0</v>
      </c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6" t="n">
        <f aca="false">IF(F15&gt;0,E15/F15,0)</f>
        <v>0</v>
      </c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9" t="n">
        <f aca="false">IF(F16&gt;0,E16/F16,0)</f>
        <v>0</v>
      </c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6" t="n">
        <f aca="false">IF(F17&gt;0,E17/F17,0)</f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9" t="n">
        <f aca="false">IF(F18&gt;0,E18/F18,0)</f>
        <v>0</v>
      </c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6" t="n">
        <f aca="false">IF(F19&gt;0,E19/F19,0)</f>
        <v>0</v>
      </c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9" t="n">
        <f aca="false">IF(F20&gt;0,E20/F20,0)</f>
        <v>0</v>
      </c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6" t="n">
        <f aca="false">IF(F21&gt;0,E21/F21,0)</f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9" t="n">
        <f aca="false">IF(F22&gt;0,E22/F22,0)</f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6" t="n">
        <f aca="false">IF(F23&gt;0,E23/F23,0)</f>
        <v>0</v>
      </c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9" t="n">
        <f aca="false">IF(F24&gt;0,E24/F24,0)</f>
        <v>0</v>
      </c>
      <c r="H24" s="8"/>
      <c r="I24" s="8"/>
      <c r="J24" s="8"/>
      <c r="K24" s="8"/>
      <c r="L24" s="8"/>
      <c r="M24" s="8"/>
      <c r="N24" s="8"/>
      <c r="O24" s="8"/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360C"/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6" min="15" style="0" width="18"/>
    <col collapsed="false" customWidth="true" hidden="false" outlineLevel="0" max="18" min="17" style="0" width="14"/>
  </cols>
  <sheetData>
    <row r="1" customFormat="false" ht="30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4.7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10" t="s">
        <v>2</v>
      </c>
      <c r="B4" s="10" t="s">
        <v>3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  <c r="L4" s="10" t="s">
        <v>29</v>
      </c>
      <c r="M4" s="10" t="s">
        <v>30</v>
      </c>
      <c r="N4" s="10" t="s">
        <v>31</v>
      </c>
      <c r="O4" s="10" t="s">
        <v>32</v>
      </c>
      <c r="P4" s="10" t="s">
        <v>33</v>
      </c>
      <c r="Q4" s="10" t="s">
        <v>16</v>
      </c>
      <c r="R4" s="10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6" t="n">
        <f aca="false">IF(H5&gt;0,G5*H5,0)</f>
        <v>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9" t="n">
        <f aca="false">IF(H6&gt;0,G6*H6,0)</f>
        <v>0</v>
      </c>
      <c r="J6" s="8"/>
      <c r="K6" s="8"/>
      <c r="L6" s="8"/>
      <c r="M6" s="8"/>
      <c r="N6" s="8"/>
      <c r="O6" s="8"/>
      <c r="P6" s="8"/>
      <c r="Q6" s="8"/>
      <c r="R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6" t="n">
        <f aca="false">IF(H7&gt;0,G7*H7,0)</f>
        <v>0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9" t="n">
        <f aca="false">IF(H8&gt;0,G8*H8,0)</f>
        <v>0</v>
      </c>
      <c r="J8" s="8"/>
      <c r="K8" s="8"/>
      <c r="L8" s="8"/>
      <c r="M8" s="8"/>
      <c r="N8" s="8"/>
      <c r="O8" s="8"/>
      <c r="P8" s="8"/>
      <c r="Q8" s="8"/>
      <c r="R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6" t="n">
        <f aca="false">IF(H9&gt;0,G9*H9,0)</f>
        <v>0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9" t="n">
        <f aca="false">IF(H10&gt;0,G10*H10,0)</f>
        <v>0</v>
      </c>
      <c r="J10" s="8"/>
      <c r="K10" s="8"/>
      <c r="L10" s="8"/>
      <c r="M10" s="8"/>
      <c r="N10" s="8"/>
      <c r="O10" s="8"/>
      <c r="P10" s="8"/>
      <c r="Q10" s="8"/>
      <c r="R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6" t="n">
        <f aca="false">IF(H11&gt;0,G11*H11,0)</f>
        <v>0</v>
      </c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9" t="n">
        <f aca="false">IF(H12&gt;0,G12*H12,0)</f>
        <v>0</v>
      </c>
      <c r="J12" s="8"/>
      <c r="K12" s="8"/>
      <c r="L12" s="8"/>
      <c r="M12" s="8"/>
      <c r="N12" s="8"/>
      <c r="O12" s="8"/>
      <c r="P12" s="8"/>
      <c r="Q12" s="8"/>
      <c r="R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6" t="n">
        <f aca="false">IF(H13&gt;0,G13*H13,0)</f>
        <v>0</v>
      </c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9" t="n">
        <f aca="false">IF(H14&gt;0,G14*H14,0)</f>
        <v>0</v>
      </c>
      <c r="J14" s="8"/>
      <c r="K14" s="8"/>
      <c r="L14" s="8"/>
      <c r="M14" s="8"/>
      <c r="N14" s="8"/>
      <c r="O14" s="8"/>
      <c r="P14" s="8"/>
      <c r="Q14" s="8"/>
      <c r="R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6" t="n">
        <f aca="false">IF(H15&gt;0,G15*H15,0)</f>
        <v>0</v>
      </c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9" t="n">
        <f aca="false">IF(H16&gt;0,G16*H16,0)</f>
        <v>0</v>
      </c>
      <c r="J16" s="8"/>
      <c r="K16" s="8"/>
      <c r="L16" s="8"/>
      <c r="M16" s="8"/>
      <c r="N16" s="8"/>
      <c r="O16" s="8"/>
      <c r="P16" s="8"/>
      <c r="Q16" s="8"/>
      <c r="R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6" t="n">
        <f aca="false">IF(H17&gt;0,G17*H17,0)</f>
        <v>0</v>
      </c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9" t="n">
        <f aca="false">IF(H18&gt;0,G18*H18,0)</f>
        <v>0</v>
      </c>
      <c r="J18" s="8"/>
      <c r="K18" s="8"/>
      <c r="L18" s="8"/>
      <c r="M18" s="8"/>
      <c r="N18" s="8"/>
      <c r="O18" s="8"/>
      <c r="P18" s="8"/>
      <c r="Q18" s="8"/>
      <c r="R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6" t="n">
        <f aca="false">IF(H19&gt;0,G19*H19,0)</f>
        <v>0</v>
      </c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9" t="n">
        <f aca="false">IF(H20&gt;0,G20*H20,0)</f>
        <v>0</v>
      </c>
      <c r="J20" s="8"/>
      <c r="K20" s="8"/>
      <c r="L20" s="8"/>
      <c r="M20" s="8"/>
      <c r="N20" s="8"/>
      <c r="O20" s="8"/>
      <c r="P20" s="8"/>
      <c r="Q20" s="8"/>
      <c r="R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6" t="n">
        <f aca="false">IF(H21&gt;0,G21*H21,0)</f>
        <v>0</v>
      </c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9" t="n">
        <f aca="false">IF(H22&gt;0,G22*H22,0)</f>
        <v>0</v>
      </c>
      <c r="J22" s="8"/>
      <c r="K22" s="8"/>
      <c r="L22" s="8"/>
      <c r="M22" s="8"/>
      <c r="N22" s="8"/>
      <c r="O22" s="8"/>
      <c r="P22" s="8"/>
      <c r="Q22" s="8"/>
      <c r="R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6" t="n">
        <f aca="false">IF(H23&gt;0,G23*H23,0)</f>
        <v>0</v>
      </c>
      <c r="J23" s="5"/>
      <c r="K23" s="5"/>
      <c r="L23" s="5"/>
      <c r="M23" s="5"/>
      <c r="N23" s="5"/>
      <c r="O23" s="5"/>
      <c r="P23" s="5"/>
      <c r="Q23" s="5"/>
      <c r="R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9" t="n">
        <f aca="false">IF(H24&gt;0,G24*H24,0)</f>
        <v>0</v>
      </c>
      <c r="J24" s="8"/>
      <c r="K24" s="8"/>
      <c r="L24" s="8"/>
      <c r="M24" s="8"/>
      <c r="N24" s="8"/>
      <c r="O24" s="8"/>
      <c r="P24" s="8"/>
      <c r="Q24" s="8"/>
      <c r="R24" s="8"/>
    </row>
    <row r="25" customFormat="false" ht="15" hidden="false" customHeight="false" outlineLevel="0" collapsed="false">
      <c r="A25" s="4" t="n">
        <v>21</v>
      </c>
      <c r="B25" s="5"/>
      <c r="C25" s="5"/>
      <c r="D25" s="5"/>
      <c r="E25" s="5"/>
      <c r="F25" s="5"/>
      <c r="G25" s="5"/>
      <c r="H25" s="5"/>
      <c r="I25" s="6" t="n">
        <f aca="false">IF(H25&gt;0,G25*H25,0)</f>
        <v>0</v>
      </c>
      <c r="J25" s="5"/>
      <c r="K25" s="5"/>
      <c r="L25" s="5"/>
      <c r="M25" s="5"/>
      <c r="N25" s="5"/>
      <c r="O25" s="5"/>
      <c r="P25" s="5"/>
      <c r="Q25" s="5"/>
      <c r="R25" s="5"/>
    </row>
    <row r="26" customFormat="false" ht="15" hidden="false" customHeight="false" outlineLevel="0" collapsed="false">
      <c r="A26" s="7" t="n">
        <v>22</v>
      </c>
      <c r="B26" s="8"/>
      <c r="C26" s="8"/>
      <c r="D26" s="8"/>
      <c r="E26" s="8"/>
      <c r="F26" s="8"/>
      <c r="G26" s="8"/>
      <c r="H26" s="8"/>
      <c r="I26" s="9" t="n">
        <f aca="false">IF(H26&gt;0,G26*H26,0)</f>
        <v>0</v>
      </c>
      <c r="J26" s="8"/>
      <c r="K26" s="8"/>
      <c r="L26" s="8"/>
      <c r="M26" s="8"/>
      <c r="N26" s="8"/>
      <c r="O26" s="8"/>
      <c r="P26" s="8"/>
      <c r="Q26" s="8"/>
      <c r="R26" s="8"/>
    </row>
    <row r="27" customFormat="false" ht="15" hidden="false" customHeight="false" outlineLevel="0" collapsed="false">
      <c r="A27" s="4" t="n">
        <v>23</v>
      </c>
      <c r="B27" s="5"/>
      <c r="C27" s="5"/>
      <c r="D27" s="5"/>
      <c r="E27" s="5"/>
      <c r="F27" s="5"/>
      <c r="G27" s="5"/>
      <c r="H27" s="5"/>
      <c r="I27" s="6" t="n">
        <f aca="false">IF(H27&gt;0,G27*H27,0)</f>
        <v>0</v>
      </c>
      <c r="J27" s="5"/>
      <c r="K27" s="5"/>
      <c r="L27" s="5"/>
      <c r="M27" s="5"/>
      <c r="N27" s="5"/>
      <c r="O27" s="5"/>
      <c r="P27" s="5"/>
      <c r="Q27" s="5"/>
      <c r="R27" s="5"/>
    </row>
    <row r="28" customFormat="false" ht="15" hidden="false" customHeight="false" outlineLevel="0" collapsed="false">
      <c r="A28" s="7" t="n">
        <v>24</v>
      </c>
      <c r="B28" s="8"/>
      <c r="C28" s="8"/>
      <c r="D28" s="8"/>
      <c r="E28" s="8"/>
      <c r="F28" s="8"/>
      <c r="G28" s="8"/>
      <c r="H28" s="8"/>
      <c r="I28" s="9" t="n">
        <f aca="false">IF(H28&gt;0,G28*H28,0)</f>
        <v>0</v>
      </c>
      <c r="J28" s="8"/>
      <c r="K28" s="8"/>
      <c r="L28" s="8"/>
      <c r="M28" s="8"/>
      <c r="N28" s="8"/>
      <c r="O28" s="8"/>
      <c r="P28" s="8"/>
      <c r="Q28" s="8"/>
      <c r="R28" s="8"/>
    </row>
    <row r="29" customFormat="false" ht="15" hidden="false" customHeight="false" outlineLevel="0" collapsed="false">
      <c r="A29" s="4" t="n">
        <v>25</v>
      </c>
      <c r="B29" s="5"/>
      <c r="C29" s="5"/>
      <c r="D29" s="5"/>
      <c r="E29" s="5"/>
      <c r="F29" s="5"/>
      <c r="G29" s="5"/>
      <c r="H29" s="5"/>
      <c r="I29" s="6" t="n">
        <f aca="false">IF(H29&gt;0,G29*H29,0)</f>
        <v>0</v>
      </c>
      <c r="J29" s="5"/>
      <c r="K29" s="5"/>
      <c r="L29" s="5"/>
      <c r="M29" s="5"/>
      <c r="N29" s="5"/>
      <c r="O29" s="5"/>
      <c r="P29" s="5"/>
      <c r="Q29" s="5"/>
      <c r="R29" s="5"/>
    </row>
    <row r="30" customFormat="false" ht="15" hidden="false" customHeight="false" outlineLevel="0" collapsed="false">
      <c r="A30" s="7" t="n">
        <v>26</v>
      </c>
      <c r="B30" s="8"/>
      <c r="C30" s="8"/>
      <c r="D30" s="8"/>
      <c r="E30" s="8"/>
      <c r="F30" s="8"/>
      <c r="G30" s="8"/>
      <c r="H30" s="8"/>
      <c r="I30" s="9" t="n">
        <f aca="false">IF(H30&gt;0,G30*H30,0)</f>
        <v>0</v>
      </c>
      <c r="J30" s="8"/>
      <c r="K30" s="8"/>
      <c r="L30" s="8"/>
      <c r="M30" s="8"/>
      <c r="N30" s="8"/>
      <c r="O30" s="8"/>
      <c r="P30" s="8"/>
      <c r="Q30" s="8"/>
      <c r="R30" s="8"/>
    </row>
    <row r="31" customFormat="false" ht="15" hidden="false" customHeight="false" outlineLevel="0" collapsed="false">
      <c r="A31" s="4" t="n">
        <v>27</v>
      </c>
      <c r="B31" s="5"/>
      <c r="C31" s="5"/>
      <c r="D31" s="5"/>
      <c r="E31" s="5"/>
      <c r="F31" s="5"/>
      <c r="G31" s="5"/>
      <c r="H31" s="5"/>
      <c r="I31" s="6" t="n">
        <f aca="false">IF(H31&gt;0,G31*H31,0)</f>
        <v>0</v>
      </c>
      <c r="J31" s="5"/>
      <c r="K31" s="5"/>
      <c r="L31" s="5"/>
      <c r="M31" s="5"/>
      <c r="N31" s="5"/>
      <c r="O31" s="5"/>
      <c r="P31" s="5"/>
      <c r="Q31" s="5"/>
      <c r="R31" s="5"/>
    </row>
    <row r="32" customFormat="false" ht="15" hidden="false" customHeight="false" outlineLevel="0" collapsed="false">
      <c r="A32" s="7" t="n">
        <v>28</v>
      </c>
      <c r="B32" s="8"/>
      <c r="C32" s="8"/>
      <c r="D32" s="8"/>
      <c r="E32" s="8"/>
      <c r="F32" s="8"/>
      <c r="G32" s="8"/>
      <c r="H32" s="8"/>
      <c r="I32" s="9" t="n">
        <f aca="false">IF(H32&gt;0,G32*H32,0)</f>
        <v>0</v>
      </c>
      <c r="J32" s="8"/>
      <c r="K32" s="8"/>
      <c r="L32" s="8"/>
      <c r="M32" s="8"/>
      <c r="N32" s="8"/>
      <c r="O32" s="8"/>
      <c r="P32" s="8"/>
      <c r="Q32" s="8"/>
      <c r="R32" s="8"/>
    </row>
    <row r="33" customFormat="false" ht="15" hidden="false" customHeight="false" outlineLevel="0" collapsed="false">
      <c r="A33" s="4" t="n">
        <v>29</v>
      </c>
      <c r="B33" s="5"/>
      <c r="C33" s="5"/>
      <c r="D33" s="5"/>
      <c r="E33" s="5"/>
      <c r="F33" s="5"/>
      <c r="G33" s="5"/>
      <c r="H33" s="5"/>
      <c r="I33" s="6" t="n">
        <f aca="false">IF(H33&gt;0,G33*H33,0)</f>
        <v>0</v>
      </c>
      <c r="J33" s="5"/>
      <c r="K33" s="5"/>
      <c r="L33" s="5"/>
      <c r="M33" s="5"/>
      <c r="N33" s="5"/>
      <c r="O33" s="5"/>
      <c r="P33" s="5"/>
      <c r="Q33" s="5"/>
      <c r="R33" s="5"/>
    </row>
    <row r="34" customFormat="false" ht="15" hidden="false" customHeight="false" outlineLevel="0" collapsed="false">
      <c r="A34" s="7" t="n">
        <v>30</v>
      </c>
      <c r="B34" s="8"/>
      <c r="C34" s="8"/>
      <c r="D34" s="8"/>
      <c r="E34" s="8"/>
      <c r="F34" s="8"/>
      <c r="G34" s="8"/>
      <c r="H34" s="8"/>
      <c r="I34" s="9" t="n">
        <f aca="false">IF(H34&gt;0,G34*H34,0)</f>
        <v>0</v>
      </c>
      <c r="J34" s="8"/>
      <c r="K34" s="8"/>
      <c r="L34" s="8"/>
      <c r="M34" s="8"/>
      <c r="N34" s="8"/>
      <c r="O34" s="8"/>
      <c r="P34" s="8"/>
      <c r="Q34" s="8"/>
      <c r="R34" s="8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4315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9" min="8" style="0" width="22"/>
    <col collapsed="false" customWidth="true" hidden="false" outlineLevel="0" max="10" min="10" style="0" width="18"/>
    <col collapsed="false" customWidth="true" hidden="false" outlineLevel="0" max="11" min="11" style="0" width="26"/>
    <col collapsed="false" customWidth="true" hidden="false" outlineLevel="0" max="12" min="12" style="0" width="24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11" t="s">
        <v>2</v>
      </c>
      <c r="B4" s="11" t="s">
        <v>3</v>
      </c>
      <c r="C4" s="11" t="s">
        <v>4</v>
      </c>
      <c r="D4" s="11" t="s">
        <v>5</v>
      </c>
      <c r="E4" s="11" t="s">
        <v>36</v>
      </c>
      <c r="F4" s="11" t="s">
        <v>37</v>
      </c>
      <c r="G4" s="11" t="s">
        <v>38</v>
      </c>
      <c r="H4" s="11" t="s">
        <v>39</v>
      </c>
      <c r="I4" s="11" t="s">
        <v>40</v>
      </c>
      <c r="J4" s="11" t="s">
        <v>41</v>
      </c>
      <c r="K4" s="11" t="s">
        <v>42</v>
      </c>
      <c r="L4" s="11" t="s">
        <v>43</v>
      </c>
      <c r="M4" s="11" t="s">
        <v>44</v>
      </c>
      <c r="N4" s="11" t="s">
        <v>45</v>
      </c>
      <c r="O4" s="11" t="s">
        <v>16</v>
      </c>
      <c r="P4" s="11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691E"/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22"/>
    <col collapsed="false" customWidth="true" hidden="false" outlineLevel="0" max="10" min="9" style="0" width="20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24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12" t="s">
        <v>2</v>
      </c>
      <c r="B4" s="12" t="s">
        <v>3</v>
      </c>
      <c r="C4" s="12" t="s">
        <v>48</v>
      </c>
      <c r="D4" s="12" t="s">
        <v>21</v>
      </c>
      <c r="E4" s="12" t="s">
        <v>49</v>
      </c>
      <c r="F4" s="12" t="s">
        <v>50</v>
      </c>
      <c r="G4" s="12" t="s">
        <v>51</v>
      </c>
      <c r="H4" s="12" t="s">
        <v>52</v>
      </c>
      <c r="I4" s="12" t="s">
        <v>53</v>
      </c>
      <c r="J4" s="12" t="s">
        <v>54</v>
      </c>
      <c r="K4" s="12" t="s">
        <v>55</v>
      </c>
      <c r="L4" s="12" t="s">
        <v>56</v>
      </c>
      <c r="M4" s="12" t="s">
        <v>57</v>
      </c>
      <c r="N4" s="12" t="s">
        <v>58</v>
      </c>
      <c r="O4" s="12" t="s">
        <v>16</v>
      </c>
      <c r="P4" s="12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15" hidden="false" customHeight="false" outlineLevel="0" collapsed="false">
      <c r="A25" s="4" t="n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15" hidden="false" customHeight="false" outlineLevel="0" collapsed="false">
      <c r="A26" s="7" t="n">
        <v>22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15" hidden="false" customHeight="false" outlineLevel="0" collapsed="false">
      <c r="A27" s="4" t="n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15" hidden="false" customHeight="false" outlineLevel="0" collapsed="false">
      <c r="A28" s="7" t="n">
        <v>24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15" hidden="false" customHeight="false" outlineLevel="0" collapsed="false">
      <c r="A29" s="4" t="n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customFormat="false" ht="15" hidden="false" customHeight="false" outlineLevel="0" collapsed="false">
      <c r="A30" s="7" t="n">
        <v>26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15" hidden="false" customHeight="false" outlineLevel="0" collapsed="false">
      <c r="A31" s="4" t="n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customFormat="false" ht="15" hidden="false" customHeight="false" outlineLevel="0" collapsed="false">
      <c r="A32" s="7" t="n">
        <v>28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customFormat="false" ht="15" hidden="false" customHeight="false" outlineLevel="0" collapsed="false">
      <c r="A33" s="4" t="n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customFormat="false" ht="15" hidden="false" customHeight="false" outlineLevel="0" collapsed="false">
      <c r="A34" s="7" t="n">
        <v>30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8" min="4" style="0" width="12"/>
    <col collapsed="false" customWidth="true" hidden="false" outlineLevel="0" max="10" min="9" style="0" width="14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3" t="s">
        <v>2</v>
      </c>
      <c r="B4" s="13" t="s">
        <v>3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3" t="s">
        <v>66</v>
      </c>
      <c r="I4" s="13" t="s">
        <v>67</v>
      </c>
      <c r="J4" s="13" t="s">
        <v>68</v>
      </c>
      <c r="K4" s="13" t="s">
        <v>69</v>
      </c>
      <c r="L4" s="13" t="s">
        <v>70</v>
      </c>
      <c r="M4" s="13" t="s">
        <v>71</v>
      </c>
      <c r="N4" s="13" t="s">
        <v>72</v>
      </c>
      <c r="O4" s="13" t="s">
        <v>16</v>
      </c>
      <c r="P4" s="13" t="s">
        <v>17</v>
      </c>
    </row>
    <row r="5" customFormat="false" ht="23.85" hidden="false" customHeight="false" outlineLevel="0" collapsed="false">
      <c r="A5" s="4" t="n">
        <v>1</v>
      </c>
      <c r="B5" s="5"/>
      <c r="C5" s="14" t="s">
        <v>73</v>
      </c>
      <c r="D5" s="5"/>
      <c r="E5" s="5"/>
      <c r="F5" s="5"/>
      <c r="G5" s="5"/>
      <c r="H5" s="5"/>
      <c r="I5" s="15" t="n">
        <f aca="false">H5-D5</f>
        <v>0</v>
      </c>
      <c r="J5" s="15" t="n">
        <f aca="false">IF(COUNTA(D5:H5)&gt;0,AVERAGE(D5:H5),0)</f>
        <v>0</v>
      </c>
      <c r="K5" s="15" t="n">
        <f aca="false">MAX(D5:H5)</f>
        <v>0</v>
      </c>
      <c r="L5" s="15" t="n">
        <f aca="false">MIN(D5:H5)</f>
        <v>0</v>
      </c>
      <c r="M5" s="5"/>
      <c r="N5" s="5"/>
      <c r="O5" s="5"/>
      <c r="P5" s="5"/>
    </row>
    <row r="6" customFormat="false" ht="23.85" hidden="false" customHeight="false" outlineLevel="0" collapsed="false">
      <c r="A6" s="7" t="n">
        <v>2</v>
      </c>
      <c r="B6" s="8"/>
      <c r="C6" s="16" t="s">
        <v>74</v>
      </c>
      <c r="D6" s="8"/>
      <c r="E6" s="8"/>
      <c r="F6" s="8"/>
      <c r="G6" s="8"/>
      <c r="H6" s="8"/>
      <c r="I6" s="17" t="n">
        <f aca="false">H6-D6</f>
        <v>0</v>
      </c>
      <c r="J6" s="17" t="n">
        <f aca="false">IF(COUNTA(D6:H6)&gt;0,AVERAGE(D6:H6),0)</f>
        <v>0</v>
      </c>
      <c r="K6" s="17" t="n">
        <f aca="false">MAX(D6:H6)</f>
        <v>0</v>
      </c>
      <c r="L6" s="17" t="n">
        <f aca="false">MIN(D6:H6)</f>
        <v>0</v>
      </c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14" t="s">
        <v>75</v>
      </c>
      <c r="D7" s="5"/>
      <c r="E7" s="5"/>
      <c r="F7" s="5"/>
      <c r="G7" s="5"/>
      <c r="H7" s="5"/>
      <c r="I7" s="15" t="n">
        <f aca="false">H7-D7</f>
        <v>0</v>
      </c>
      <c r="J7" s="15" t="n">
        <f aca="false">IF(COUNTA(D7:H7)&gt;0,AVERAGE(D7:H7),0)</f>
        <v>0</v>
      </c>
      <c r="K7" s="15" t="n">
        <f aca="false">MAX(D7:H7)</f>
        <v>0</v>
      </c>
      <c r="L7" s="15" t="n">
        <f aca="false">MIN(D7:H7)</f>
        <v>0</v>
      </c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16" t="s">
        <v>76</v>
      </c>
      <c r="D8" s="8"/>
      <c r="E8" s="8"/>
      <c r="F8" s="8"/>
      <c r="G8" s="8"/>
      <c r="H8" s="8"/>
      <c r="I8" s="17" t="n">
        <f aca="false">H8-D8</f>
        <v>0</v>
      </c>
      <c r="J8" s="17" t="n">
        <f aca="false">IF(COUNTA(D8:H8)&gt;0,AVERAGE(D8:H8),0)</f>
        <v>0</v>
      </c>
      <c r="K8" s="17" t="n">
        <f aca="false">MAX(D8:H8)</f>
        <v>0</v>
      </c>
      <c r="L8" s="17" t="n">
        <f aca="false">MIN(D8:H8)</f>
        <v>0</v>
      </c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14" t="s">
        <v>42</v>
      </c>
      <c r="D9" s="5"/>
      <c r="E9" s="5"/>
      <c r="F9" s="5"/>
      <c r="G9" s="5"/>
      <c r="H9" s="5"/>
      <c r="I9" s="15" t="n">
        <f aca="false">H9-D9</f>
        <v>0</v>
      </c>
      <c r="J9" s="15" t="n">
        <f aca="false">IF(COUNTA(D9:H9)&gt;0,AVERAGE(D9:H9),0)</f>
        <v>0</v>
      </c>
      <c r="K9" s="15" t="n">
        <f aca="false">MAX(D9:H9)</f>
        <v>0</v>
      </c>
      <c r="L9" s="15" t="n">
        <f aca="false">MIN(D9:H9)</f>
        <v>0</v>
      </c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16" t="s">
        <v>77</v>
      </c>
      <c r="D10" s="8"/>
      <c r="E10" s="8"/>
      <c r="F10" s="8"/>
      <c r="G10" s="8"/>
      <c r="H10" s="8"/>
      <c r="I10" s="17" t="n">
        <f aca="false">H10-D10</f>
        <v>0</v>
      </c>
      <c r="J10" s="17" t="n">
        <f aca="false">IF(COUNTA(D10:H10)&gt;0,AVERAGE(D10:H10),0)</f>
        <v>0</v>
      </c>
      <c r="K10" s="17" t="n">
        <f aca="false">MAX(D10:H10)</f>
        <v>0</v>
      </c>
      <c r="L10" s="17" t="n">
        <f aca="false">MIN(D10:H10)</f>
        <v>0</v>
      </c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14" t="s">
        <v>78</v>
      </c>
      <c r="D11" s="5"/>
      <c r="E11" s="5"/>
      <c r="F11" s="5"/>
      <c r="G11" s="5"/>
      <c r="H11" s="5"/>
      <c r="I11" s="15" t="n">
        <f aca="false">H11-D11</f>
        <v>0</v>
      </c>
      <c r="J11" s="15" t="n">
        <f aca="false">IF(COUNTA(D11:H11)&gt;0,AVERAGE(D11:H11),0)</f>
        <v>0</v>
      </c>
      <c r="K11" s="15" t="n">
        <f aca="false">MAX(D11:H11)</f>
        <v>0</v>
      </c>
      <c r="L11" s="15" t="n">
        <f aca="false">MIN(D11:H11)</f>
        <v>0</v>
      </c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16" t="s">
        <v>44</v>
      </c>
      <c r="D12" s="8"/>
      <c r="E12" s="8"/>
      <c r="F12" s="8"/>
      <c r="G12" s="8"/>
      <c r="H12" s="8"/>
      <c r="I12" s="17" t="n">
        <f aca="false">H12-D12</f>
        <v>0</v>
      </c>
      <c r="J12" s="17" t="n">
        <f aca="false">IF(COUNTA(D12:H12)&gt;0,AVERAGE(D12:H12),0)</f>
        <v>0</v>
      </c>
      <c r="K12" s="17" t="n">
        <f aca="false">MAX(D12:H12)</f>
        <v>0</v>
      </c>
      <c r="L12" s="17" t="n">
        <f aca="false">MIN(D12:H12)</f>
        <v>0</v>
      </c>
      <c r="M12" s="8"/>
      <c r="N12" s="8"/>
      <c r="O12" s="8"/>
      <c r="P12" s="8"/>
    </row>
    <row r="13" customFormat="false" ht="15" hidden="false" customHeight="false" outlineLevel="0" collapsed="false">
      <c r="A13" s="4" t="n">
        <v>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8" t="s">
        <v>2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85</v>
      </c>
      <c r="G4" s="18" t="s">
        <v>86</v>
      </c>
      <c r="H4" s="18" t="s">
        <v>87</v>
      </c>
      <c r="I4" s="18" t="s">
        <v>88</v>
      </c>
      <c r="J4" s="18" t="s">
        <v>89</v>
      </c>
      <c r="K4" s="18" t="s">
        <v>90</v>
      </c>
      <c r="L4" s="18" t="s">
        <v>17</v>
      </c>
    </row>
    <row r="5" customFormat="false" ht="23.85" hidden="false" customHeight="false" outlineLevel="0" collapsed="false">
      <c r="A5" s="4" t="n">
        <v>1</v>
      </c>
      <c r="B5" s="19" t="s">
        <v>91</v>
      </c>
      <c r="C5" s="20" t="s">
        <v>92</v>
      </c>
      <c r="D5" s="20" t="s">
        <v>93</v>
      </c>
      <c r="E5" s="4" t="s">
        <v>94</v>
      </c>
      <c r="F5" s="5"/>
      <c r="G5" s="5"/>
      <c r="H5" s="5"/>
      <c r="I5" s="5"/>
      <c r="J5" s="5"/>
      <c r="K5" s="5"/>
      <c r="L5" s="5"/>
    </row>
    <row r="6" customFormat="false" ht="23.85" hidden="false" customHeight="false" outlineLevel="0" collapsed="false">
      <c r="A6" s="7" t="n">
        <v>2</v>
      </c>
      <c r="B6" s="21" t="s">
        <v>91</v>
      </c>
      <c r="C6" s="22" t="s">
        <v>95</v>
      </c>
      <c r="D6" s="22" t="s">
        <v>96</v>
      </c>
      <c r="E6" s="7" t="s">
        <v>97</v>
      </c>
      <c r="F6" s="8"/>
      <c r="G6" s="8"/>
      <c r="H6" s="8"/>
      <c r="I6" s="8"/>
      <c r="J6" s="8"/>
      <c r="K6" s="8"/>
      <c r="L6" s="8"/>
    </row>
    <row r="7" customFormat="false" ht="35.05" hidden="false" customHeight="false" outlineLevel="0" collapsed="false">
      <c r="A7" s="4" t="n">
        <v>3</v>
      </c>
      <c r="B7" s="19" t="s">
        <v>91</v>
      </c>
      <c r="C7" s="20" t="s">
        <v>98</v>
      </c>
      <c r="D7" s="20" t="s">
        <v>99</v>
      </c>
      <c r="E7" s="4" t="s">
        <v>100</v>
      </c>
      <c r="F7" s="5"/>
      <c r="G7" s="5"/>
      <c r="H7" s="5"/>
      <c r="I7" s="5"/>
      <c r="J7" s="5"/>
      <c r="K7" s="5"/>
      <c r="L7" s="5"/>
    </row>
    <row r="8" customFormat="false" ht="35.05" hidden="false" customHeight="false" outlineLevel="0" collapsed="false">
      <c r="A8" s="7" t="n">
        <v>4</v>
      </c>
      <c r="B8" s="21" t="s">
        <v>91</v>
      </c>
      <c r="C8" s="22" t="s">
        <v>101</v>
      </c>
      <c r="D8" s="22" t="s">
        <v>102</v>
      </c>
      <c r="E8" s="7" t="s">
        <v>103</v>
      </c>
      <c r="F8" s="8"/>
      <c r="G8" s="8"/>
      <c r="H8" s="8"/>
      <c r="I8" s="8"/>
      <c r="J8" s="8"/>
      <c r="K8" s="8"/>
      <c r="L8" s="8"/>
    </row>
    <row r="9" customFormat="false" ht="35.05" hidden="false" customHeight="false" outlineLevel="0" collapsed="false">
      <c r="A9" s="4" t="n">
        <v>5</v>
      </c>
      <c r="B9" s="19" t="s">
        <v>104</v>
      </c>
      <c r="C9" s="20" t="s">
        <v>105</v>
      </c>
      <c r="D9" s="20" t="s">
        <v>106</v>
      </c>
      <c r="E9" s="4" t="s">
        <v>107</v>
      </c>
      <c r="F9" s="5"/>
      <c r="G9" s="5"/>
      <c r="H9" s="5"/>
      <c r="I9" s="5"/>
      <c r="J9" s="5"/>
      <c r="K9" s="5"/>
      <c r="L9" s="5"/>
    </row>
    <row r="10" customFormat="false" ht="23.85" hidden="false" customHeight="false" outlineLevel="0" collapsed="false">
      <c r="A10" s="7" t="n">
        <v>6</v>
      </c>
      <c r="B10" s="21" t="s">
        <v>104</v>
      </c>
      <c r="C10" s="22" t="s">
        <v>108</v>
      </c>
      <c r="D10" s="22" t="s">
        <v>109</v>
      </c>
      <c r="E10" s="7" t="s">
        <v>110</v>
      </c>
      <c r="F10" s="8"/>
      <c r="G10" s="8"/>
      <c r="H10" s="8"/>
      <c r="I10" s="8"/>
      <c r="J10" s="8"/>
      <c r="K10" s="8"/>
      <c r="L10" s="8"/>
    </row>
    <row r="11" customFormat="false" ht="23.85" hidden="false" customHeight="false" outlineLevel="0" collapsed="false">
      <c r="A11" s="4" t="n">
        <v>7</v>
      </c>
      <c r="B11" s="19" t="s">
        <v>104</v>
      </c>
      <c r="C11" s="20" t="s">
        <v>111</v>
      </c>
      <c r="D11" s="20" t="s">
        <v>112</v>
      </c>
      <c r="E11" s="4" t="s">
        <v>113</v>
      </c>
      <c r="F11" s="5"/>
      <c r="G11" s="5"/>
      <c r="H11" s="5"/>
      <c r="I11" s="5"/>
      <c r="J11" s="5"/>
      <c r="K11" s="5"/>
      <c r="L11" s="5"/>
    </row>
    <row r="12" customFormat="false" ht="35.05" hidden="false" customHeight="false" outlineLevel="0" collapsed="false">
      <c r="A12" s="7" t="n">
        <v>8</v>
      </c>
      <c r="B12" s="21" t="s">
        <v>104</v>
      </c>
      <c r="C12" s="22" t="s">
        <v>114</v>
      </c>
      <c r="D12" s="22" t="s">
        <v>115</v>
      </c>
      <c r="E12" s="7" t="s">
        <v>116</v>
      </c>
      <c r="F12" s="8"/>
      <c r="G12" s="8"/>
      <c r="H12" s="8"/>
      <c r="I12" s="8"/>
      <c r="J12" s="8"/>
      <c r="K12" s="8"/>
      <c r="L12" s="8"/>
    </row>
    <row r="13" customFormat="false" ht="35.05" hidden="false" customHeight="false" outlineLevel="0" collapsed="false">
      <c r="A13" s="4" t="n">
        <v>9</v>
      </c>
      <c r="B13" s="19" t="s">
        <v>117</v>
      </c>
      <c r="C13" s="20" t="s">
        <v>118</v>
      </c>
      <c r="D13" s="20" t="s">
        <v>119</v>
      </c>
      <c r="E13" s="4" t="s">
        <v>120</v>
      </c>
      <c r="F13" s="5"/>
      <c r="G13" s="5"/>
      <c r="H13" s="5"/>
      <c r="I13" s="5"/>
      <c r="J13" s="5"/>
      <c r="K13" s="5"/>
      <c r="L13" s="5"/>
    </row>
    <row r="14" customFormat="false" ht="35.05" hidden="false" customHeight="false" outlineLevel="0" collapsed="false">
      <c r="A14" s="7" t="n">
        <v>10</v>
      </c>
      <c r="B14" s="21" t="s">
        <v>117</v>
      </c>
      <c r="C14" s="22" t="s">
        <v>121</v>
      </c>
      <c r="D14" s="22" t="s">
        <v>122</v>
      </c>
      <c r="E14" s="7" t="s">
        <v>123</v>
      </c>
      <c r="F14" s="8"/>
      <c r="G14" s="8"/>
      <c r="H14" s="8"/>
      <c r="I14" s="8"/>
      <c r="J14" s="8"/>
      <c r="K14" s="8"/>
      <c r="L14" s="8"/>
    </row>
    <row r="15" customFormat="false" ht="35.05" hidden="false" customHeight="false" outlineLevel="0" collapsed="false">
      <c r="A15" s="4" t="n">
        <v>11</v>
      </c>
      <c r="B15" s="19" t="s">
        <v>117</v>
      </c>
      <c r="C15" s="20" t="s">
        <v>124</v>
      </c>
      <c r="D15" s="20" t="s">
        <v>125</v>
      </c>
      <c r="E15" s="4" t="s">
        <v>126</v>
      </c>
      <c r="F15" s="5"/>
      <c r="G15" s="5"/>
      <c r="H15" s="5"/>
      <c r="I15" s="5"/>
      <c r="J15" s="5"/>
      <c r="K15" s="5"/>
      <c r="L15" s="5"/>
    </row>
    <row r="16" customFormat="false" ht="35.05" hidden="false" customHeight="false" outlineLevel="0" collapsed="false">
      <c r="A16" s="7" t="n">
        <v>12</v>
      </c>
      <c r="B16" s="21" t="s">
        <v>127</v>
      </c>
      <c r="C16" s="22" t="s">
        <v>128</v>
      </c>
      <c r="D16" s="22" t="s">
        <v>129</v>
      </c>
      <c r="E16" s="7" t="s">
        <v>130</v>
      </c>
      <c r="F16" s="8"/>
      <c r="G16" s="8"/>
      <c r="H16" s="8"/>
      <c r="I16" s="8"/>
      <c r="J16" s="8"/>
      <c r="K16" s="8"/>
      <c r="L16" s="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131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2" t="s">
        <v>132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138</v>
      </c>
    </row>
    <row r="5" customFormat="false" ht="102.2" hidden="false" customHeight="false" outlineLevel="0" collapsed="false">
      <c r="A5" s="23" t="n">
        <v>1</v>
      </c>
      <c r="B5" s="24" t="s">
        <v>139</v>
      </c>
      <c r="C5" s="24" t="s">
        <v>140</v>
      </c>
      <c r="D5" s="24" t="s">
        <v>141</v>
      </c>
      <c r="E5" s="24" t="s">
        <v>142</v>
      </c>
      <c r="F5" s="24" t="s">
        <v>143</v>
      </c>
    </row>
    <row r="8" customFormat="false" ht="24.75" hidden="false" customHeight="true" outlineLevel="0" collapsed="false">
      <c r="A8" s="2" t="s">
        <v>144</v>
      </c>
      <c r="B8" s="2"/>
      <c r="C8" s="2"/>
      <c r="D8" s="2"/>
      <c r="E8" s="2"/>
      <c r="F8" s="2"/>
    </row>
    <row r="9" customFormat="false" ht="15" hidden="false" customHeight="true" outlineLevel="0" collapsed="false">
      <c r="A9" s="25" t="s">
        <v>145</v>
      </c>
      <c r="B9" s="25"/>
      <c r="C9" s="25"/>
      <c r="D9" s="25"/>
      <c r="E9" s="25"/>
      <c r="F9" s="25"/>
    </row>
    <row r="10" customFormat="false" ht="35.05" hidden="false" customHeight="true" outlineLevel="0" collapsed="false">
      <c r="A10" s="25" t="s">
        <v>146</v>
      </c>
      <c r="B10" s="25"/>
      <c r="C10" s="25"/>
      <c r="D10" s="25"/>
      <c r="E10" s="25"/>
      <c r="F10" s="25"/>
    </row>
    <row r="11" customFormat="false" ht="23.85" hidden="false" customHeight="true" outlineLevel="0" collapsed="false">
      <c r="A11" s="25" t="s">
        <v>147</v>
      </c>
      <c r="B11" s="25"/>
      <c r="C11" s="25"/>
      <c r="D11" s="25"/>
      <c r="E11" s="25"/>
      <c r="F11" s="25"/>
    </row>
    <row r="12" customFormat="false" ht="23.85" hidden="false" customHeight="true" outlineLevel="0" collapsed="false">
      <c r="A12" s="25" t="s">
        <v>148</v>
      </c>
      <c r="B12" s="25"/>
      <c r="C12" s="25"/>
      <c r="D12" s="25"/>
      <c r="E12" s="25"/>
      <c r="F12" s="25"/>
    </row>
    <row r="13" customFormat="false" ht="23.85" hidden="false" customHeight="true" outlineLevel="0" collapsed="false">
      <c r="A13" s="25" t="s">
        <v>149</v>
      </c>
      <c r="B13" s="25"/>
      <c r="C13" s="25"/>
      <c r="D13" s="25"/>
      <c r="E13" s="25"/>
      <c r="F13" s="25"/>
    </row>
    <row r="14" customFormat="false" ht="23.85" hidden="false" customHeight="true" outlineLevel="0" collapsed="false">
      <c r="A14" s="25" t="s">
        <v>150</v>
      </c>
      <c r="B14" s="25"/>
      <c r="C14" s="25"/>
      <c r="D14" s="25"/>
      <c r="E14" s="25"/>
      <c r="F14" s="25"/>
    </row>
    <row r="15" customFormat="false" ht="23.85" hidden="false" customHeight="true" outlineLevel="0" collapsed="false">
      <c r="A15" s="25" t="s">
        <v>151</v>
      </c>
      <c r="B15" s="25"/>
      <c r="C15" s="25"/>
      <c r="D15" s="25"/>
      <c r="E15" s="25"/>
      <c r="F15" s="25"/>
    </row>
    <row r="16" customFormat="false" ht="15" hidden="false" customHeight="true" outlineLevel="0" collapsed="false">
      <c r="A16" s="25" t="s">
        <v>152</v>
      </c>
      <c r="B16" s="25"/>
      <c r="C16" s="25"/>
      <c r="D16" s="25"/>
      <c r="E16" s="25"/>
      <c r="F16" s="25"/>
    </row>
    <row r="17" customFormat="false" ht="23.85" hidden="false" customHeight="true" outlineLevel="0" collapsed="false">
      <c r="A17" s="25" t="s">
        <v>153</v>
      </c>
      <c r="B17" s="25"/>
      <c r="C17" s="25"/>
      <c r="D17" s="25"/>
      <c r="E17" s="25"/>
      <c r="F17" s="25"/>
    </row>
    <row r="18" customFormat="false" ht="15" hidden="false" customHeight="true" outlineLevel="0" collapsed="false">
      <c r="A18" s="25" t="s">
        <v>154</v>
      </c>
      <c r="B18" s="25"/>
      <c r="C18" s="25"/>
      <c r="D18" s="25"/>
      <c r="E18" s="25"/>
      <c r="F18" s="25"/>
    </row>
    <row r="19" customFormat="false" ht="23.85" hidden="false" customHeight="true" outlineLevel="0" collapsed="false">
      <c r="A19" s="25" t="s">
        <v>155</v>
      </c>
      <c r="B19" s="25"/>
      <c r="C19" s="25"/>
      <c r="D19" s="25"/>
      <c r="E19" s="25"/>
      <c r="F19" s="25"/>
    </row>
    <row r="20" customFormat="false" ht="23.85" hidden="false" customHeight="true" outlineLevel="0" collapsed="false">
      <c r="A20" s="25" t="s">
        <v>156</v>
      </c>
      <c r="B20" s="25"/>
      <c r="C20" s="25"/>
      <c r="D20" s="25"/>
      <c r="E20" s="25"/>
      <c r="F20" s="25"/>
    </row>
    <row r="21" customFormat="false" ht="23.85" hidden="false" customHeight="true" outlineLevel="0" collapsed="false">
      <c r="A21" s="25" t="s">
        <v>157</v>
      </c>
      <c r="B21" s="25"/>
      <c r="C21" s="25"/>
      <c r="D21" s="25"/>
      <c r="E21" s="25"/>
      <c r="F21" s="25"/>
    </row>
    <row r="22" customFormat="false" ht="23.85" hidden="false" customHeight="true" outlineLevel="0" collapsed="false">
      <c r="A22" s="25" t="s">
        <v>158</v>
      </c>
      <c r="B22" s="25"/>
      <c r="C22" s="25"/>
      <c r="D22" s="25"/>
      <c r="E22" s="25"/>
      <c r="F22" s="25"/>
    </row>
    <row r="23" customFormat="false" ht="15" hidden="false" customHeight="true" outlineLevel="0" collapsed="false">
      <c r="A23" s="25" t="s">
        <v>159</v>
      </c>
      <c r="B23" s="25"/>
      <c r="C23" s="25"/>
      <c r="D23" s="25"/>
      <c r="E23" s="25"/>
      <c r="F23" s="25"/>
    </row>
    <row r="25" customFormat="false" ht="24.75" hidden="false" customHeight="true" outlineLevel="0" collapsed="false">
      <c r="A25" s="2" t="s">
        <v>160</v>
      </c>
      <c r="B25" s="2"/>
      <c r="C25" s="2"/>
      <c r="D25" s="2"/>
      <c r="E25" s="2"/>
      <c r="F25" s="2"/>
    </row>
    <row r="26" customFormat="false" ht="15" hidden="false" customHeight="true" outlineLevel="0" collapsed="false">
      <c r="A26" s="25" t="s">
        <v>161</v>
      </c>
      <c r="B26" s="25"/>
      <c r="C26" s="25"/>
      <c r="D26" s="25"/>
      <c r="E26" s="25"/>
      <c r="F26" s="25"/>
    </row>
    <row r="27" customFormat="false" ht="15" hidden="false" customHeight="true" outlineLevel="0" collapsed="false">
      <c r="A27" s="25" t="s">
        <v>162</v>
      </c>
      <c r="B27" s="25"/>
      <c r="C27" s="25"/>
      <c r="D27" s="25"/>
      <c r="E27" s="25"/>
      <c r="F27" s="25"/>
    </row>
    <row r="28" customFormat="false" ht="15" hidden="false" customHeight="true" outlineLevel="0" collapsed="false">
      <c r="A28" s="25" t="s">
        <v>163</v>
      </c>
      <c r="B28" s="25"/>
      <c r="C28" s="25"/>
      <c r="D28" s="25"/>
      <c r="E28" s="25"/>
      <c r="F28" s="25"/>
    </row>
    <row r="29" customFormat="false" ht="15" hidden="false" customHeight="true" outlineLevel="0" collapsed="false">
      <c r="A29" s="25" t="s">
        <v>164</v>
      </c>
      <c r="B29" s="25"/>
      <c r="C29" s="25"/>
      <c r="D29" s="25"/>
      <c r="E29" s="25"/>
      <c r="F29" s="25"/>
    </row>
    <row r="30" customFormat="false" ht="15" hidden="false" customHeight="true" outlineLevel="0" collapsed="false">
      <c r="A30" s="25" t="s">
        <v>165</v>
      </c>
      <c r="B30" s="25"/>
      <c r="C30" s="25"/>
      <c r="D30" s="25"/>
      <c r="E30" s="25"/>
      <c r="F30" s="25"/>
    </row>
    <row r="31" customFormat="false" ht="15" hidden="false" customHeight="true" outlineLevel="0" collapsed="false">
      <c r="A31" s="25" t="s">
        <v>166</v>
      </c>
      <c r="B31" s="25"/>
      <c r="C31" s="25"/>
      <c r="D31" s="25"/>
      <c r="E31" s="25"/>
      <c r="F31" s="25"/>
    </row>
    <row r="33" customFormat="false" ht="24.75" hidden="false" customHeight="true" outlineLevel="0" collapsed="false">
      <c r="A33" s="2" t="s">
        <v>167</v>
      </c>
      <c r="B33" s="2"/>
      <c r="C33" s="2"/>
      <c r="D33" s="2"/>
      <c r="E33" s="2"/>
      <c r="F33" s="2"/>
    </row>
    <row r="34" customFormat="false" ht="15" hidden="false" customHeight="true" outlineLevel="0" collapsed="false">
      <c r="A34" s="25" t="s">
        <v>168</v>
      </c>
      <c r="B34" s="25"/>
      <c r="C34" s="25"/>
      <c r="D34" s="25"/>
      <c r="E34" s="25"/>
      <c r="F34" s="25"/>
    </row>
    <row r="35" customFormat="false" ht="15" hidden="false" customHeight="true" outlineLevel="0" collapsed="false">
      <c r="A35" s="25" t="s">
        <v>169</v>
      </c>
      <c r="B35" s="25"/>
      <c r="C35" s="25"/>
      <c r="D35" s="25"/>
      <c r="E35" s="25"/>
      <c r="F35" s="25"/>
    </row>
    <row r="36" customFormat="false" ht="15" hidden="false" customHeight="true" outlineLevel="0" collapsed="false">
      <c r="A36" s="25" t="s">
        <v>170</v>
      </c>
      <c r="B36" s="25"/>
      <c r="C36" s="25"/>
      <c r="D36" s="25"/>
      <c r="E36" s="25"/>
      <c r="F36" s="25"/>
    </row>
    <row r="37" customFormat="false" ht="15" hidden="false" customHeight="true" outlineLevel="0" collapsed="false">
      <c r="A37" s="25" t="s">
        <v>171</v>
      </c>
      <c r="B37" s="25"/>
      <c r="C37" s="25"/>
      <c r="D37" s="25"/>
      <c r="E37" s="25"/>
      <c r="F37" s="25"/>
    </row>
    <row r="38" customFormat="false" ht="15" hidden="false" customHeight="true" outlineLevel="0" collapsed="false">
      <c r="A38" s="25" t="s">
        <v>172</v>
      </c>
      <c r="B38" s="25"/>
      <c r="C38" s="25"/>
      <c r="D38" s="25"/>
      <c r="E38" s="25"/>
      <c r="F38" s="25"/>
    </row>
    <row r="39" customFormat="false" ht="15" hidden="false" customHeight="true" outlineLevel="0" collapsed="false">
      <c r="A39" s="25" t="s">
        <v>173</v>
      </c>
      <c r="B39" s="25"/>
      <c r="C39" s="25"/>
      <c r="D39" s="25"/>
      <c r="E39" s="25"/>
      <c r="F39" s="25"/>
    </row>
    <row r="40" customFormat="false" ht="15" hidden="false" customHeight="true" outlineLevel="0" collapsed="false">
      <c r="A40" s="25" t="s">
        <v>174</v>
      </c>
      <c r="B40" s="25"/>
      <c r="C40" s="25"/>
      <c r="D40" s="25"/>
      <c r="E40" s="25"/>
      <c r="F40" s="25"/>
    </row>
    <row r="41" customFormat="false" ht="15" hidden="false" customHeight="true" outlineLevel="0" collapsed="false">
      <c r="A41" s="25" t="s">
        <v>175</v>
      </c>
      <c r="B41" s="25"/>
      <c r="C41" s="25"/>
      <c r="D41" s="25"/>
      <c r="E41" s="25"/>
      <c r="F41" s="25"/>
    </row>
    <row r="42" customFormat="false" ht="15" hidden="false" customHeight="true" outlineLevel="0" collapsed="false">
      <c r="A42" s="25" t="s">
        <v>176</v>
      </c>
      <c r="B42" s="25"/>
      <c r="C42" s="25"/>
      <c r="D42" s="25"/>
      <c r="E42" s="25"/>
      <c r="F42" s="25"/>
    </row>
    <row r="43" customFormat="false" ht="15" hidden="false" customHeight="true" outlineLevel="0" collapsed="false">
      <c r="A43" s="25" t="s">
        <v>177</v>
      </c>
      <c r="B43" s="25"/>
      <c r="C43" s="25"/>
      <c r="D43" s="25"/>
      <c r="E43" s="25"/>
      <c r="F43" s="25"/>
    </row>
  </sheetData>
  <mergeCells count="36">
    <mergeCell ref="A1:F1"/>
    <mergeCell ref="A3:F3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5:F25"/>
    <mergeCell ref="A26:F26"/>
    <mergeCell ref="A27:F27"/>
    <mergeCell ref="A28:F28"/>
    <mergeCell ref="A29:F29"/>
    <mergeCell ref="A30:F30"/>
    <mergeCell ref="A31:F31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2026-04-14T11:45:02Z</dcterms:created>
  <dc:creator>openpyxl</dc:creator>
  <dc:description/>
  <dc:language>en-US</dc:language>
  <cp:lastModifiedBy/>
  <dcterms:modified xsi:type="dcterms:W3CDTF">2026-04-14T11:45:02Z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