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WCI_Publication_Master" sheetId="1" r:id="rId1"/>
    <sheet name="FWCI_Formulas" sheetId="2" r:id="rId2"/>
    <sheet name="THE_Normalisation_Rules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<sst xmlns="http://schemas.openxmlformats.org/spreadsheetml/2006/main" count="64" uniqueCount="62">
  <si>
    <t>Serial_No</t>
  </si>
  <si>
    <t>DOI</t>
  </si>
  <si>
    <t>Title</t>
  </si>
  <si>
    <t>Authors</t>
  </si>
  <si>
    <t>Year</t>
  </si>
  <si>
    <t>Journal_Name</t>
  </si>
  <si>
    <t>ASJC_Code</t>
  </si>
  <si>
    <t>Document_Type</t>
  </si>
  <si>
    <t>Affiliation_Matched (Yes/No)</t>
  </si>
  <si>
    <t>Eligible_for_THE (Yes/No)</t>
  </si>
  <si>
    <t>Citations_Received</t>
  </si>
  <si>
    <t>Expected_Citations_Subject_Avg</t>
  </si>
  <si>
    <t>FWCI</t>
  </si>
  <si>
    <t>Top10Percent (Yes/No)</t>
  </si>
  <si>
    <t>Top1Percent (Yes/No)</t>
  </si>
  <si>
    <t>Percentile_Rank</t>
  </si>
  <si>
    <t>Source (Scopus/SciVal)</t>
  </si>
  <si>
    <t>Evidence_File</t>
  </si>
  <si>
    <t>Remarks</t>
  </si>
  <si>
    <t>Metric</t>
  </si>
  <si>
    <t>Formula</t>
  </si>
  <si>
    <t>Explanation</t>
  </si>
  <si>
    <t>FWCI Calculation</t>
  </si>
  <si>
    <t>Top 10% Classification</t>
  </si>
  <si>
    <t>Top 1% Classification</t>
  </si>
  <si>
    <t>Expected Citations (Subject Normalised)</t>
  </si>
  <si>
    <t>FWCI &gt; 1 means above world average influence.</t>
  </si>
  <si>
    <t>Papers in 90th percentile of global citations are Top 10%.</t>
  </si>
  <si>
    <t>Papers in 99th percentile are Top 1%.</t>
  </si>
  <si>
    <t>THE requires field-normalised expected citation values for FWCI computation.</t>
  </si>
  <si>
    <t>Rule</t>
  </si>
  <si>
    <t>FWCI must be calculated using subject-normalised expected citations.</t>
  </si>
  <si>
    <t>Expected citations must match SciVal metrics for the ranking year.</t>
  </si>
  <si>
    <t>ASJC code assignment is mandatory for FWCI computation.</t>
  </si>
  <si>
    <t>Only publications with correct institutional affiliation count for THE.</t>
  </si>
  <si>
    <t>FWCI contributes directly to THE Citation Impact (15%).</t>
  </si>
  <si>
    <t>Percentile ranking determines Top10% and Top1% status.</t>
  </si>
  <si>
    <t>Ensures discipline-level fairness across citation behaviours.</t>
  </si>
  <si>
    <t>Expected citation rate varies by field and year.</t>
  </si>
  <si>
    <t>ASJC mapping ensures correct subject-level normalisation.</t>
  </si>
  <si>
    <t>Affiliation mismatch results in exclusion from THE scoring.</t>
  </si>
  <si>
    <t>FWCI is the single most important metric in THE Research Quality.</t>
  </si>
  <si>
    <t>High-impact papers improve multiple THE indicators.</t>
  </si>
  <si>
    <t>Requirement</t>
  </si>
  <si>
    <t>Evidence_Required</t>
  </si>
  <si>
    <t>Status</t>
  </si>
  <si>
    <t>ASJC classification verified</t>
  </si>
  <si>
    <t>FWCI values validated with SciVal</t>
  </si>
  <si>
    <t>Expected citation values matched with subject averages</t>
  </si>
  <si>
    <t>Affiliation verification complete</t>
  </si>
  <si>
    <t>Top10/Top1 percentile bands confirmed</t>
  </si>
  <si>
    <t>Notes</t>
  </si>
  <si>
    <t>Suggested Visualizations:</t>
  </si>
  <si>
    <t>• FWCI distribution histogram</t>
  </si>
  <si>
    <t>• Percentage of Top10% and Top1% publications</t>
  </si>
  <si>
    <t>• Subject-wise FWCI heatmap</t>
  </si>
  <si>
    <t>• FWCI vs Citation Counts scatterplot</t>
  </si>
  <si>
    <t>Insights:</t>
  </si>
  <si>
    <t>• FWCI is the strongest indicator in THE Research Quality (30%).</t>
  </si>
  <si>
    <t>• Publications with FWCI&gt;1 significantly boost institutional ranking.</t>
  </si>
  <si>
    <t>• Percentile-based classification identifies elite high-impact research.</t>
  </si>
  <si>
    <t>• Subject-level FWCI helps identify research strengths and weaknesses.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</si>
</sst>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>
        <f>Citations_Received / Expected_Citations_Subject_Avg</f>
        <v>0</v>
      </c>
      <c r="C2" t="s">
        <v>26</v>
      </c>
    </row>
    <row r="3" spans="1:3">
      <c r="A3" t="s">
        <v>23</v>
      </c>
      <c r="B3">
        <f>IF(Percentile_Rank&gt;=90, "Yes", "No")</f>
        <v>0</v>
      </c>
      <c r="C3" t="s">
        <v>27</v>
      </c>
    </row>
    <row r="4" spans="1:3">
      <c r="A4" t="s">
        <v>24</v>
      </c>
      <c r="B4">
        <f>IF(Percentile_Rank&gt;=99, "Yes", "No")</f>
        <v>0</v>
      </c>
      <c r="C4" t="s">
        <v>28</v>
      </c>
    </row>
    <row r="5" spans="1:3">
      <c r="A5" t="s">
        <v>25</v>
      </c>
      <c r="B5">
        <f>Average citation performance of global publications in same ASJC category, same year, same document type</f>
        <v>0</v>
      </c>
      <c r="C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30</v>
      </c>
      <c r="B1" s="1" t="s">
        <v>21</v>
      </c>
    </row>
    <row r="2" spans="1:2">
      <c r="A2" t="s">
        <v>31</v>
      </c>
      <c r="B2" t="s">
        <v>37</v>
      </c>
    </row>
    <row r="3" spans="1:2">
      <c r="A3" t="s">
        <v>32</v>
      </c>
      <c r="B3" t="s">
        <v>38</v>
      </c>
    </row>
    <row r="4" spans="1:2">
      <c r="A4" t="s">
        <v>33</v>
      </c>
      <c r="B4" t="s">
        <v>39</v>
      </c>
    </row>
    <row r="5" spans="1:2">
      <c r="A5" t="s">
        <v>34</v>
      </c>
      <c r="B5" t="s">
        <v>40</v>
      </c>
    </row>
    <row r="6" spans="1:2">
      <c r="A6" t="s">
        <v>35</v>
      </c>
      <c r="B6" t="s">
        <v>41</v>
      </c>
    </row>
    <row r="7" spans="1:2">
      <c r="A7" t="s">
        <v>36</v>
      </c>
      <c r="B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</v>
      </c>
      <c r="B1" s="1" t="s">
        <v>44</v>
      </c>
      <c r="C1" s="1" t="s">
        <v>45</v>
      </c>
      <c r="D1" s="1" t="s">
        <v>18</v>
      </c>
    </row>
    <row r="2" spans="1:4">
      <c r="A2" t="s">
        <v>46</v>
      </c>
    </row>
    <row r="3" spans="1:4">
      <c r="A3" t="s">
        <v>47</v>
      </c>
    </row>
    <row r="4" spans="1:4">
      <c r="A4" t="s">
        <v>48</v>
      </c>
    </row>
    <row r="5" spans="1:4">
      <c r="A5" t="s">
        <v>49</v>
      </c>
    </row>
    <row r="6" spans="1:4">
      <c r="A6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FWCI_Publication_Master</vt:lpstr>
      <vt:lpstr>FWCI_Formulas</vt:lpstr>
      <vt:lpstr>THE_Normalisation_Rules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2025-12-07T03:40:23Z</dcterms:created>
  <dcterms:modified xsi:type="dcterms:W3CDTF">2025-12-07T03:40:23Z</dcterms:modified>
</cp:coreProperties>
</file>