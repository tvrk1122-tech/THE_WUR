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lab_Master" sheetId="1" r:id="rId1"/>
    <sheet name="Countrywise_Summary" sheetId="2" r:id="rId2"/>
    <sheet name="Institutionwise_Summary" sheetId="3" r:id="rId3"/>
    <sheet name="Formulas" sheetId="4" r:id="rId4"/>
    <sheet name="THE_Rules" sheetId="5" r:id="rId5"/>
    <sheet name="Compliance" sheetId="6" r:id="rId6"/>
    <sheet name="Dashboard_Notes" sheetId="7" r:id="rId7"/>
  </sheets>
  <calcPr calcId="124519" fullCalcOnLoad="1"/>
</workbook>
</file>

<file path=xl/sharedStrings.xml><?xml version="1.0" encoding="utf-8"?>
<sst xmlns="http://schemas.openxmlformats.org/spreadsheetml/2006/main" count="82" uniqueCount="75">
  <si>
    <t>Publication_ID</t>
  </si>
  <si>
    <t>DOI</t>
  </si>
  <si>
    <t>Title</t>
  </si>
  <si>
    <t>Author_List</t>
  </si>
  <si>
    <t>Corresponding_Author</t>
  </si>
  <si>
    <t>Affiliation_Country_List</t>
  </si>
  <si>
    <t>International_Collaboration (Yes/No)</t>
  </si>
  <si>
    <t>Partner_Countries</t>
  </si>
  <si>
    <t>Partner_Institutions</t>
  </si>
  <si>
    <t>Scopus_Source_Title</t>
  </si>
  <si>
    <t>ASJC_Subject_Code</t>
  </si>
  <si>
    <t>Publication_Year</t>
  </si>
  <si>
    <t>Document_Type</t>
  </si>
  <si>
    <t>Citations</t>
  </si>
  <si>
    <t>FWCI</t>
  </si>
  <si>
    <t>Is_International_Collab (Auto-Flag)</t>
  </si>
  <si>
    <t>Evidence_File</t>
  </si>
  <si>
    <t>Remarks</t>
  </si>
  <si>
    <t>Country</t>
  </si>
  <si>
    <t>Total_Collaboration_Publications</t>
  </si>
  <si>
    <t>Citations_from_Collaboration</t>
  </si>
  <si>
    <t>Avg_FWCI</t>
  </si>
  <si>
    <t>Top_10%_Papers</t>
  </si>
  <si>
    <t>Top_1%_Papers</t>
  </si>
  <si>
    <t>Coauthor_Count</t>
  </si>
  <si>
    <t>Institution_Name</t>
  </si>
  <si>
    <t>Total_Joint_Publications</t>
  </si>
  <si>
    <t>Strong_Collaboration (Yes/No)</t>
  </si>
  <si>
    <t>Metric</t>
  </si>
  <si>
    <t>Formula</t>
  </si>
  <si>
    <t>Explanation</t>
  </si>
  <si>
    <t>International Collaboration Flag</t>
  </si>
  <si>
    <t>Avg FWCI</t>
  </si>
  <si>
    <t>% of International Collaboration Papers</t>
  </si>
  <si>
    <t>Top 10% Paper % (Intl Collab)</t>
  </si>
  <si>
    <t>Top 1% Paper % (Intl Collab)</t>
  </si>
  <si>
    <t>Flags a publication as international if &gt;1 country is present.</t>
  </si>
  <si>
    <t>Measures international research quality.</t>
  </si>
  <si>
    <t>Share of publications involving international collaboration.</t>
  </si>
  <si>
    <t>Percentage of high-impact (Top 10%) papers from collaborations.</t>
  </si>
  <si>
    <t>Percentage of elite (Top 1%) papers from collaborations.</t>
  </si>
  <si>
    <t>Rule</t>
  </si>
  <si>
    <t>International collaboration is identified by multiple affiliation countries.</t>
  </si>
  <si>
    <t>Only Scopus-indexed publications are eligible.</t>
  </si>
  <si>
    <t>Affiliation country list must include all coauthors.</t>
  </si>
  <si>
    <t>FWCI values must be imported directly from Scopus/SciVal.</t>
  </si>
  <si>
    <t>International collaboration score influences THE International Outlook.</t>
  </si>
  <si>
    <t>Top 1% and Top 10% metrics influence THE Research Quality.</t>
  </si>
  <si>
    <t>Ensures accurate collaboration classification.</t>
  </si>
  <si>
    <t>Aligns with THE methodology constraints.</t>
  </si>
  <si>
    <t>Captures complete coauthorship network.</t>
  </si>
  <si>
    <t>Maintains bibliometric accuracy.</t>
  </si>
  <si>
    <t>Important for international research visibility.</t>
  </si>
  <si>
    <t>Higher impact papers raise institutional excellence metrics.</t>
  </si>
  <si>
    <t>Requirement</t>
  </si>
  <si>
    <t>Evidence_Required</t>
  </si>
  <si>
    <t>Status</t>
  </si>
  <si>
    <t>Scopus publication list validated</t>
  </si>
  <si>
    <t>Affiliation country mapping verified</t>
  </si>
  <si>
    <t>FWCI imported from Scopus/SciVal</t>
  </si>
  <si>
    <t>Partner institutions/countries confirmed</t>
  </si>
  <si>
    <t>International collaboration flag validated</t>
  </si>
  <si>
    <t>Notes</t>
  </si>
  <si>
    <t>Recommended Visualizations:</t>
  </si>
  <si>
    <t>• World map of collaboration countries</t>
  </si>
  <si>
    <t>• Institution-wise collaboration bar chart</t>
  </si>
  <si>
    <t>• FWCI comparison: Collaboration vs Non-collaboration</t>
  </si>
  <si>
    <t>• Top 10% and Top 1% publication trends</t>
  </si>
  <si>
    <t>• Collaboration network graph</t>
  </si>
  <si>
    <t>Insights:</t>
  </si>
  <si>
    <t>• Identifies strongest research partners globally.</t>
  </si>
  <si>
    <t>• Reveals emerging collaboration regions.</t>
  </si>
  <si>
    <t>• Supports THE International Outlook ranking submission.</t>
  </si>
  <si>
    <t>• Helps strengthen MoUs and research agreements.</t>
  </si>
  <si>
    <t>• Useful for research strategy planning.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</si>
</sst>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25</v>
      </c>
      <c r="B1" s="1" t="s">
        <v>18</v>
      </c>
      <c r="C1" s="1" t="s">
        <v>26</v>
      </c>
      <c r="D1" s="1" t="s">
        <v>13</v>
      </c>
      <c r="E1" s="1" t="s">
        <v>21</v>
      </c>
      <c r="F1" s="1" t="s">
        <v>27</v>
      </c>
      <c r="G1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28</v>
      </c>
      <c r="B1" s="1" t="s">
        <v>29</v>
      </c>
      <c r="C1" s="1" t="s">
        <v>30</v>
      </c>
    </row>
    <row r="2" spans="1:3">
      <c r="A2" t="s">
        <v>31</v>
      </c>
      <c r="B2">
        <f>IF(COUNTUNIQUE(Affiliation_Country_List)&gt;1, "Yes", "No")</f>
        <v>0</v>
      </c>
      <c r="C2" t="s">
        <v>36</v>
      </c>
    </row>
    <row r="3" spans="1:3">
      <c r="A3" t="s">
        <v>32</v>
      </c>
      <c r="B3">
        <f>AVERAGE(FWCI)</f>
        <v>0</v>
      </c>
      <c r="C3" t="s">
        <v>37</v>
      </c>
    </row>
    <row r="4" spans="1:3">
      <c r="A4" t="s">
        <v>33</v>
      </c>
      <c r="B4">
        <f>International_Collab_Papers / Total_Papers</f>
        <v>0</v>
      </c>
      <c r="C4" t="s">
        <v>38</v>
      </c>
    </row>
    <row r="5" spans="1:3">
      <c r="A5" t="s">
        <v>34</v>
      </c>
      <c r="B5">
        <f>Top10_Intl / International_Collab_Papers</f>
        <v>0</v>
      </c>
      <c r="C5" t="s">
        <v>39</v>
      </c>
    </row>
    <row r="6" spans="1:3">
      <c r="A6" t="s">
        <v>35</v>
      </c>
      <c r="B6">
        <f>Top1_Intl / International_Collab_Papers</f>
        <v>0</v>
      </c>
      <c r="C6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41</v>
      </c>
      <c r="B1" s="1" t="s">
        <v>30</v>
      </c>
    </row>
    <row r="2" spans="1:2">
      <c r="A2" t="s">
        <v>42</v>
      </c>
      <c r="B2" t="s">
        <v>48</v>
      </c>
    </row>
    <row r="3" spans="1:2">
      <c r="A3" t="s">
        <v>43</v>
      </c>
      <c r="B3" t="s">
        <v>49</v>
      </c>
    </row>
    <row r="4" spans="1:2">
      <c r="A4" t="s">
        <v>44</v>
      </c>
      <c r="B4" t="s">
        <v>50</v>
      </c>
    </row>
    <row r="5" spans="1:2">
      <c r="A5" t="s">
        <v>45</v>
      </c>
      <c r="B5" t="s">
        <v>51</v>
      </c>
    </row>
    <row r="6" spans="1:2">
      <c r="A6" t="s">
        <v>46</v>
      </c>
      <c r="B6" t="s">
        <v>52</v>
      </c>
    </row>
    <row r="7" spans="1:2">
      <c r="A7" t="s">
        <v>47</v>
      </c>
      <c r="B7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54</v>
      </c>
      <c r="B1" s="1" t="s">
        <v>55</v>
      </c>
      <c r="C1" s="1" t="s">
        <v>56</v>
      </c>
      <c r="D1" s="1" t="s">
        <v>17</v>
      </c>
    </row>
    <row r="2" spans="1:4">
      <c r="A2" t="s">
        <v>57</v>
      </c>
    </row>
    <row r="3" spans="1:4">
      <c r="A3" t="s">
        <v>58</v>
      </c>
    </row>
    <row r="4" spans="1:4">
      <c r="A4" t="s">
        <v>59</v>
      </c>
    </row>
    <row r="5" spans="1:4">
      <c r="A5" t="s">
        <v>60</v>
      </c>
    </row>
    <row r="6" spans="1:4">
      <c r="A6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FormatPr defaultRowHeight="15"/>
  <sheetData>
    <row r="1" spans="1:1">
      <c r="A1" s="1" t="s">
        <v>62</v>
      </c>
    </row>
    <row r="2" spans="1:1">
      <c r="A2" t="s">
        <v>63</v>
      </c>
    </row>
    <row r="3" spans="1:1">
      <c r="A3" t="s">
        <v>64</v>
      </c>
    </row>
    <row r="4" spans="1:1">
      <c r="A4" t="s">
        <v>65</v>
      </c>
    </row>
    <row r="5" spans="1:1">
      <c r="A5" t="s">
        <v>66</v>
      </c>
    </row>
    <row r="6" spans="1:1">
      <c r="A6" t="s">
        <v>67</v>
      </c>
    </row>
    <row r="7" spans="1:1">
      <c r="A7" t="s">
        <v>68</v>
      </c>
    </row>
    <row r="9" spans="1:1">
      <c r="A9" t="s">
        <v>69</v>
      </c>
    </row>
    <row r="10" spans="1:1">
      <c r="A10" t="s">
        <v>70</v>
      </c>
    </row>
    <row r="11" spans="1:1">
      <c r="A11" t="s">
        <v>71</v>
      </c>
    </row>
    <row r="12" spans="1:1">
      <c r="A12" t="s">
        <v>72</v>
      </c>
    </row>
    <row r="13" spans="1:1">
      <c r="A13" t="s">
        <v>73</v>
      </c>
    </row>
    <row r="14" spans="1:1">
      <c r="A1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Collab_Master</vt:lpstr>
      <vt:lpstr>Countrywise_Summary</vt:lpstr>
      <vt:lpstr>Institutionwise_Summary</vt:lpstr>
      <vt:lpstr>Formulas</vt:lpstr>
      <vt:lpstr>THE_Rules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2025-12-07T05:40:59Z</dcterms:created>
  <dcterms:modified xsi:type="dcterms:W3CDTF">2025-12-07T05:40:59Z</dcterms:modified>
</cp:coreProperties>
</file>