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Top 1% Summary" sheetId="2" state="visible" r:id="rId4"/>
    <sheet name="2. Top 1% by Subject" sheetId="3" state="visible" r:id="rId5"/>
    <sheet name="3. Highly Cited Researchers" sheetId="4" state="visible" r:id="rId6"/>
    <sheet name="4. Landmark Papers" sheetId="5" state="visible" r:id="rId7"/>
    <sheet name="5. Dept Excellence" sheetId="6" state="visible" r:id="rId8"/>
    <sheet name="6. YoY Trend" sheetId="7" state="visible" r:id="rId9"/>
    <sheet name="7. Scoring" sheetId="8" state="visible" r:id="rId10"/>
    <sheet name="8. Action Plan" sheetId="9" state="visible" r:id="rId11"/>
    <sheet name="9. Benchmarking" sheetId="10" state="visible" r:id="rId12"/>
    <sheet name="10. Risk Assessment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<sst xmlns="http://schemas.openxmlformats.org/spreadsheetml/2006/main" count="304" uniqueCount="262">
  <si>
    <t xml:space="preserve">THE WUR — Research Quality (30%) → Research Excellence (5%)</t>
  </si>
  <si>
    <t xml:space="preserve">Proportion of Publications in Global Top 1% Most-Cited | PEAK Quality Metric | 5% of WUR</t>
  </si>
  <si>
    <t xml:space="preserve">#</t>
  </si>
  <si>
    <t xml:space="preserve">Component</t>
  </si>
  <si>
    <t xml:space="preserve">Description &amp; Methodology</t>
  </si>
  <si>
    <t xml:space="preserve">Weight</t>
  </si>
  <si>
    <t xml:space="preserve">Research Excellence</t>
  </si>
  <si>
    <t xml:space="preserve">Measures PEAK quality: the proportion of an institution's Scopus publications that fall in the top 1% most-cited globally, field-normalized by ASJC area, publication year, and document type. While Research Strength (5%) captures the top 10%, Research Excellence captures the very BEST — papers that are true outliers in their field. These are the breakthroughs, landmark studies, and paradigm-shifting publications.</t>
  </si>
  <si>
    <t xml:space="preserve">5% of WUR</t>
  </si>
  <si>
    <t xml:space="preserve">Top 1% Publications</t>
  </si>
  <si>
    <t xml:space="preserve">Publications whose actual citation count exceeds the 99th-percentile threshold for their specific ASJC field, year, and document type cohort. Extremely selective: only 1 in 100 papers globally reaches this level. Includes Highly Cited Papers (HCPs) as defined by Clarivate and Scopus equivalent measures.</t>
  </si>
  <si>
    <t xml:space="preserve">Core metric</t>
  </si>
  <si>
    <t xml:space="preserve">Normalization</t>
  </si>
  <si>
    <t xml:space="preserve">Proportion: (Top 1% papers ÷ Total Scopus papers) × 100. World average = 1.0% by definition. Institutions with &gt;1% are producing disproportionately more breakthrough research. Top research universities typically achieve 2–5%; elite institutions 5–10%+.</t>
  </si>
  <si>
    <t xml:space="preserve">Proportional</t>
  </si>
  <si>
    <t xml:space="preserve">Relationship to Other RQ Indicators</t>
  </si>
  <si>
    <t xml:space="preserve">Research Quality (30%) = Citation Impact/FWCI (15%) + Research Strength/Top 10% (5%) + Research Excellence/Top 1% (5%) + Research Influence (5%). Excellence captures the EXTREME tail of quality — can be driven by a few exceptional papers or groups. Complements the broader Strength metric.</t>
  </si>
  <si>
    <t xml:space="preserve">5% of 30%</t>
  </si>
  <si>
    <t xml:space="preserve">Scoring &amp; Difficulty</t>
  </si>
  <si>
    <t xml:space="preserve">Z-scored across all ranked universities. Higher proportion = higher score. Very difficult to move quickly — top-1% papers typically emerge 3–5 years after publication as citations accumulate. Difficulty: 🔴 Hard (3–5 years) — requires world-class researchers and sustained investment in breakthrough research.</t>
  </si>
  <si>
    <t xml:space="preserve">Z-scoring</t>
  </si>
  <si>
    <t xml:space="preserve">Research Strength (Top 10%) vs Research Excellence (Top 1%)</t>
  </si>
  <si>
    <t xml:space="preserve">Feature</t>
  </si>
  <si>
    <t xml:space="preserve">Research Strength (5%)</t>
  </si>
  <si>
    <t xml:space="preserve">Research Excellence (5%)</t>
  </si>
  <si>
    <t xml:space="preserve">Key Difference</t>
  </si>
  <si>
    <t xml:space="preserve">Threshold</t>
  </si>
  <si>
    <t xml:space="preserve">Top 10% most-cited (global, field-normalized)</t>
  </si>
  <si>
    <t xml:space="preserve">Top 1% most-cited (global, field-normalized)</t>
  </si>
  <si>
    <t xml:space="preserve">10× more selective</t>
  </si>
  <si>
    <t xml:space="preserve">World Benchmark</t>
  </si>
  <si>
    <t xml:space="preserve">10.0% (by definition)</t>
  </si>
  <si>
    <t xml:space="preserve">1.0% (by definition)</t>
  </si>
  <si>
    <t xml:space="preserve">1% = extremely rare, elite output</t>
  </si>
  <si>
    <t xml:space="preserve">Typical Top-100 Univ.</t>
  </si>
  <si>
    <t xml:space="preserve">12–20%</t>
  </si>
  <si>
    <t xml:space="preserve">1.5–5%</t>
  </si>
  <si>
    <t xml:space="preserve">Excellence is much harder to achieve</t>
  </si>
  <si>
    <t xml:space="preserve">What it Signals</t>
  </si>
  <si>
    <t xml:space="preserve">Consistent quality across portfolio</t>
  </si>
  <si>
    <t xml:space="preserve">Breakthrough, paradigm-shifting research</t>
  </si>
  <si>
    <t xml:space="preserve">Strength = breadth; Excellence = peak</t>
  </si>
  <si>
    <t xml:space="preserve">Driven By</t>
  </si>
  <si>
    <t xml:space="preserve">Broad faculty publishing well</t>
  </si>
  <si>
    <t xml:space="preserve">A few exceptional researchers / groups</t>
  </si>
  <si>
    <t xml:space="preserve">Can be improved by recruiting stars</t>
  </si>
  <si>
    <t xml:space="preserve">Difficulty</t>
  </si>
  <si>
    <t xml:space="preserve">🟡 Moderate (1–3 years)</t>
  </si>
  <si>
    <t xml:space="preserve">🔴 Hard (3–5 years)</t>
  </si>
  <si>
    <t xml:space="preserve">Top 1% papers take years to accumulate citations</t>
  </si>
  <si>
    <t xml:space="preserve">Improvement Strategies</t>
  </si>
  <si>
    <t xml:space="preserve">• Recruit Highly Cited Researchers (HCRs) who produce top-1% papers consistently.</t>
  </si>
  <si>
    <t xml:space="preserve">• Invest in breakthrough research areas: emerging fields with high citation potential.</t>
  </si>
  <si>
    <t xml:space="preserve">• Build Centres of Excellence around world-class faculty with top-1% track records.</t>
  </si>
  <si>
    <t xml:space="preserve">• Provide dedicated 'breakthrough research' funding: sabbaticals, lab access, international visits.</t>
  </si>
  <si>
    <t xml:space="preserve">• Target Nature/Science/Cell/Lancet/PNAS-level publications (multi-domain, high-visibility journals).</t>
  </si>
  <si>
    <t xml:space="preserve">• Collaborate with top-tier international institutions on landmark multi-centre studies.</t>
  </si>
  <si>
    <t xml:space="preserve">• Encourage long-term, high-risk/high-reward research projects (not just incremental papers).</t>
  </si>
  <si>
    <t xml:space="preserve">• Difficulty: 🔴 Hard (3–5 years). Top-1% papers are rare; requires sustained world-class research capability.</t>
  </si>
  <si>
    <t xml:space="preserve">Research Excellence — Top 1% Most-Cited Publications (Field-Normalized)</t>
  </si>
  <si>
    <t xml:space="preserve">Count of Scopus pubs in global top 1% by citations for their field-year-doctype | 5-year window</t>
  </si>
  <si>
    <t xml:space="preserve">S.No.</t>
  </si>
  <si>
    <t xml:space="preserve">University Name</t>
  </si>
  <si>
    <t xml:space="preserve">Country</t>
  </si>
  <si>
    <t xml:space="preserve">Total Scopus Pubs (5yr)</t>
  </si>
  <si>
    <t xml:space="preserve">Top 1% Pubs (Field-Normalized)</t>
  </si>
  <si>
    <t xml:space="preserve">% in Top 1%</t>
  </si>
  <si>
    <t xml:space="preserve">Top 1% Pubs (Fractional)</t>
  </si>
  <si>
    <t xml:space="preserve">Highly Cited Researchers (HCR Count)</t>
  </si>
  <si>
    <t xml:space="preserve">Top 1% per 100 Staff FTE</t>
  </si>
  <si>
    <t xml:space="preserve">Analysis Period</t>
  </si>
  <si>
    <t xml:space="preserve">Summary Statistics</t>
  </si>
  <si>
    <t xml:space="preserve">Average % in Top 1%</t>
  </si>
  <si>
    <t xml:space="preserve">Highest % in Top 1%</t>
  </si>
  <si>
    <t xml:space="preserve">Lowest % in Top 1%</t>
  </si>
  <si>
    <t xml:space="preserve">Total Top 1% Papers (All Univ.)</t>
  </si>
  <si>
    <t xml:space="preserve">Top 1% Publications by ASJC Subject Area (% in Top 1% per Field)</t>
  </si>
  <si>
    <t xml:space="preserve">Field-specific peak quality | World benchmark = 1.0% per field</t>
  </si>
  <si>
    <t xml:space="preserve">University ↓ / Subject →</t>
  </si>
  <si>
    <t xml:space="preserve">AGRI</t>
  </si>
  <si>
    <t xml:space="preserve">AH</t>
  </si>
  <si>
    <t xml:space="preserve">BIOC</t>
  </si>
  <si>
    <t xml:space="preserve">BUS</t>
  </si>
  <si>
    <t xml:space="preserve">CHEM</t>
  </si>
  <si>
    <t xml:space="preserve">CS</t>
  </si>
  <si>
    <t xml:space="preserve">EART</t>
  </si>
  <si>
    <t xml:space="preserve">ECON</t>
  </si>
  <si>
    <t xml:space="preserve">ENGI</t>
  </si>
  <si>
    <t xml:space="preserve">ENVI</t>
  </si>
  <si>
    <t xml:space="preserve">MATE</t>
  </si>
  <si>
    <t xml:space="preserve">MATH</t>
  </si>
  <si>
    <t xml:space="preserve">MEDI</t>
  </si>
  <si>
    <t xml:space="preserve">PHYS</t>
  </si>
  <si>
    <t xml:space="preserve">SOCI</t>
  </si>
  <si>
    <t xml:space="preserve">Overall %</t>
  </si>
  <si>
    <t xml:space="preserve">Highly Cited Researchers (HCR) — Faculty Driving Top 1% Output</t>
  </si>
  <si>
    <t xml:space="preserve">HCRs = researchers with multiple top-1% papers | Key drivers of Research Excellence | Per-faculty log</t>
  </si>
  <si>
    <t xml:space="preserve">Researcher Name / ID</t>
  </si>
  <si>
    <t xml:space="preserve">Department</t>
  </si>
  <si>
    <t xml:space="preserve">Primary ASJC Field</t>
  </si>
  <si>
    <t xml:space="preserve">Top 1% Papers</t>
  </si>
  <si>
    <t xml:space="preserve">h-index</t>
  </si>
  <si>
    <t xml:space="preserve">HCR Listed (Clarivate/Scopus Y/N)</t>
  </si>
  <si>
    <t xml:space="preserve">University-Level HCR Summary</t>
  </si>
  <si>
    <t xml:space="preserve">Total Academic Staff FTE</t>
  </si>
  <si>
    <t xml:space="preserve">Highly Cited Researchers (Count)</t>
  </si>
  <si>
    <t xml:space="preserve">HCRs per 100 Staff FTE</t>
  </si>
  <si>
    <t xml:space="preserve">Total Top 1% Papers by HCRs</t>
  </si>
  <si>
    <t xml:space="preserve">% of Top 1% from HCRs</t>
  </si>
  <si>
    <t xml:space="preserve">Reporting Year</t>
  </si>
  <si>
    <t xml:space="preserve">Landmark / Breakthrough Papers — Individual Top 1% Paper Log</t>
  </si>
  <si>
    <t xml:space="preserve">Document each top-1% paper with citation details, field, impact description | For institutional portfolio</t>
  </si>
  <si>
    <t xml:space="preserve">Paper Title</t>
  </si>
  <si>
    <t xml:space="preserve">Lead Author(s)</t>
  </si>
  <si>
    <t xml:space="preserve">Journal</t>
  </si>
  <si>
    <t xml:space="preserve">Year</t>
  </si>
  <si>
    <t xml:space="preserve">Citations Received</t>
  </si>
  <si>
    <t xml:space="preserve">FWCI (Paper-Level)</t>
  </si>
  <si>
    <t xml:space="preserve">ASJC Fields</t>
  </si>
  <si>
    <t xml:space="preserve">Impact / Significance Description</t>
  </si>
  <si>
    <t xml:space="preserve">University</t>
  </si>
  <si>
    <t xml:space="preserve">Department-Level Research Excellence (Top 1% Proportion)</t>
  </si>
  <si>
    <t xml:space="preserve">Which departments produce breakthrough research | World benchmark = 1.0%</t>
  </si>
  <si>
    <t xml:space="preserve">Department / School</t>
  </si>
  <si>
    <t xml:space="preserve">Faculty / College</t>
  </si>
  <si>
    <t xml:space="preserve">Top 1% Pubs</t>
  </si>
  <si>
    <t xml:space="preserve">Target %</t>
  </si>
  <si>
    <t xml:space="preserve">Gap to Target</t>
  </si>
  <si>
    <t xml:space="preserve">Priority</t>
  </si>
  <si>
    <t xml:space="preserve">Research Excellence — 5-Year Trend (% in Top 1%)</t>
  </si>
  <si>
    <t xml:space="preserve">Track peak quality improvement | World benchmark = 1.0%</t>
  </si>
  <si>
    <t xml:space="preserve">Year 1 (%)</t>
  </si>
  <si>
    <t xml:space="preserve">Year 2</t>
  </si>
  <si>
    <t xml:space="preserve">Year 3</t>
  </si>
  <si>
    <t xml:space="preserve">Year 4</t>
  </si>
  <si>
    <t xml:space="preserve">Year 5 (Current)</t>
  </si>
  <si>
    <t xml:space="preserve">5-Year Change (pp)</t>
  </si>
  <si>
    <t xml:space="preserve">Growth (%)</t>
  </si>
  <si>
    <t xml:space="preserve">Trend</t>
  </si>
  <si>
    <t xml:space="preserve">Research Excellence Score (0–100) — 5% of Total WUR</t>
  </si>
  <si>
    <t xml:space="preserve">% Top 1% → Z-scored → Normalized 0–100</t>
  </si>
  <si>
    <t xml:space="preserve">Z-Score</t>
  </si>
  <si>
    <t xml:space="preserve">Normalized Score (0–100)</t>
  </si>
  <si>
    <t xml:space="preserve">Global Rank</t>
  </si>
  <si>
    <t xml:space="preserve">Research Excellence — Strategic Action Plan</t>
  </si>
  <si>
    <t xml:space="preserve">Action Item</t>
  </si>
  <si>
    <t xml:space="preserve">Phase</t>
  </si>
  <si>
    <t xml:space="preserve">Status</t>
  </si>
  <si>
    <t xml:space="preserve">Target Date</t>
  </si>
  <si>
    <t xml:space="preserve">Remarks</t>
  </si>
  <si>
    <t xml:space="preserve">Identify current top-1% papers and the researchers who produced them</t>
  </si>
  <si>
    <t xml:space="preserve">1 (0–6mo)</t>
  </si>
  <si>
    <t xml:space="preserve">Map Highly Cited Researchers (HCRs) — recruit 2–3 for visiting/permanent positions</t>
  </si>
  <si>
    <t xml:space="preserve">Establish 'Breakthrough Research Fund' for high-risk/high-reward projects</t>
  </si>
  <si>
    <t xml:space="preserve">Create dedicated sabbatical / fellowship programme for potential HCR faculty</t>
  </si>
  <si>
    <t xml:space="preserve">2 (6–18mo)</t>
  </si>
  <si>
    <t xml:space="preserve">Build collaboration networks with top-1% researchers at elite institutions</t>
  </si>
  <si>
    <t xml:space="preserve">Target Nature/Science/Cell/Lancet/PNAS submissions for max citation potential</t>
  </si>
  <si>
    <t xml:space="preserve">Fund large-scale multi-centre studies with high top-1% probability</t>
  </si>
  <si>
    <t xml:space="preserve">Provide dedicated research assistants / postdocs to support potential HCR faculty</t>
  </si>
  <si>
    <t xml:space="preserve">Establish Centres of Excellence around breakthrough research themes</t>
  </si>
  <si>
    <t xml:space="preserve">Target institutional &gt;2% in top 1% (2× world average)</t>
  </si>
  <si>
    <t xml:space="preserve">3 (18–36mo)</t>
  </si>
  <si>
    <t xml:space="preserve">Grow HCR count by 50–100% from Year 1 baseline</t>
  </si>
  <si>
    <t xml:space="preserve">Embed top-1% targets in faculty appraisal for senior researchers</t>
  </si>
  <si>
    <t xml:space="preserve">Progress</t>
  </si>
  <si>
    <t xml:space="preserve">Completed</t>
  </si>
  <si>
    <t xml:space="preserve">In Progress</t>
  </si>
  <si>
    <t xml:space="preserve">Completion (%)</t>
  </si>
  <si>
    <t xml:space="preserve">Benchmarking — Research Excellence</t>
  </si>
  <si>
    <t xml:space="preserve">University / Benchmark</t>
  </si>
  <si>
    <t xml:space="preserve">Top 1% Count</t>
  </si>
  <si>
    <t xml:space="preserve">Score (0–100)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</si>
  <si>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</si>
  <si>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</si>
  <si>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</si>
  <si>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</si>
  <si>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</si>
  <si>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</si>
  <si>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</si>
  <si>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</si>
  <si>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</si>
  <si>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Research Excellence — Risk Assessment</t>
  </si>
  <si>
    <t xml:space="preserve">Risk</t>
  </si>
  <si>
    <t xml:space="preserve">Level</t>
  </si>
  <si>
    <t xml:space="preserve">Impact</t>
  </si>
  <si>
    <t xml:space="preserve">Mitigation</t>
  </si>
  <si>
    <t xml:space="preserve">Owner</t>
  </si>
  <si>
    <t xml:space="preserve">No / few top-1% papers</t>
  </si>
  <si>
    <t xml:space="preserve">🔴 High</t>
  </si>
  <si>
    <t xml:space="preserve">Zero score on this indicator; major gap vs peers</t>
  </si>
  <si>
    <t xml:space="preserve">Recruit HCRs; fund breakthrough research; target elite journals</t>
  </si>
  <si>
    <t xml:space="preserve">HCR departure / retirement</t>
  </si>
  <si>
    <t xml:space="preserve">Loss of top-1% capacity; proportion drops sharply</t>
  </si>
  <si>
    <t xml:space="preserve">Retention packages; succession planning; build institutional depth</t>
  </si>
  <si>
    <t xml:space="preserve">Over-reliance on 1–2 star researchers</t>
  </si>
  <si>
    <t xml:space="preserve">🟡 Medium</t>
  </si>
  <si>
    <t xml:space="preserve">Score depends on few individuals; fragile</t>
  </si>
  <si>
    <t xml:space="preserve">Build broader capability; develop mid-career faculty pipeline</t>
  </si>
  <si>
    <t xml:space="preserve">Scopus affiliation errors on top papers</t>
  </si>
  <si>
    <t xml:space="preserve">Top-1% papers not attributed to institution</t>
  </si>
  <si>
    <t xml:space="preserve">Priority Scopus audit for highest-cited papers</t>
  </si>
  <si>
    <t xml:space="preserve">Self-citation inflation of HCP status</t>
  </si>
  <si>
    <t xml:space="preserve">Papers appear in top 1% due to self-citations; excluded by THE</t>
  </si>
  <si>
    <t xml:space="preserve">Focus on external citations; self-citations excluded from analysis</t>
  </si>
  <si>
    <t xml:space="preserve">Publishing volume strategy diluting proportion</t>
  </si>
  <si>
    <t xml:space="preserve">More papers without proportional increase in top-1%</t>
  </si>
  <si>
    <t xml:space="preserve">Quality over quantity; strategic publishing, not volume targets</t>
  </si>
  <si>
    <t xml:space="preserve">Citation lag for recent breakthrough papers</t>
  </si>
  <si>
    <t xml:space="preserve">🟢 Low</t>
  </si>
  <si>
    <t xml:space="preserve">New breakthrough papers haven't reached top-1% threshold yet</t>
  </si>
  <si>
    <t xml:space="preserve">5-year window helps; focus on earlier-year publications</t>
  </si>
  <si>
    <t xml:space="preserve">Field imbalance affecting top-1% rates</t>
  </si>
  <si>
    <t xml:space="preserve">Some fields have lower citation rates; harder to reach top 1%</t>
  </si>
  <si>
    <t xml:space="preserve">FWCI and top-1% are field-normalized; ensure faculty aware of benchmarks</t>
  </si>
  <si>
    <t xml:space="preserve">Research Excellence — Data Quality &amp; Audit Checklist</t>
  </si>
  <si>
    <t xml:space="preserve">Validation checks for this indicator (5% of total WUR score)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</si>
  <si>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</si>
  <si>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</si>
  <si>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</si>
  <si>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</si>
  <si>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</si>
  <si>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Scopus source verification</t>
  </si>
  <si>
    <t xml:space="preserve">All data from Scopus; top-1% thresholds from Scopus/SciVal global benchmarks</t>
  </si>
  <si>
    <t xml:space="preserve">5-year window confirmation</t>
  </si>
  <si>
    <t xml:space="preserve">Publication window matches current THE ranking cycle</t>
  </si>
  <si>
    <t xml:space="preserve">Document type filter</t>
  </si>
  <si>
    <t xml:space="preserve">Only articles, reviews, conference papers; editorials, letters excluded</t>
  </si>
  <si>
    <t xml:space="preserve">Field normalization</t>
  </si>
  <si>
    <t xml:space="preserve">Top-1% threshold computed against global field-year-doctype citation distribution</t>
  </si>
  <si>
    <t xml:space="preserve">Self-citation exclusion</t>
  </si>
  <si>
    <t xml:space="preserve">Institutional self-citations excluded before determining top-1% status</t>
  </si>
  <si>
    <t xml:space="preserve">Scopus Affiliation ID check</t>
  </si>
  <si>
    <t xml:space="preserve">All institutional affiliations verified; priority audit for highest-cited papers</t>
  </si>
  <si>
    <t xml:space="preserve">Fractional counting applied</t>
  </si>
  <si>
    <t xml:space="preserve">Multi-institution papers counted fractionally for top-1% proportion</t>
  </si>
  <si>
    <t xml:space="preserve">Proportion calculation</t>
  </si>
  <si>
    <t xml:space="preserve">% Top 1% = (Top 1% papers / Total papers) × 100; verified</t>
  </si>
  <si>
    <t xml:space="preserve">HCR identification methodology</t>
  </si>
  <si>
    <t xml:space="preserve">Highly Cited Researchers identified via Clarivate HCR list and/or SciVal equivalents</t>
  </si>
  <si>
    <t xml:space="preserve">HCR affiliation verification</t>
  </si>
  <si>
    <t xml:space="preserve">Each HCR listed confirmed as having current institutional affiliation</t>
  </si>
  <si>
    <t xml:space="preserve">Landmark paper documentation</t>
  </si>
  <si>
    <t xml:space="preserve">All top-1% papers individually logged with DOI, citations, FWCI, and impact description</t>
  </si>
  <si>
    <t xml:space="preserve">Department-level reconciliation</t>
  </si>
  <si>
    <t xml:space="preserve">Sum of department top-1% papers ≈ institutional total</t>
  </si>
  <si>
    <t xml:space="preserve">Subject-level analysis</t>
  </si>
  <si>
    <t xml:space="preserve">Top-1% proportion computed per ASJC field; weak fields identified</t>
  </si>
  <si>
    <t xml:space="preserve">Suspended journal exclusion</t>
  </si>
  <si>
    <t xml:space="preserve">Papers in Scopus-suspended journals excluded</t>
  </si>
  <si>
    <t xml:space="preserve">Duplicate removal</t>
  </si>
  <si>
    <t xml:space="preserve">Duplicate records removed before top-1% analysis</t>
  </si>
  <si>
    <t xml:space="preserve">SciVal cross-validation</t>
  </si>
  <si>
    <t xml:space="preserve">Top-1% proportion cross-checked against SciVal 'Outputs in Top 1% Citation Percentiles'</t>
  </si>
  <si>
    <t xml:space="preserve">Consistency with Research Strength</t>
  </si>
  <si>
    <t xml:space="preserve">Top-1% subset of top-10% (top-1% count ≤ top-10% count); verified</t>
  </si>
  <si>
    <t xml:space="preserve">Year-on-year consistency</t>
  </si>
  <si>
    <t xml:space="preserve">Current proportion compared with previous cycle; changes &gt;0.5pp documented</t>
  </si>
  <si>
    <t xml:space="preserve">Snapshot date documentation</t>
  </si>
  <si>
    <t xml:space="preserve">Scopus data snapshot date documented; consistent across universities</t>
  </si>
  <si>
    <t xml:space="preserve">Reproducibility test</t>
  </si>
  <si>
    <t xml:space="preserve">% Top 1% reproducible from Scopus/SciVal data within ±0.5 percentage points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</si>
</sst>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548235"/>
        <bgColor rgb="FF808080"/>
      </patternFill>
    </fill>
    <fill>
      <patternFill patternType="solid">
        <fgColor rgb="FFC8102E"/>
        <bgColor rgb="FF8B0000"/>
      </patternFill>
    </fill>
    <fill>
      <patternFill patternType="solid">
        <fgColor rgb="FFE2EFDA"/>
        <bgColor rgb="FFF2F2F2"/>
      </patternFill>
    </fill>
    <fill>
      <patternFill patternType="solid">
        <fgColor rgb="FF3F51B5"/>
        <bgColor rgb="FF666699"/>
      </patternFill>
    </fill>
    <fill>
      <patternFill patternType="solid">
        <fgColor rgb="FFBF8F00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2F8F9D"/>
        <bgColor rgb="FF2E75B6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84.75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23.85" hidden="false" customHeight="false" outlineLevel="0" collapsed="false">
      <c r="A12" s="13" t="s">
        <v>22</v>
      </c>
      <c r="B12" s="13" t="s">
        <v>23</v>
      </c>
      <c r="C12" s="13" t="s">
        <v>24</v>
      </c>
      <c r="D12" s="13" t="s">
        <v>25</v>
      </c>
    </row>
    <row r="13" customFormat="false" ht="31.5" hidden="false" customHeight="true" outlineLevel="0" collapsed="false">
      <c r="A13" s="14" t="s">
        <v>26</v>
      </c>
      <c r="B13" s="15" t="s">
        <v>27</v>
      </c>
      <c r="C13" s="15" t="s">
        <v>28</v>
      </c>
      <c r="D13" s="15" t="s">
        <v>29</v>
      </c>
    </row>
    <row r="14" customFormat="false" ht="31.5" hidden="false" customHeight="true" outlineLevel="0" collapsed="false">
      <c r="A14" s="5" t="s">
        <v>30</v>
      </c>
      <c r="B14" s="6" t="s">
        <v>31</v>
      </c>
      <c r="C14" s="6" t="s">
        <v>32</v>
      </c>
      <c r="D14" s="6" t="s">
        <v>33</v>
      </c>
    </row>
    <row r="15" customFormat="false" ht="31.5" hidden="false" customHeight="true" outlineLevel="0" collapsed="false">
      <c r="A15" s="14" t="s">
        <v>34</v>
      </c>
      <c r="B15" s="15" t="s">
        <v>35</v>
      </c>
      <c r="C15" s="15" t="s">
        <v>36</v>
      </c>
      <c r="D15" s="15" t="s">
        <v>37</v>
      </c>
    </row>
    <row r="16" customFormat="false" ht="31.5" hidden="false" customHeight="true" outlineLevel="0" collapsed="false">
      <c r="A16" s="5" t="s">
        <v>38</v>
      </c>
      <c r="B16" s="6" t="s">
        <v>39</v>
      </c>
      <c r="C16" s="6" t="s">
        <v>40</v>
      </c>
      <c r="D16" s="6" t="s">
        <v>41</v>
      </c>
    </row>
    <row r="17" customFormat="false" ht="31.5" hidden="false" customHeight="true" outlineLevel="0" collapsed="false">
      <c r="A17" s="14" t="s">
        <v>42</v>
      </c>
      <c r="B17" s="15" t="s">
        <v>43</v>
      </c>
      <c r="C17" s="15" t="s">
        <v>44</v>
      </c>
      <c r="D17" s="15" t="s">
        <v>45</v>
      </c>
    </row>
    <row r="18" customFormat="false" ht="31.5" hidden="false" customHeight="true" outlineLevel="0" collapsed="false">
      <c r="A18" s="5" t="s">
        <v>46</v>
      </c>
      <c r="B18" s="6" t="s">
        <v>47</v>
      </c>
      <c r="C18" s="6" t="s">
        <v>48</v>
      </c>
      <c r="D18" s="6" t="s">
        <v>49</v>
      </c>
    </row>
    <row r="20" customFormat="false" ht="25.5" hidden="false" customHeight="true" outlineLevel="0" collapsed="false">
      <c r="A20" s="16" t="s">
        <v>50</v>
      </c>
      <c r="B20" s="16"/>
      <c r="C20" s="16"/>
      <c r="D20" s="16"/>
    </row>
    <row r="21" customFormat="false" ht="15" hidden="false" customHeight="true" outlineLevel="0" collapsed="false">
      <c r="A21" s="17" t="s">
        <v>51</v>
      </c>
      <c r="B21" s="17"/>
      <c r="C21" s="17"/>
      <c r="D21" s="17"/>
    </row>
    <row r="22" customFormat="false" ht="15" hidden="false" customHeight="true" outlineLevel="0" collapsed="false">
      <c r="A22" s="17" t="s">
        <v>52</v>
      </c>
      <c r="B22" s="17"/>
      <c r="C22" s="17"/>
      <c r="D22" s="17"/>
    </row>
    <row r="23" customFormat="false" ht="15" hidden="false" customHeight="true" outlineLevel="0" collapsed="false">
      <c r="A23" s="17" t="s">
        <v>53</v>
      </c>
      <c r="B23" s="17"/>
      <c r="C23" s="17"/>
      <c r="D23" s="17"/>
    </row>
    <row r="24" customFormat="false" ht="15" hidden="false" customHeight="true" outlineLevel="0" collapsed="false">
      <c r="A24" s="17" t="s">
        <v>54</v>
      </c>
      <c r="B24" s="17"/>
      <c r="C24" s="17"/>
      <c r="D24" s="17"/>
    </row>
    <row r="25" customFormat="false" ht="15" hidden="false" customHeight="true" outlineLevel="0" collapsed="false">
      <c r="A25" s="17" t="s">
        <v>55</v>
      </c>
      <c r="B25" s="17"/>
      <c r="C25" s="17"/>
      <c r="D25" s="17"/>
    </row>
    <row r="26" customFormat="false" ht="15" hidden="false" customHeight="true" outlineLevel="0" collapsed="false">
      <c r="A26" s="17" t="s">
        <v>56</v>
      </c>
      <c r="B26" s="17"/>
      <c r="C26" s="17"/>
      <c r="D26" s="17"/>
    </row>
    <row r="27" customFormat="false" ht="15" hidden="false" customHeight="true" outlineLevel="0" collapsed="false">
      <c r="A27" s="17" t="s">
        <v>57</v>
      </c>
      <c r="B27" s="17"/>
      <c r="C27" s="17"/>
      <c r="D27" s="17"/>
    </row>
    <row r="28" customFormat="false" ht="15" hidden="false" customHeight="true" outlineLevel="0" collapsed="false">
      <c r="A28" s="17" t="s">
        <v>58</v>
      </c>
      <c r="B28" s="17"/>
      <c r="C28" s="17"/>
      <c r="D28" s="17"/>
    </row>
  </sheetData>
  <mergeCells count="12">
    <mergeCell ref="A1:D1"/>
    <mergeCell ref="A2:D2"/>
    <mergeCell ref="A11:D11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18" t="s">
        <v>59</v>
      </c>
      <c r="B1" s="18"/>
      <c r="C1" s="18"/>
      <c r="D1" s="18"/>
      <c r="E1" s="18"/>
      <c r="F1" s="18"/>
      <c r="G1" s="18"/>
      <c r="H1" s="18"/>
      <c r="I1" s="18"/>
      <c r="J1" s="18"/>
    </row>
    <row r="2" customFormat="false" ht="25.5" hidden="false" customHeight="true" outlineLevel="0" collapsed="false">
      <c r="A2" s="19" t="s">
        <v>60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35.05" hidden="false" customHeight="false" outlineLevel="0" collapsed="false">
      <c r="A3" s="20" t="s">
        <v>61</v>
      </c>
      <c r="B3" s="20" t="s">
        <v>62</v>
      </c>
      <c r="C3" s="20" t="s">
        <v>63</v>
      </c>
      <c r="D3" s="20" t="s">
        <v>64</v>
      </c>
      <c r="E3" s="20" t="s">
        <v>65</v>
      </c>
      <c r="F3" s="20" t="s">
        <v>66</v>
      </c>
      <c r="G3" s="20" t="s">
        <v>67</v>
      </c>
      <c r="H3" s="20" t="s">
        <v>68</v>
      </c>
      <c r="I3" s="20" t="s">
        <v>69</v>
      </c>
      <c r="J3" s="20" t="s">
        <v>70</v>
      </c>
    </row>
    <row r="4" customFormat="false" ht="15" hidden="false" customHeight="false" outlineLevel="0" collapsed="false">
      <c r="A4" s="8" t="n">
        <v>1</v>
      </c>
      <c r="B4" s="21"/>
      <c r="C4" s="21"/>
      <c r="D4" s="21"/>
      <c r="E4" s="21"/>
      <c r="F4" s="22" t="n">
        <f aca="false">IF(D4&gt;0,E4/D4*100,0)</f>
        <v>0</v>
      </c>
      <c r="G4" s="21"/>
      <c r="H4" s="21"/>
      <c r="I4" s="23"/>
      <c r="J4" s="21"/>
    </row>
    <row r="5" customFormat="false" ht="15" hidden="false" customHeight="false" outlineLevel="0" collapsed="false">
      <c r="A5" s="4" t="n">
        <v>2</v>
      </c>
      <c r="B5" s="24"/>
      <c r="C5" s="24"/>
      <c r="D5" s="24"/>
      <c r="E5" s="24"/>
      <c r="F5" s="25" t="n">
        <f aca="false">IF(D5&gt;0,E5/D5*100,0)</f>
        <v>0</v>
      </c>
      <c r="G5" s="24"/>
      <c r="H5" s="24"/>
      <c r="I5" s="26"/>
      <c r="J5" s="24"/>
    </row>
    <row r="6" customFormat="false" ht="15" hidden="false" customHeight="false" outlineLevel="0" collapsed="false">
      <c r="A6" s="8" t="n">
        <v>3</v>
      </c>
      <c r="B6" s="21"/>
      <c r="C6" s="21"/>
      <c r="D6" s="21"/>
      <c r="E6" s="21"/>
      <c r="F6" s="22" t="n">
        <f aca="false">IF(D6&gt;0,E6/D6*100,0)</f>
        <v>0</v>
      </c>
      <c r="G6" s="21"/>
      <c r="H6" s="21"/>
      <c r="I6" s="23"/>
      <c r="J6" s="21"/>
    </row>
    <row r="7" customFormat="false" ht="15" hidden="false" customHeight="false" outlineLevel="0" collapsed="false">
      <c r="A7" s="4" t="n">
        <v>4</v>
      </c>
      <c r="B7" s="24"/>
      <c r="C7" s="24"/>
      <c r="D7" s="24"/>
      <c r="E7" s="24"/>
      <c r="F7" s="25" t="n">
        <f aca="false">IF(D7&gt;0,E7/D7*100,0)</f>
        <v>0</v>
      </c>
      <c r="G7" s="24"/>
      <c r="H7" s="24"/>
      <c r="I7" s="26"/>
      <c r="J7" s="24"/>
    </row>
    <row r="8" customFormat="false" ht="15" hidden="false" customHeight="false" outlineLevel="0" collapsed="false">
      <c r="A8" s="8" t="n">
        <v>5</v>
      </c>
      <c r="B8" s="21"/>
      <c r="C8" s="21"/>
      <c r="D8" s="21"/>
      <c r="E8" s="21"/>
      <c r="F8" s="22" t="n">
        <f aca="false">IF(D8&gt;0,E8/D8*100,0)</f>
        <v>0</v>
      </c>
      <c r="G8" s="21"/>
      <c r="H8" s="21"/>
      <c r="I8" s="23"/>
      <c r="J8" s="21"/>
    </row>
    <row r="9" customFormat="false" ht="15" hidden="false" customHeight="false" outlineLevel="0" collapsed="false">
      <c r="A9" s="4" t="n">
        <v>6</v>
      </c>
      <c r="B9" s="24"/>
      <c r="C9" s="24"/>
      <c r="D9" s="24"/>
      <c r="E9" s="24"/>
      <c r="F9" s="25" t="n">
        <f aca="false">IF(D9&gt;0,E9/D9*100,0)</f>
        <v>0</v>
      </c>
      <c r="G9" s="24"/>
      <c r="H9" s="24"/>
      <c r="I9" s="26"/>
      <c r="J9" s="24"/>
    </row>
    <row r="10" customFormat="false" ht="15" hidden="false" customHeight="false" outlineLevel="0" collapsed="false">
      <c r="A10" s="8" t="n">
        <v>7</v>
      </c>
      <c r="B10" s="21"/>
      <c r="C10" s="21"/>
      <c r="D10" s="21"/>
      <c r="E10" s="21"/>
      <c r="F10" s="22" t="n">
        <f aca="false">IF(D10&gt;0,E10/D10*100,0)</f>
        <v>0</v>
      </c>
      <c r="G10" s="21"/>
      <c r="H10" s="21"/>
      <c r="I10" s="23"/>
      <c r="J10" s="21"/>
    </row>
    <row r="11" customFormat="false" ht="15" hidden="false" customHeight="false" outlineLevel="0" collapsed="false">
      <c r="A11" s="4" t="n">
        <v>8</v>
      </c>
      <c r="B11" s="24"/>
      <c r="C11" s="24"/>
      <c r="D11" s="24"/>
      <c r="E11" s="24"/>
      <c r="F11" s="25" t="n">
        <f aca="false">IF(D11&gt;0,E11/D11*100,0)</f>
        <v>0</v>
      </c>
      <c r="G11" s="24"/>
      <c r="H11" s="24"/>
      <c r="I11" s="26"/>
      <c r="J11" s="24"/>
    </row>
    <row r="12" customFormat="false" ht="15" hidden="false" customHeight="false" outlineLevel="0" collapsed="false">
      <c r="A12" s="8" t="n">
        <v>9</v>
      </c>
      <c r="B12" s="21"/>
      <c r="C12" s="21"/>
      <c r="D12" s="21"/>
      <c r="E12" s="21"/>
      <c r="F12" s="22" t="n">
        <f aca="false">IF(D12&gt;0,E12/D12*100,0)</f>
        <v>0</v>
      </c>
      <c r="G12" s="21"/>
      <c r="H12" s="21"/>
      <c r="I12" s="23"/>
      <c r="J12" s="21"/>
    </row>
    <row r="13" customFormat="false" ht="15" hidden="false" customHeight="false" outlineLevel="0" collapsed="false">
      <c r="A13" s="4" t="n">
        <v>10</v>
      </c>
      <c r="B13" s="24"/>
      <c r="C13" s="24"/>
      <c r="D13" s="24"/>
      <c r="E13" s="24"/>
      <c r="F13" s="25" t="n">
        <f aca="false">IF(D13&gt;0,E13/D13*100,0)</f>
        <v>0</v>
      </c>
      <c r="G13" s="24"/>
      <c r="H13" s="24"/>
      <c r="I13" s="26"/>
      <c r="J13" s="24"/>
    </row>
    <row r="14" customFormat="false" ht="15" hidden="false" customHeight="false" outlineLevel="0" collapsed="false">
      <c r="A14" s="8" t="n">
        <v>11</v>
      </c>
      <c r="B14" s="21"/>
      <c r="C14" s="21"/>
      <c r="D14" s="21"/>
      <c r="E14" s="21"/>
      <c r="F14" s="22" t="n">
        <f aca="false">IF(D14&gt;0,E14/D14*100,0)</f>
        <v>0</v>
      </c>
      <c r="G14" s="21"/>
      <c r="H14" s="21"/>
      <c r="I14" s="23"/>
      <c r="J14" s="21"/>
    </row>
    <row r="15" customFormat="false" ht="15" hidden="false" customHeight="false" outlineLevel="0" collapsed="false">
      <c r="A15" s="4" t="n">
        <v>12</v>
      </c>
      <c r="B15" s="24"/>
      <c r="C15" s="24"/>
      <c r="D15" s="24"/>
      <c r="E15" s="24"/>
      <c r="F15" s="25" t="n">
        <f aca="false">IF(D15&gt;0,E15/D15*100,0)</f>
        <v>0</v>
      </c>
      <c r="G15" s="24"/>
      <c r="H15" s="24"/>
      <c r="I15" s="26"/>
      <c r="J15" s="24"/>
    </row>
    <row r="16" customFormat="false" ht="15" hidden="false" customHeight="false" outlineLevel="0" collapsed="false">
      <c r="A16" s="8" t="n">
        <v>13</v>
      </c>
      <c r="B16" s="21"/>
      <c r="C16" s="21"/>
      <c r="D16" s="21"/>
      <c r="E16" s="21"/>
      <c r="F16" s="22" t="n">
        <f aca="false">IF(D16&gt;0,E16/D16*100,0)</f>
        <v>0</v>
      </c>
      <c r="G16" s="21"/>
      <c r="H16" s="21"/>
      <c r="I16" s="23"/>
      <c r="J16" s="21"/>
    </row>
    <row r="17" customFormat="false" ht="15" hidden="false" customHeight="false" outlineLevel="0" collapsed="false">
      <c r="A17" s="4" t="n">
        <v>14</v>
      </c>
      <c r="B17" s="24"/>
      <c r="C17" s="24"/>
      <c r="D17" s="24"/>
      <c r="E17" s="24"/>
      <c r="F17" s="25" t="n">
        <f aca="false">IF(D17&gt;0,E17/D17*100,0)</f>
        <v>0</v>
      </c>
      <c r="G17" s="24"/>
      <c r="H17" s="24"/>
      <c r="I17" s="26"/>
      <c r="J17" s="24"/>
    </row>
    <row r="18" customFormat="false" ht="15" hidden="false" customHeight="false" outlineLevel="0" collapsed="false">
      <c r="A18" s="8" t="n">
        <v>15</v>
      </c>
      <c r="B18" s="21"/>
      <c r="C18" s="21"/>
      <c r="D18" s="21"/>
      <c r="E18" s="21"/>
      <c r="F18" s="22" t="n">
        <f aca="false">IF(D18&gt;0,E18/D18*100,0)</f>
        <v>0</v>
      </c>
      <c r="G18" s="21"/>
      <c r="H18" s="21"/>
      <c r="I18" s="23"/>
      <c r="J18" s="21"/>
    </row>
    <row r="19" customFormat="false" ht="15" hidden="false" customHeight="false" outlineLevel="0" collapsed="false">
      <c r="A19" s="4" t="n">
        <v>16</v>
      </c>
      <c r="B19" s="24"/>
      <c r="C19" s="24"/>
      <c r="D19" s="24"/>
      <c r="E19" s="24"/>
      <c r="F19" s="25" t="n">
        <f aca="false">IF(D19&gt;0,E19/D19*100,0)</f>
        <v>0</v>
      </c>
      <c r="G19" s="24"/>
      <c r="H19" s="24"/>
      <c r="I19" s="26"/>
      <c r="J19" s="24"/>
    </row>
    <row r="20" customFormat="false" ht="15" hidden="false" customHeight="false" outlineLevel="0" collapsed="false">
      <c r="A20" s="8" t="n">
        <v>17</v>
      </c>
      <c r="B20" s="21"/>
      <c r="C20" s="21"/>
      <c r="D20" s="21"/>
      <c r="E20" s="21"/>
      <c r="F20" s="22" t="n">
        <f aca="false">IF(D20&gt;0,E20/D20*100,0)</f>
        <v>0</v>
      </c>
      <c r="G20" s="21"/>
      <c r="H20" s="21"/>
      <c r="I20" s="23"/>
      <c r="J20" s="21"/>
    </row>
    <row r="21" customFormat="false" ht="15" hidden="false" customHeight="false" outlineLevel="0" collapsed="false">
      <c r="A21" s="4" t="n">
        <v>18</v>
      </c>
      <c r="B21" s="24"/>
      <c r="C21" s="24"/>
      <c r="D21" s="24"/>
      <c r="E21" s="24"/>
      <c r="F21" s="25" t="n">
        <f aca="false">IF(D21&gt;0,E21/D21*100,0)</f>
        <v>0</v>
      </c>
      <c r="G21" s="24"/>
      <c r="H21" s="24"/>
      <c r="I21" s="26"/>
      <c r="J21" s="24"/>
    </row>
    <row r="22" customFormat="false" ht="15" hidden="false" customHeight="false" outlineLevel="0" collapsed="false">
      <c r="A22" s="8" t="n">
        <v>19</v>
      </c>
      <c r="B22" s="21"/>
      <c r="C22" s="21"/>
      <c r="D22" s="21"/>
      <c r="E22" s="21"/>
      <c r="F22" s="22" t="n">
        <f aca="false">IF(D22&gt;0,E22/D22*100,0)</f>
        <v>0</v>
      </c>
      <c r="G22" s="21"/>
      <c r="H22" s="21"/>
      <c r="I22" s="23"/>
      <c r="J22" s="21"/>
    </row>
    <row r="23" customFormat="false" ht="15" hidden="false" customHeight="false" outlineLevel="0" collapsed="false">
      <c r="A23" s="4" t="n">
        <v>20</v>
      </c>
      <c r="B23" s="24"/>
      <c r="C23" s="24"/>
      <c r="D23" s="24"/>
      <c r="E23" s="24"/>
      <c r="F23" s="25" t="n">
        <f aca="false">IF(D23&gt;0,E23/D23*100,0)</f>
        <v>0</v>
      </c>
      <c r="G23" s="24"/>
      <c r="H23" s="24"/>
      <c r="I23" s="26"/>
      <c r="J23" s="24"/>
    </row>
    <row r="24" customFormat="false" ht="15" hidden="false" customHeight="false" outlineLevel="0" collapsed="false">
      <c r="A24" s="8" t="n">
        <v>21</v>
      </c>
      <c r="B24" s="21"/>
      <c r="C24" s="21"/>
      <c r="D24" s="21"/>
      <c r="E24" s="21"/>
      <c r="F24" s="22" t="n">
        <f aca="false">IF(D24&gt;0,E24/D24*100,0)</f>
        <v>0</v>
      </c>
      <c r="G24" s="21"/>
      <c r="H24" s="21"/>
      <c r="I24" s="23"/>
      <c r="J24" s="21"/>
    </row>
    <row r="25" customFormat="false" ht="15" hidden="false" customHeight="false" outlineLevel="0" collapsed="false">
      <c r="A25" s="4" t="n">
        <v>22</v>
      </c>
      <c r="B25" s="24"/>
      <c r="C25" s="24"/>
      <c r="D25" s="24"/>
      <c r="E25" s="24"/>
      <c r="F25" s="25" t="n">
        <f aca="false">IF(D25&gt;0,E25/D25*100,0)</f>
        <v>0</v>
      </c>
      <c r="G25" s="24"/>
      <c r="H25" s="24"/>
      <c r="I25" s="26"/>
      <c r="J25" s="24"/>
    </row>
    <row r="26" customFormat="false" ht="15" hidden="false" customHeight="false" outlineLevel="0" collapsed="false">
      <c r="A26" s="8" t="n">
        <v>23</v>
      </c>
      <c r="B26" s="21"/>
      <c r="C26" s="21"/>
      <c r="D26" s="21"/>
      <c r="E26" s="21"/>
      <c r="F26" s="22" t="n">
        <f aca="false">IF(D26&gt;0,E26/D26*100,0)</f>
        <v>0</v>
      </c>
      <c r="G26" s="21"/>
      <c r="H26" s="21"/>
      <c r="I26" s="23"/>
      <c r="J26" s="21"/>
    </row>
    <row r="27" customFormat="false" ht="15" hidden="false" customHeight="false" outlineLevel="0" collapsed="false">
      <c r="A27" s="4" t="n">
        <v>24</v>
      </c>
      <c r="B27" s="24"/>
      <c r="C27" s="24"/>
      <c r="D27" s="24"/>
      <c r="E27" s="24"/>
      <c r="F27" s="25" t="n">
        <f aca="false">IF(D27&gt;0,E27/D27*100,0)</f>
        <v>0</v>
      </c>
      <c r="G27" s="24"/>
      <c r="H27" s="24"/>
      <c r="I27" s="26"/>
      <c r="J27" s="24"/>
    </row>
    <row r="28" customFormat="false" ht="15" hidden="false" customHeight="false" outlineLevel="0" collapsed="false">
      <c r="A28" s="8" t="n">
        <v>25</v>
      </c>
      <c r="B28" s="21"/>
      <c r="C28" s="21"/>
      <c r="D28" s="21"/>
      <c r="E28" s="21"/>
      <c r="F28" s="22" t="n">
        <f aca="false">IF(D28&gt;0,E28/D28*100,0)</f>
        <v>0</v>
      </c>
      <c r="G28" s="21"/>
      <c r="H28" s="21"/>
      <c r="I28" s="23"/>
      <c r="J28" s="21"/>
    </row>
    <row r="29" customFormat="false" ht="15" hidden="false" customHeight="false" outlineLevel="0" collapsed="false">
      <c r="A29" s="4" t="n">
        <v>26</v>
      </c>
      <c r="B29" s="24"/>
      <c r="C29" s="24"/>
      <c r="D29" s="24"/>
      <c r="E29" s="24"/>
      <c r="F29" s="25" t="n">
        <f aca="false">IF(D29&gt;0,E29/D29*100,0)</f>
        <v>0</v>
      </c>
      <c r="G29" s="24"/>
      <c r="H29" s="24"/>
      <c r="I29" s="26"/>
      <c r="J29" s="24"/>
    </row>
    <row r="30" customFormat="false" ht="15" hidden="false" customHeight="false" outlineLevel="0" collapsed="false">
      <c r="A30" s="8" t="n">
        <v>27</v>
      </c>
      <c r="B30" s="21"/>
      <c r="C30" s="21"/>
      <c r="D30" s="21"/>
      <c r="E30" s="21"/>
      <c r="F30" s="22" t="n">
        <f aca="false">IF(D30&gt;0,E30/D30*100,0)</f>
        <v>0</v>
      </c>
      <c r="G30" s="21"/>
      <c r="H30" s="21"/>
      <c r="I30" s="23"/>
      <c r="J30" s="21"/>
    </row>
    <row r="31" customFormat="false" ht="15" hidden="false" customHeight="false" outlineLevel="0" collapsed="false">
      <c r="A31" s="4" t="n">
        <v>28</v>
      </c>
      <c r="B31" s="24"/>
      <c r="C31" s="24"/>
      <c r="D31" s="24"/>
      <c r="E31" s="24"/>
      <c r="F31" s="25" t="n">
        <f aca="false">IF(D31&gt;0,E31/D31*100,0)</f>
        <v>0</v>
      </c>
      <c r="G31" s="24"/>
      <c r="H31" s="24"/>
      <c r="I31" s="26"/>
      <c r="J31" s="24"/>
    </row>
    <row r="32" customFormat="false" ht="15" hidden="false" customHeight="false" outlineLevel="0" collapsed="false">
      <c r="A32" s="8" t="n">
        <v>29</v>
      </c>
      <c r="B32" s="21"/>
      <c r="C32" s="21"/>
      <c r="D32" s="21"/>
      <c r="E32" s="21"/>
      <c r="F32" s="22" t="n">
        <f aca="false">IF(D32&gt;0,E32/D32*100,0)</f>
        <v>0</v>
      </c>
      <c r="G32" s="21"/>
      <c r="H32" s="21"/>
      <c r="I32" s="23"/>
      <c r="J32" s="21"/>
    </row>
    <row r="33" customFormat="false" ht="15" hidden="false" customHeight="false" outlineLevel="0" collapsed="false">
      <c r="A33" s="4" t="n">
        <v>30</v>
      </c>
      <c r="B33" s="24"/>
      <c r="C33" s="24"/>
      <c r="D33" s="24"/>
      <c r="E33" s="24"/>
      <c r="F33" s="25" t="n">
        <f aca="false">IF(D33&gt;0,E33/D33*100,0)</f>
        <v>0</v>
      </c>
      <c r="G33" s="24"/>
      <c r="H33" s="24"/>
      <c r="I33" s="26"/>
      <c r="J33" s="24"/>
    </row>
    <row r="35" customFormat="false" ht="25.5" hidden="false" customHeight="true" outlineLevel="0" collapsed="false">
      <c r="A35" s="12" t="s">
        <v>71</v>
      </c>
      <c r="B35" s="12"/>
      <c r="C35" s="12"/>
      <c r="D35" s="12"/>
      <c r="E35" s="12"/>
      <c r="F35" s="12"/>
      <c r="G35" s="12"/>
      <c r="H35" s="12"/>
      <c r="I35" s="12"/>
      <c r="J35" s="12"/>
    </row>
    <row r="36" customFormat="false" ht="15" hidden="false" customHeight="true" outlineLevel="0" collapsed="false">
      <c r="A36" s="27" t="s">
        <v>72</v>
      </c>
      <c r="B36" s="27"/>
      <c r="C36" s="27"/>
      <c r="D36" s="27"/>
      <c r="E36" s="27"/>
      <c r="F36" s="28" t="n">
        <f aca="false">IF(COUNTA(F4:F33)&gt;0,AVERAGE(F4:F33),0)</f>
        <v>0</v>
      </c>
      <c r="G36" s="29"/>
      <c r="H36" s="29"/>
      <c r="I36" s="29"/>
      <c r="J36" s="29"/>
    </row>
    <row r="37" customFormat="false" ht="15" hidden="false" customHeight="true" outlineLevel="0" collapsed="false">
      <c r="A37" s="27" t="s">
        <v>73</v>
      </c>
      <c r="B37" s="27"/>
      <c r="C37" s="27"/>
      <c r="D37" s="27"/>
      <c r="E37" s="27"/>
      <c r="F37" s="28" t="n">
        <f aca="false">MAX(F4:F33)</f>
        <v>0</v>
      </c>
      <c r="G37" s="29"/>
      <c r="H37" s="29"/>
      <c r="I37" s="29"/>
      <c r="J37" s="29"/>
    </row>
    <row r="38" customFormat="false" ht="15" hidden="false" customHeight="true" outlineLevel="0" collapsed="false">
      <c r="A38" s="27" t="s">
        <v>74</v>
      </c>
      <c r="B38" s="27"/>
      <c r="C38" s="27"/>
      <c r="D38" s="27"/>
      <c r="E38" s="27"/>
      <c r="F38" s="28" t="n">
        <f aca="false">MIN(F4:F33)</f>
        <v>0</v>
      </c>
      <c r="G38" s="29"/>
      <c r="H38" s="29"/>
      <c r="I38" s="29"/>
      <c r="J38" s="29"/>
    </row>
    <row r="39" customFormat="false" ht="15" hidden="false" customHeight="true" outlineLevel="0" collapsed="false">
      <c r="A39" s="27" t="s">
        <v>75</v>
      </c>
      <c r="B39" s="27"/>
      <c r="C39" s="27"/>
      <c r="D39" s="27"/>
      <c r="E39" s="27"/>
      <c r="F39" s="30" t="n">
        <f aca="false">SUM(E4:E33)</f>
        <v>0</v>
      </c>
      <c r="G39" s="29"/>
      <c r="H39" s="29"/>
      <c r="I39" s="29"/>
      <c r="J39" s="29"/>
    </row>
    <row r="40" customFormat="false" ht="15" hidden="false" customHeight="true" outlineLevel="0" collapsed="false">
      <c r="A40" s="27" t="s">
        <v>30</v>
      </c>
      <c r="B40" s="27"/>
      <c r="C40" s="27"/>
      <c r="D40" s="27"/>
      <c r="E40" s="27"/>
      <c r="F40" s="31" t="s">
        <v>32</v>
      </c>
      <c r="G40" s="29"/>
      <c r="H40" s="29"/>
      <c r="I40" s="29"/>
      <c r="J40" s="29"/>
    </row>
  </sheetData>
  <mergeCells count="8">
    <mergeCell ref="A1:J1"/>
    <mergeCell ref="A2:J2"/>
    <mergeCell ref="A35:J35"/>
    <mergeCell ref="A36:E36"/>
    <mergeCell ref="A37:E37"/>
    <mergeCell ref="A38:E38"/>
    <mergeCell ref="A39:E39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17" min="3" style="0" width="9"/>
    <col collapsed="false" customWidth="true" hidden="false" outlineLevel="0" max="18" min="18" style="0" width="14"/>
  </cols>
  <sheetData>
    <row r="1" customFormat="false" ht="33.75" hidden="false" customHeight="true" outlineLevel="0" collapsed="false">
      <c r="A1" s="32" t="s">
        <v>76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customFormat="false" ht="25.5" hidden="false" customHeight="true" outlineLevel="0" collapsed="false">
      <c r="A2" s="33" t="s">
        <v>77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4" customFormat="false" ht="15" hidden="false" customHeight="false" outlineLevel="0" collapsed="false">
      <c r="A4" s="34" t="s">
        <v>78</v>
      </c>
      <c r="B4" s="34" t="s">
        <v>63</v>
      </c>
      <c r="C4" s="35" t="s">
        <v>79</v>
      </c>
      <c r="D4" s="35" t="s">
        <v>80</v>
      </c>
      <c r="E4" s="35" t="s">
        <v>81</v>
      </c>
      <c r="F4" s="35" t="s">
        <v>82</v>
      </c>
      <c r="G4" s="35" t="s">
        <v>83</v>
      </c>
      <c r="H4" s="35" t="s">
        <v>84</v>
      </c>
      <c r="I4" s="35" t="s">
        <v>85</v>
      </c>
      <c r="J4" s="35" t="s">
        <v>86</v>
      </c>
      <c r="K4" s="35" t="s">
        <v>87</v>
      </c>
      <c r="L4" s="35" t="s">
        <v>88</v>
      </c>
      <c r="M4" s="35" t="s">
        <v>89</v>
      </c>
      <c r="N4" s="35" t="s">
        <v>90</v>
      </c>
      <c r="O4" s="35" t="s">
        <v>91</v>
      </c>
      <c r="P4" s="35" t="s">
        <v>92</v>
      </c>
      <c r="Q4" s="35" t="s">
        <v>93</v>
      </c>
      <c r="R4" s="13" t="s">
        <v>94</v>
      </c>
    </row>
    <row r="5" customFormat="false" ht="15" hidden="false" customHeight="false" outlineLevel="0" collapsed="false">
      <c r="A5" s="24"/>
      <c r="B5" s="24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36" t="n">
        <f aca="false">IF(COUNTA(C5:Q5)&gt;0,AVERAGE(C5:Q5),0)</f>
        <v>0</v>
      </c>
    </row>
    <row r="6" customFormat="false" ht="15" hidden="false" customHeight="false" outlineLevel="0" collapsed="false">
      <c r="A6" s="21"/>
      <c r="B6" s="21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37" t="n">
        <f aca="false">IF(COUNTA(C6:Q6)&gt;0,AVERAGE(C6:Q6),0)</f>
        <v>0</v>
      </c>
    </row>
    <row r="7" customFormat="false" ht="15" hidden="false" customHeight="false" outlineLevel="0" collapsed="false">
      <c r="A7" s="24"/>
      <c r="B7" s="24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36" t="n">
        <f aca="false">IF(COUNTA(C7:Q7)&gt;0,AVERAGE(C7:Q7),0)</f>
        <v>0</v>
      </c>
    </row>
    <row r="8" customFormat="false" ht="15" hidden="false" customHeight="false" outlineLevel="0" collapsed="false">
      <c r="A8" s="21"/>
      <c r="B8" s="21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37" t="n">
        <f aca="false">IF(COUNTA(C8:Q8)&gt;0,AVERAGE(C8:Q8),0)</f>
        <v>0</v>
      </c>
    </row>
    <row r="9" customFormat="false" ht="15" hidden="false" customHeight="false" outlineLevel="0" collapsed="false">
      <c r="A9" s="24"/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36" t="n">
        <f aca="false">IF(COUNTA(C9:Q9)&gt;0,AVERAGE(C9:Q9),0)</f>
        <v>0</v>
      </c>
    </row>
    <row r="10" customFormat="false" ht="15" hidden="false" customHeight="false" outlineLevel="0" collapsed="false">
      <c r="A10" s="21"/>
      <c r="B10" s="21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37" t="n">
        <f aca="false">IF(COUNTA(C10:Q10)&gt;0,AVERAGE(C10:Q10),0)</f>
        <v>0</v>
      </c>
    </row>
    <row r="11" customFormat="false" ht="15" hidden="false" customHeight="false" outlineLevel="0" collapsed="false">
      <c r="A11" s="24"/>
      <c r="B11" s="24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36" t="n">
        <f aca="false">IF(COUNTA(C11:Q11)&gt;0,AVERAGE(C11:Q11),0)</f>
        <v>0</v>
      </c>
    </row>
    <row r="12" customFormat="false" ht="15" hidden="false" customHeight="false" outlineLevel="0" collapsed="false">
      <c r="A12" s="21"/>
      <c r="B12" s="21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37" t="n">
        <f aca="false">IF(COUNTA(C12:Q12)&gt;0,AVERAGE(C12:Q12),0)</f>
        <v>0</v>
      </c>
    </row>
    <row r="13" customFormat="false" ht="15" hidden="false" customHeight="false" outlineLevel="0" collapsed="false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36" t="n">
        <f aca="false">IF(COUNTA(C13:Q13)&gt;0,AVERAGE(C13:Q13),0)</f>
        <v>0</v>
      </c>
    </row>
    <row r="14" customFormat="false" ht="15" hidden="false" customHeight="false" outlineLevel="0" collapsed="false">
      <c r="A14" s="21"/>
      <c r="B14" s="21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37" t="n">
        <f aca="false">IF(COUNTA(C14:Q14)&gt;0,AVERAGE(C14:Q14),0)</f>
        <v>0</v>
      </c>
    </row>
    <row r="15" customFormat="false" ht="15" hidden="false" customHeight="false" outlineLevel="0" collapsed="false">
      <c r="A15" s="24"/>
      <c r="B15" s="24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36" t="n">
        <f aca="false">IF(COUNTA(C15:Q15)&gt;0,AVERAGE(C15:Q15),0)</f>
        <v>0</v>
      </c>
    </row>
    <row r="16" customFormat="false" ht="15" hidden="false" customHeight="false" outlineLevel="0" collapsed="false">
      <c r="A16" s="21"/>
      <c r="B16" s="21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37" t="n">
        <f aca="false">IF(COUNTA(C16:Q16)&gt;0,AVERAGE(C16:Q16),0)</f>
        <v>0</v>
      </c>
    </row>
    <row r="17" customFormat="false" ht="15" hidden="false" customHeight="false" outlineLevel="0" collapsed="false">
      <c r="A17" s="24"/>
      <c r="B17" s="24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36" t="n">
        <f aca="false">IF(COUNTA(C17:Q17)&gt;0,AVERAGE(C17:Q17),0)</f>
        <v>0</v>
      </c>
    </row>
    <row r="18" customFormat="false" ht="15" hidden="false" customHeight="false" outlineLevel="0" collapsed="false">
      <c r="A18" s="21"/>
      <c r="B18" s="2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37" t="n">
        <f aca="false">IF(COUNTA(C18:Q18)&gt;0,AVERAGE(C18:Q18),0)</f>
        <v>0</v>
      </c>
    </row>
    <row r="19" customFormat="false" ht="15" hidden="false" customHeight="false" outlineLevel="0" collapsed="false">
      <c r="A19" s="24"/>
      <c r="B19" s="24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36" t="n">
        <f aca="false">IF(COUNTA(C19:Q19)&gt;0,AVERAGE(C19:Q19),0)</f>
        <v>0</v>
      </c>
    </row>
    <row r="20" customFormat="false" ht="15" hidden="false" customHeight="false" outlineLevel="0" collapsed="false">
      <c r="A20" s="21"/>
      <c r="B20" s="21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37" t="n">
        <f aca="false">IF(COUNTA(C20:Q20)&gt;0,AVERAGE(C20:Q20),0)</f>
        <v>0</v>
      </c>
    </row>
    <row r="21" customFormat="false" ht="15" hidden="false" customHeight="false" outlineLevel="0" collapsed="false">
      <c r="A21" s="24"/>
      <c r="B21" s="24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36" t="n">
        <f aca="false">IF(COUNTA(C21:Q21)&gt;0,AVERAGE(C21:Q21),0)</f>
        <v>0</v>
      </c>
    </row>
    <row r="22" customFormat="false" ht="15" hidden="false" customHeight="false" outlineLevel="0" collapsed="false">
      <c r="A22" s="21"/>
      <c r="B22" s="2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37" t="n">
        <f aca="false">IF(COUNTA(C22:Q22)&gt;0,AVERAGE(C22:Q22),0)</f>
        <v>0</v>
      </c>
    </row>
    <row r="23" customFormat="false" ht="15" hidden="false" customHeight="false" outlineLevel="0" collapsed="false">
      <c r="A23" s="24"/>
      <c r="B23" s="24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36" t="n">
        <f aca="false">IF(COUNTA(C23:Q23)&gt;0,AVERAGE(C23:Q23),0)</f>
        <v>0</v>
      </c>
    </row>
    <row r="24" customFormat="false" ht="15" hidden="false" customHeight="false" outlineLevel="0" collapsed="false">
      <c r="A24" s="21"/>
      <c r="B24" s="21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37" t="n">
        <f aca="false">IF(COUNTA(C24:Q24)&gt;0,AVERAGE(C24:Q24),0)</f>
        <v>0</v>
      </c>
    </row>
    <row r="25" customFormat="false" ht="15" hidden="false" customHeight="false" outlineLevel="0" collapsed="false">
      <c r="A25" s="24"/>
      <c r="B25" s="24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36" t="n">
        <f aca="false">IF(COUNTA(C25:Q25)&gt;0,AVERAGE(C25:Q25),0)</f>
        <v>0</v>
      </c>
    </row>
    <row r="26" customFormat="false" ht="15" hidden="false" customHeight="false" outlineLevel="0" collapsed="false">
      <c r="A26" s="21"/>
      <c r="B26" s="21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37" t="n">
        <f aca="false">IF(COUNTA(C26:Q26)&gt;0,AVERAGE(C26:Q26),0)</f>
        <v>0</v>
      </c>
    </row>
    <row r="27" customFormat="false" ht="15" hidden="false" customHeight="false" outlineLevel="0" collapsed="false">
      <c r="A27" s="24"/>
      <c r="B27" s="24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36" t="n">
        <f aca="false">IF(COUNTA(C27:Q27)&gt;0,AVERAGE(C27:Q27),0)</f>
        <v>0</v>
      </c>
    </row>
    <row r="28" customFormat="false" ht="15" hidden="false" customHeight="false" outlineLevel="0" collapsed="false">
      <c r="A28" s="21"/>
      <c r="B28" s="2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37" t="n">
        <f aca="false">IF(COUNTA(C28:Q28)&gt;0,AVERAGE(C28:Q28),0)</f>
        <v>0</v>
      </c>
    </row>
    <row r="29" customFormat="false" ht="15" hidden="false" customHeight="false" outlineLevel="0" collapsed="false">
      <c r="A29" s="24"/>
      <c r="B29" s="24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36" t="n">
        <f aca="false">IF(COUNTA(C29:Q29)&gt;0,AVERAGE(C29:Q29),0)</f>
        <v>0</v>
      </c>
    </row>
    <row r="30" customFormat="false" ht="15" hidden="false" customHeight="false" outlineLevel="0" collapsed="false">
      <c r="A30" s="21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37" t="n">
        <f aca="false">IF(COUNTA(C30:Q30)&gt;0,AVERAGE(C30:Q30),0)</f>
        <v>0</v>
      </c>
    </row>
    <row r="31" customFormat="false" ht="15" hidden="false" customHeight="false" outlineLevel="0" collapsed="false">
      <c r="A31" s="24"/>
      <c r="B31" s="24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36" t="n">
        <f aca="false">IF(COUNTA(C31:Q31)&gt;0,AVERAGE(C31:Q31),0)</f>
        <v>0</v>
      </c>
    </row>
    <row r="32" customFormat="false" ht="15" hidden="false" customHeight="false" outlineLevel="0" collapsed="false">
      <c r="A32" s="21"/>
      <c r="B32" s="2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37" t="n">
        <f aca="false">IF(COUNTA(C32:Q32)&gt;0,AVERAGE(C32:Q32),0)</f>
        <v>0</v>
      </c>
    </row>
    <row r="33" customFormat="false" ht="15" hidden="false" customHeight="false" outlineLevel="0" collapsed="false">
      <c r="A33" s="24"/>
      <c r="B33" s="24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36" t="n">
        <f aca="false">IF(COUNTA(C33:Q33)&gt;0,AVERAGE(C33:Q33),0)</f>
        <v>0</v>
      </c>
    </row>
    <row r="34" customFormat="false" ht="15" hidden="false" customHeight="false" outlineLevel="0" collapsed="false">
      <c r="A34" s="21"/>
      <c r="B34" s="2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37" t="n">
        <f aca="false">IF(COUNTA(C34:Q34)&gt;0,AVERAGE(C34:Q34),0)</f>
        <v>0</v>
      </c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8" min="5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38" t="s">
        <v>95</v>
      </c>
      <c r="B1" s="38"/>
      <c r="C1" s="38"/>
      <c r="D1" s="38"/>
      <c r="E1" s="38"/>
      <c r="F1" s="38"/>
      <c r="G1" s="38"/>
      <c r="H1" s="38"/>
      <c r="I1" s="38"/>
    </row>
    <row r="2" customFormat="false" ht="25.5" hidden="false" customHeight="true" outlineLevel="0" collapsed="false">
      <c r="A2" s="39" t="s">
        <v>96</v>
      </c>
      <c r="B2" s="39"/>
      <c r="C2" s="39"/>
      <c r="D2" s="39"/>
      <c r="E2" s="39"/>
      <c r="F2" s="39"/>
      <c r="G2" s="39"/>
      <c r="H2" s="39"/>
      <c r="I2" s="39"/>
    </row>
    <row r="3" customFormat="false" ht="35.05" hidden="false" customHeight="false" outlineLevel="0" collapsed="false">
      <c r="A3" s="40" t="s">
        <v>61</v>
      </c>
      <c r="B3" s="40" t="s">
        <v>97</v>
      </c>
      <c r="C3" s="40" t="s">
        <v>98</v>
      </c>
      <c r="D3" s="40" t="s">
        <v>99</v>
      </c>
      <c r="E3" s="40" t="s">
        <v>64</v>
      </c>
      <c r="F3" s="40" t="s">
        <v>100</v>
      </c>
      <c r="G3" s="40" t="s">
        <v>101</v>
      </c>
      <c r="H3" s="40" t="s">
        <v>102</v>
      </c>
      <c r="I3" s="40" t="s">
        <v>62</v>
      </c>
    </row>
    <row r="4" customFormat="false" ht="15" hidden="false" customHeight="false" outlineLevel="0" collapsed="false">
      <c r="A4" s="8" t="n">
        <v>1</v>
      </c>
      <c r="B4" s="21"/>
      <c r="C4" s="21"/>
      <c r="D4" s="21"/>
      <c r="E4" s="21"/>
      <c r="F4" s="21"/>
      <c r="G4" s="21"/>
      <c r="H4" s="21"/>
      <c r="I4" s="21"/>
    </row>
    <row r="5" customFormat="false" ht="15" hidden="false" customHeight="false" outlineLevel="0" collapsed="false">
      <c r="A5" s="4" t="n">
        <v>2</v>
      </c>
      <c r="B5" s="24"/>
      <c r="C5" s="24"/>
      <c r="D5" s="24"/>
      <c r="E5" s="24"/>
      <c r="F5" s="24"/>
      <c r="G5" s="24"/>
      <c r="H5" s="24"/>
      <c r="I5" s="24"/>
    </row>
    <row r="6" customFormat="false" ht="15" hidden="false" customHeight="false" outlineLevel="0" collapsed="false">
      <c r="A6" s="8" t="n">
        <v>3</v>
      </c>
      <c r="B6" s="21"/>
      <c r="C6" s="21"/>
      <c r="D6" s="21"/>
      <c r="E6" s="21"/>
      <c r="F6" s="21"/>
      <c r="G6" s="21"/>
      <c r="H6" s="21"/>
      <c r="I6" s="21"/>
    </row>
    <row r="7" customFormat="false" ht="15" hidden="false" customHeight="false" outlineLevel="0" collapsed="false">
      <c r="A7" s="4" t="n">
        <v>4</v>
      </c>
      <c r="B7" s="24"/>
      <c r="C7" s="24"/>
      <c r="D7" s="24"/>
      <c r="E7" s="24"/>
      <c r="F7" s="24"/>
      <c r="G7" s="24"/>
      <c r="H7" s="24"/>
      <c r="I7" s="24"/>
    </row>
    <row r="8" customFormat="false" ht="15" hidden="false" customHeight="false" outlineLevel="0" collapsed="false">
      <c r="A8" s="8" t="n">
        <v>5</v>
      </c>
      <c r="B8" s="21"/>
      <c r="C8" s="21"/>
      <c r="D8" s="21"/>
      <c r="E8" s="21"/>
      <c r="F8" s="21"/>
      <c r="G8" s="21"/>
      <c r="H8" s="21"/>
      <c r="I8" s="21"/>
    </row>
    <row r="9" customFormat="false" ht="15" hidden="false" customHeight="false" outlineLevel="0" collapsed="false">
      <c r="A9" s="4" t="n">
        <v>6</v>
      </c>
      <c r="B9" s="24"/>
      <c r="C9" s="24"/>
      <c r="D9" s="24"/>
      <c r="E9" s="24"/>
      <c r="F9" s="24"/>
      <c r="G9" s="24"/>
      <c r="H9" s="24"/>
      <c r="I9" s="24"/>
    </row>
    <row r="10" customFormat="false" ht="15" hidden="false" customHeight="false" outlineLevel="0" collapsed="false">
      <c r="A10" s="8" t="n">
        <v>7</v>
      </c>
      <c r="B10" s="21"/>
      <c r="C10" s="21"/>
      <c r="D10" s="21"/>
      <c r="E10" s="21"/>
      <c r="F10" s="21"/>
      <c r="G10" s="21"/>
      <c r="H10" s="21"/>
      <c r="I10" s="21"/>
    </row>
    <row r="11" customFormat="false" ht="15" hidden="false" customHeight="false" outlineLevel="0" collapsed="false">
      <c r="A11" s="4" t="n">
        <v>8</v>
      </c>
      <c r="B11" s="24"/>
      <c r="C11" s="24"/>
      <c r="D11" s="24"/>
      <c r="E11" s="24"/>
      <c r="F11" s="24"/>
      <c r="G11" s="24"/>
      <c r="H11" s="24"/>
      <c r="I11" s="24"/>
    </row>
    <row r="12" customFormat="false" ht="15" hidden="false" customHeight="false" outlineLevel="0" collapsed="false">
      <c r="A12" s="8" t="n">
        <v>9</v>
      </c>
      <c r="B12" s="21"/>
      <c r="C12" s="21"/>
      <c r="D12" s="21"/>
      <c r="E12" s="21"/>
      <c r="F12" s="21"/>
      <c r="G12" s="21"/>
      <c r="H12" s="21"/>
      <c r="I12" s="21"/>
    </row>
    <row r="13" customFormat="false" ht="15" hidden="false" customHeight="false" outlineLevel="0" collapsed="false">
      <c r="A13" s="4" t="n">
        <v>10</v>
      </c>
      <c r="B13" s="24"/>
      <c r="C13" s="24"/>
      <c r="D13" s="24"/>
      <c r="E13" s="24"/>
      <c r="F13" s="24"/>
      <c r="G13" s="24"/>
      <c r="H13" s="24"/>
      <c r="I13" s="24"/>
    </row>
    <row r="14" customFormat="false" ht="15" hidden="false" customHeight="false" outlineLevel="0" collapsed="false">
      <c r="A14" s="8" t="n">
        <v>11</v>
      </c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false" outlineLevel="0" collapsed="false">
      <c r="A15" s="4" t="n">
        <v>12</v>
      </c>
      <c r="B15" s="24"/>
      <c r="C15" s="24"/>
      <c r="D15" s="24"/>
      <c r="E15" s="24"/>
      <c r="F15" s="24"/>
      <c r="G15" s="24"/>
      <c r="H15" s="24"/>
      <c r="I15" s="24"/>
    </row>
    <row r="16" customFormat="false" ht="15" hidden="false" customHeight="false" outlineLevel="0" collapsed="false">
      <c r="A16" s="8" t="n">
        <v>13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false" outlineLevel="0" collapsed="false">
      <c r="A17" s="4" t="n">
        <v>14</v>
      </c>
      <c r="B17" s="24"/>
      <c r="C17" s="24"/>
      <c r="D17" s="24"/>
      <c r="E17" s="24"/>
      <c r="F17" s="24"/>
      <c r="G17" s="24"/>
      <c r="H17" s="24"/>
      <c r="I17" s="24"/>
    </row>
    <row r="18" customFormat="false" ht="15" hidden="false" customHeight="false" outlineLevel="0" collapsed="false">
      <c r="A18" s="8" t="n">
        <v>15</v>
      </c>
      <c r="B18" s="21"/>
      <c r="C18" s="21"/>
      <c r="D18" s="21"/>
      <c r="E18" s="21"/>
      <c r="F18" s="21"/>
      <c r="G18" s="21"/>
      <c r="H18" s="21"/>
      <c r="I18" s="21"/>
    </row>
    <row r="19" customFormat="false" ht="15" hidden="false" customHeight="false" outlineLevel="0" collapsed="false">
      <c r="A19" s="4" t="n">
        <v>16</v>
      </c>
      <c r="B19" s="24"/>
      <c r="C19" s="24"/>
      <c r="D19" s="24"/>
      <c r="E19" s="24"/>
      <c r="F19" s="24"/>
      <c r="G19" s="24"/>
      <c r="H19" s="24"/>
      <c r="I19" s="24"/>
    </row>
    <row r="20" customFormat="false" ht="15" hidden="false" customHeight="false" outlineLevel="0" collapsed="false">
      <c r="A20" s="8" t="n">
        <v>17</v>
      </c>
      <c r="B20" s="21"/>
      <c r="C20" s="21"/>
      <c r="D20" s="21"/>
      <c r="E20" s="21"/>
      <c r="F20" s="21"/>
      <c r="G20" s="21"/>
      <c r="H20" s="21"/>
      <c r="I20" s="21"/>
    </row>
    <row r="21" customFormat="false" ht="15" hidden="false" customHeight="false" outlineLevel="0" collapsed="false">
      <c r="A21" s="4" t="n">
        <v>18</v>
      </c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false" outlineLevel="0" collapsed="false">
      <c r="A22" s="8" t="n">
        <v>19</v>
      </c>
      <c r="B22" s="21"/>
      <c r="C22" s="21"/>
      <c r="D22" s="21"/>
      <c r="E22" s="21"/>
      <c r="F22" s="21"/>
      <c r="G22" s="21"/>
      <c r="H22" s="21"/>
      <c r="I22" s="21"/>
    </row>
    <row r="23" customFormat="false" ht="15" hidden="false" customHeight="false" outlineLevel="0" collapsed="false">
      <c r="A23" s="4" t="n">
        <v>20</v>
      </c>
      <c r="B23" s="24"/>
      <c r="C23" s="24"/>
      <c r="D23" s="24"/>
      <c r="E23" s="24"/>
      <c r="F23" s="24"/>
      <c r="G23" s="24"/>
      <c r="H23" s="24"/>
      <c r="I23" s="24"/>
    </row>
    <row r="24" customFormat="false" ht="15" hidden="false" customHeight="false" outlineLevel="0" collapsed="false">
      <c r="A24" s="8" t="n">
        <v>21</v>
      </c>
      <c r="B24" s="21"/>
      <c r="C24" s="21"/>
      <c r="D24" s="21"/>
      <c r="E24" s="21"/>
      <c r="F24" s="21"/>
      <c r="G24" s="21"/>
      <c r="H24" s="21"/>
      <c r="I24" s="21"/>
    </row>
    <row r="25" customFormat="false" ht="15" hidden="false" customHeight="false" outlineLevel="0" collapsed="false">
      <c r="A25" s="4" t="n">
        <v>22</v>
      </c>
      <c r="B25" s="24"/>
      <c r="C25" s="24"/>
      <c r="D25" s="24"/>
      <c r="E25" s="24"/>
      <c r="F25" s="24"/>
      <c r="G25" s="24"/>
      <c r="H25" s="24"/>
      <c r="I25" s="24"/>
    </row>
    <row r="26" customFormat="false" ht="15" hidden="false" customHeight="false" outlineLevel="0" collapsed="false">
      <c r="A26" s="8" t="n">
        <v>23</v>
      </c>
      <c r="B26" s="21"/>
      <c r="C26" s="21"/>
      <c r="D26" s="21"/>
      <c r="E26" s="21"/>
      <c r="F26" s="21"/>
      <c r="G26" s="21"/>
      <c r="H26" s="21"/>
      <c r="I26" s="21"/>
    </row>
    <row r="27" customFormat="false" ht="15" hidden="false" customHeight="false" outlineLevel="0" collapsed="false">
      <c r="A27" s="4" t="n">
        <v>24</v>
      </c>
      <c r="B27" s="24"/>
      <c r="C27" s="24"/>
      <c r="D27" s="24"/>
      <c r="E27" s="24"/>
      <c r="F27" s="24"/>
      <c r="G27" s="24"/>
      <c r="H27" s="24"/>
      <c r="I27" s="24"/>
    </row>
    <row r="28" customFormat="false" ht="15" hidden="false" customHeight="false" outlineLevel="0" collapsed="false">
      <c r="A28" s="8" t="n">
        <v>25</v>
      </c>
      <c r="B28" s="21"/>
      <c r="C28" s="21"/>
      <c r="D28" s="21"/>
      <c r="E28" s="21"/>
      <c r="F28" s="21"/>
      <c r="G28" s="21"/>
      <c r="H28" s="21"/>
      <c r="I28" s="21"/>
    </row>
    <row r="29" customFormat="false" ht="15" hidden="false" customHeight="false" outlineLevel="0" collapsed="false">
      <c r="A29" s="4" t="n">
        <v>26</v>
      </c>
      <c r="B29" s="24"/>
      <c r="C29" s="24"/>
      <c r="D29" s="24"/>
      <c r="E29" s="24"/>
      <c r="F29" s="24"/>
      <c r="G29" s="24"/>
      <c r="H29" s="24"/>
      <c r="I29" s="24"/>
    </row>
    <row r="30" customFormat="false" ht="15" hidden="false" customHeight="false" outlineLevel="0" collapsed="false">
      <c r="A30" s="8" t="n">
        <v>27</v>
      </c>
      <c r="B30" s="21"/>
      <c r="C30" s="21"/>
      <c r="D30" s="21"/>
      <c r="E30" s="21"/>
      <c r="F30" s="21"/>
      <c r="G30" s="21"/>
      <c r="H30" s="21"/>
      <c r="I30" s="21"/>
    </row>
    <row r="31" customFormat="false" ht="15" hidden="false" customHeight="false" outlineLevel="0" collapsed="false">
      <c r="A31" s="4" t="n">
        <v>28</v>
      </c>
      <c r="B31" s="24"/>
      <c r="C31" s="24"/>
      <c r="D31" s="24"/>
      <c r="E31" s="24"/>
      <c r="F31" s="24"/>
      <c r="G31" s="24"/>
      <c r="H31" s="24"/>
      <c r="I31" s="24"/>
    </row>
    <row r="32" customFormat="false" ht="15" hidden="false" customHeight="false" outlineLevel="0" collapsed="false">
      <c r="A32" s="8" t="n">
        <v>29</v>
      </c>
      <c r="B32" s="21"/>
      <c r="C32" s="21"/>
      <c r="D32" s="21"/>
      <c r="E32" s="21"/>
      <c r="F32" s="21"/>
      <c r="G32" s="21"/>
      <c r="H32" s="21"/>
      <c r="I32" s="21"/>
    </row>
    <row r="33" customFormat="false" ht="15" hidden="false" customHeight="false" outlineLevel="0" collapsed="false">
      <c r="A33" s="4" t="n">
        <v>30</v>
      </c>
      <c r="B33" s="24"/>
      <c r="C33" s="24"/>
      <c r="D33" s="24"/>
      <c r="E33" s="24"/>
      <c r="F33" s="24"/>
      <c r="G33" s="24"/>
      <c r="H33" s="24"/>
      <c r="I33" s="24"/>
    </row>
    <row r="34" customFormat="false" ht="15" hidden="false" customHeight="false" outlineLevel="0" collapsed="false">
      <c r="A34" s="8" t="n">
        <v>31</v>
      </c>
      <c r="B34" s="21"/>
      <c r="C34" s="21"/>
      <c r="D34" s="21"/>
      <c r="E34" s="21"/>
      <c r="F34" s="21"/>
      <c r="G34" s="21"/>
      <c r="H34" s="21"/>
      <c r="I34" s="21"/>
    </row>
    <row r="35" customFormat="false" ht="15" hidden="false" customHeight="false" outlineLevel="0" collapsed="false">
      <c r="A35" s="4" t="n">
        <v>32</v>
      </c>
      <c r="B35" s="24"/>
      <c r="C35" s="24"/>
      <c r="D35" s="24"/>
      <c r="E35" s="24"/>
      <c r="F35" s="24"/>
      <c r="G35" s="24"/>
      <c r="H35" s="24"/>
      <c r="I35" s="24"/>
    </row>
    <row r="36" customFormat="false" ht="15" hidden="false" customHeight="false" outlineLevel="0" collapsed="false">
      <c r="A36" s="8" t="n">
        <v>33</v>
      </c>
      <c r="B36" s="21"/>
      <c r="C36" s="21"/>
      <c r="D36" s="21"/>
      <c r="E36" s="21"/>
      <c r="F36" s="21"/>
      <c r="G36" s="21"/>
      <c r="H36" s="21"/>
      <c r="I36" s="21"/>
    </row>
    <row r="37" customFormat="false" ht="15" hidden="false" customHeight="false" outlineLevel="0" collapsed="false">
      <c r="A37" s="4" t="n">
        <v>34</v>
      </c>
      <c r="B37" s="24"/>
      <c r="C37" s="24"/>
      <c r="D37" s="24"/>
      <c r="E37" s="24"/>
      <c r="F37" s="24"/>
      <c r="G37" s="24"/>
      <c r="H37" s="24"/>
      <c r="I37" s="24"/>
    </row>
    <row r="38" customFormat="false" ht="15" hidden="false" customHeight="false" outlineLevel="0" collapsed="false">
      <c r="A38" s="8" t="n">
        <v>35</v>
      </c>
      <c r="B38" s="21"/>
      <c r="C38" s="21"/>
      <c r="D38" s="21"/>
      <c r="E38" s="21"/>
      <c r="F38" s="21"/>
      <c r="G38" s="21"/>
      <c r="H38" s="21"/>
      <c r="I38" s="21"/>
    </row>
    <row r="39" customFormat="false" ht="15" hidden="false" customHeight="false" outlineLevel="0" collapsed="false">
      <c r="A39" s="4" t="n">
        <v>36</v>
      </c>
      <c r="B39" s="24"/>
      <c r="C39" s="24"/>
      <c r="D39" s="24"/>
      <c r="E39" s="24"/>
      <c r="F39" s="24"/>
      <c r="G39" s="24"/>
      <c r="H39" s="24"/>
      <c r="I39" s="24"/>
    </row>
    <row r="40" customFormat="false" ht="15" hidden="false" customHeight="false" outlineLevel="0" collapsed="false">
      <c r="A40" s="8" t="n">
        <v>37</v>
      </c>
      <c r="B40" s="21"/>
      <c r="C40" s="21"/>
      <c r="D40" s="21"/>
      <c r="E40" s="21"/>
      <c r="F40" s="21"/>
      <c r="G40" s="21"/>
      <c r="H40" s="21"/>
      <c r="I40" s="21"/>
    </row>
    <row r="41" customFormat="false" ht="15" hidden="false" customHeight="false" outlineLevel="0" collapsed="false">
      <c r="A41" s="4" t="n">
        <v>38</v>
      </c>
      <c r="B41" s="24"/>
      <c r="C41" s="24"/>
      <c r="D41" s="24"/>
      <c r="E41" s="24"/>
      <c r="F41" s="24"/>
      <c r="G41" s="24"/>
      <c r="H41" s="24"/>
      <c r="I41" s="24"/>
    </row>
    <row r="42" customFormat="false" ht="15" hidden="false" customHeight="false" outlineLevel="0" collapsed="false">
      <c r="A42" s="8" t="n">
        <v>39</v>
      </c>
      <c r="B42" s="21"/>
      <c r="C42" s="21"/>
      <c r="D42" s="21"/>
      <c r="E42" s="21"/>
      <c r="F42" s="21"/>
      <c r="G42" s="21"/>
      <c r="H42" s="21"/>
      <c r="I42" s="21"/>
    </row>
    <row r="43" customFormat="false" ht="15" hidden="false" customHeight="false" outlineLevel="0" collapsed="false">
      <c r="A43" s="4" t="n">
        <v>40</v>
      </c>
      <c r="B43" s="24"/>
      <c r="C43" s="24"/>
      <c r="D43" s="24"/>
      <c r="E43" s="24"/>
      <c r="F43" s="24"/>
      <c r="G43" s="24"/>
      <c r="H43" s="24"/>
      <c r="I43" s="24"/>
    </row>
    <row r="44" customFormat="false" ht="15" hidden="false" customHeight="false" outlineLevel="0" collapsed="false">
      <c r="A44" s="8" t="n">
        <v>41</v>
      </c>
      <c r="B44" s="21"/>
      <c r="C44" s="21"/>
      <c r="D44" s="21"/>
      <c r="E44" s="21"/>
      <c r="F44" s="21"/>
      <c r="G44" s="21"/>
      <c r="H44" s="21"/>
      <c r="I44" s="21"/>
    </row>
    <row r="45" customFormat="false" ht="15" hidden="false" customHeight="false" outlineLevel="0" collapsed="false">
      <c r="A45" s="4" t="n">
        <v>42</v>
      </c>
      <c r="B45" s="24"/>
      <c r="C45" s="24"/>
      <c r="D45" s="24"/>
      <c r="E45" s="24"/>
      <c r="F45" s="24"/>
      <c r="G45" s="24"/>
      <c r="H45" s="24"/>
      <c r="I45" s="24"/>
    </row>
    <row r="46" customFormat="false" ht="15" hidden="false" customHeight="false" outlineLevel="0" collapsed="false">
      <c r="A46" s="8" t="n">
        <v>43</v>
      </c>
      <c r="B46" s="21"/>
      <c r="C46" s="21"/>
      <c r="D46" s="21"/>
      <c r="E46" s="21"/>
      <c r="F46" s="21"/>
      <c r="G46" s="21"/>
      <c r="H46" s="21"/>
      <c r="I46" s="21"/>
    </row>
    <row r="47" customFormat="false" ht="15" hidden="false" customHeight="false" outlineLevel="0" collapsed="false">
      <c r="A47" s="4" t="n">
        <v>44</v>
      </c>
      <c r="B47" s="24"/>
      <c r="C47" s="24"/>
      <c r="D47" s="24"/>
      <c r="E47" s="24"/>
      <c r="F47" s="24"/>
      <c r="G47" s="24"/>
      <c r="H47" s="24"/>
      <c r="I47" s="24"/>
    </row>
    <row r="48" customFormat="false" ht="15" hidden="false" customHeight="false" outlineLevel="0" collapsed="false">
      <c r="A48" s="8" t="n">
        <v>45</v>
      </c>
      <c r="B48" s="21"/>
      <c r="C48" s="21"/>
      <c r="D48" s="21"/>
      <c r="E48" s="21"/>
      <c r="F48" s="21"/>
      <c r="G48" s="21"/>
      <c r="H48" s="21"/>
      <c r="I48" s="21"/>
    </row>
    <row r="49" customFormat="false" ht="15" hidden="false" customHeight="false" outlineLevel="0" collapsed="false">
      <c r="A49" s="4" t="n">
        <v>46</v>
      </c>
      <c r="B49" s="24"/>
      <c r="C49" s="24"/>
      <c r="D49" s="24"/>
      <c r="E49" s="24"/>
      <c r="F49" s="24"/>
      <c r="G49" s="24"/>
      <c r="H49" s="24"/>
      <c r="I49" s="24"/>
    </row>
    <row r="50" customFormat="false" ht="15" hidden="false" customHeight="false" outlineLevel="0" collapsed="false">
      <c r="A50" s="8" t="n">
        <v>47</v>
      </c>
      <c r="B50" s="21"/>
      <c r="C50" s="21"/>
      <c r="D50" s="21"/>
      <c r="E50" s="21"/>
      <c r="F50" s="21"/>
      <c r="G50" s="21"/>
      <c r="H50" s="21"/>
      <c r="I50" s="21"/>
    </row>
    <row r="51" customFormat="false" ht="15" hidden="false" customHeight="false" outlineLevel="0" collapsed="false">
      <c r="A51" s="4" t="n">
        <v>48</v>
      </c>
      <c r="B51" s="24"/>
      <c r="C51" s="24"/>
      <c r="D51" s="24"/>
      <c r="E51" s="24"/>
      <c r="F51" s="24"/>
      <c r="G51" s="24"/>
      <c r="H51" s="24"/>
      <c r="I51" s="24"/>
    </row>
    <row r="52" customFormat="false" ht="15" hidden="false" customHeight="false" outlineLevel="0" collapsed="false">
      <c r="A52" s="8" t="n">
        <v>49</v>
      </c>
      <c r="B52" s="21"/>
      <c r="C52" s="21"/>
      <c r="D52" s="21"/>
      <c r="E52" s="21"/>
      <c r="F52" s="21"/>
      <c r="G52" s="21"/>
      <c r="H52" s="21"/>
      <c r="I52" s="21"/>
    </row>
    <row r="53" customFormat="false" ht="15" hidden="false" customHeight="false" outlineLevel="0" collapsed="false">
      <c r="A53" s="4" t="n">
        <v>50</v>
      </c>
      <c r="B53" s="24"/>
      <c r="C53" s="24"/>
      <c r="D53" s="24"/>
      <c r="E53" s="24"/>
      <c r="F53" s="24"/>
      <c r="G53" s="24"/>
      <c r="H53" s="24"/>
      <c r="I53" s="24"/>
    </row>
    <row r="55" customFormat="false" ht="25.5" hidden="false" customHeight="true" outlineLevel="0" collapsed="false">
      <c r="A55" s="12" t="s">
        <v>103</v>
      </c>
      <c r="B55" s="12"/>
      <c r="C55" s="12"/>
      <c r="D55" s="12"/>
      <c r="E55" s="12"/>
      <c r="F55" s="12"/>
      <c r="G55" s="12"/>
      <c r="H55" s="12"/>
      <c r="I55" s="12"/>
    </row>
    <row r="56" customFormat="false" ht="35.05" hidden="false" customHeight="false" outlineLevel="0" collapsed="false">
      <c r="A56" s="13" t="s">
        <v>61</v>
      </c>
      <c r="B56" s="13" t="s">
        <v>62</v>
      </c>
      <c r="C56" s="13" t="s">
        <v>63</v>
      </c>
      <c r="D56" s="13" t="s">
        <v>104</v>
      </c>
      <c r="E56" s="13" t="s">
        <v>105</v>
      </c>
      <c r="F56" s="13" t="s">
        <v>106</v>
      </c>
      <c r="G56" s="13" t="s">
        <v>107</v>
      </c>
      <c r="H56" s="13" t="s">
        <v>108</v>
      </c>
      <c r="I56" s="13" t="s">
        <v>109</v>
      </c>
    </row>
    <row r="57" customFormat="false" ht="15" hidden="false" customHeight="false" outlineLevel="0" collapsed="false">
      <c r="A57" s="4" t="n">
        <v>1</v>
      </c>
      <c r="B57" s="24"/>
      <c r="C57" s="24"/>
      <c r="D57" s="24"/>
      <c r="E57" s="24"/>
      <c r="F57" s="36" t="n">
        <f aca="false">IF(D57&gt;0,E57/D57*100,0)</f>
        <v>0</v>
      </c>
      <c r="G57" s="24"/>
      <c r="H57" s="41" t="n">
        <f aca="false">IF(G57&gt;0,G57/G57*100,0)</f>
        <v>0</v>
      </c>
      <c r="I57" s="24"/>
    </row>
    <row r="58" customFormat="false" ht="15" hidden="false" customHeight="false" outlineLevel="0" collapsed="false">
      <c r="A58" s="8" t="n">
        <v>2</v>
      </c>
      <c r="B58" s="21"/>
      <c r="C58" s="21"/>
      <c r="D58" s="21"/>
      <c r="E58" s="21"/>
      <c r="F58" s="37" t="n">
        <f aca="false">IF(D58&gt;0,E58/D58*100,0)</f>
        <v>0</v>
      </c>
      <c r="G58" s="21"/>
      <c r="H58" s="42" t="n">
        <f aca="false">IF(G58&gt;0,G58/G58*100,0)</f>
        <v>0</v>
      </c>
      <c r="I58" s="21"/>
    </row>
    <row r="59" customFormat="false" ht="15" hidden="false" customHeight="false" outlineLevel="0" collapsed="false">
      <c r="A59" s="4" t="n">
        <v>3</v>
      </c>
      <c r="B59" s="24"/>
      <c r="C59" s="24"/>
      <c r="D59" s="24"/>
      <c r="E59" s="24"/>
      <c r="F59" s="36" t="n">
        <f aca="false">IF(D59&gt;0,E59/D59*100,0)</f>
        <v>0</v>
      </c>
      <c r="G59" s="24"/>
      <c r="H59" s="41" t="n">
        <f aca="false">IF(G59&gt;0,G59/G59*100,0)</f>
        <v>0</v>
      </c>
      <c r="I59" s="24"/>
    </row>
    <row r="60" customFormat="false" ht="15" hidden="false" customHeight="false" outlineLevel="0" collapsed="false">
      <c r="A60" s="8" t="n">
        <v>4</v>
      </c>
      <c r="B60" s="21"/>
      <c r="C60" s="21"/>
      <c r="D60" s="21"/>
      <c r="E60" s="21"/>
      <c r="F60" s="37" t="n">
        <f aca="false">IF(D60&gt;0,E60/D60*100,0)</f>
        <v>0</v>
      </c>
      <c r="G60" s="21"/>
      <c r="H60" s="42" t="n">
        <f aca="false">IF(G60&gt;0,G60/G60*100,0)</f>
        <v>0</v>
      </c>
      <c r="I60" s="21"/>
    </row>
    <row r="61" customFormat="false" ht="15" hidden="false" customHeight="false" outlineLevel="0" collapsed="false">
      <c r="A61" s="4" t="n">
        <v>5</v>
      </c>
      <c r="B61" s="24"/>
      <c r="C61" s="24"/>
      <c r="D61" s="24"/>
      <c r="E61" s="24"/>
      <c r="F61" s="36" t="n">
        <f aca="false">IF(D61&gt;0,E61/D61*100,0)</f>
        <v>0</v>
      </c>
      <c r="G61" s="24"/>
      <c r="H61" s="41" t="n">
        <f aca="false">IF(G61&gt;0,G61/G61*100,0)</f>
        <v>0</v>
      </c>
      <c r="I61" s="24"/>
    </row>
    <row r="62" customFormat="false" ht="15" hidden="false" customHeight="false" outlineLevel="0" collapsed="false">
      <c r="A62" s="8" t="n">
        <v>6</v>
      </c>
      <c r="B62" s="21"/>
      <c r="C62" s="21"/>
      <c r="D62" s="21"/>
      <c r="E62" s="21"/>
      <c r="F62" s="37" t="n">
        <f aca="false">IF(D62&gt;0,E62/D62*100,0)</f>
        <v>0</v>
      </c>
      <c r="G62" s="21"/>
      <c r="H62" s="42" t="n">
        <f aca="false">IF(G62&gt;0,G62/G62*100,0)</f>
        <v>0</v>
      </c>
      <c r="I62" s="21"/>
    </row>
    <row r="63" customFormat="false" ht="15" hidden="false" customHeight="false" outlineLevel="0" collapsed="false">
      <c r="A63" s="4" t="n">
        <v>7</v>
      </c>
      <c r="B63" s="24"/>
      <c r="C63" s="24"/>
      <c r="D63" s="24"/>
      <c r="E63" s="24"/>
      <c r="F63" s="36" t="n">
        <f aca="false">IF(D63&gt;0,E63/D63*100,0)</f>
        <v>0</v>
      </c>
      <c r="G63" s="24"/>
      <c r="H63" s="41" t="n">
        <f aca="false">IF(G63&gt;0,G63/G63*100,0)</f>
        <v>0</v>
      </c>
      <c r="I63" s="24"/>
    </row>
    <row r="64" customFormat="false" ht="15" hidden="false" customHeight="false" outlineLevel="0" collapsed="false">
      <c r="A64" s="8" t="n">
        <v>8</v>
      </c>
      <c r="B64" s="21"/>
      <c r="C64" s="21"/>
      <c r="D64" s="21"/>
      <c r="E64" s="21"/>
      <c r="F64" s="37" t="n">
        <f aca="false">IF(D64&gt;0,E64/D64*100,0)</f>
        <v>0</v>
      </c>
      <c r="G64" s="21"/>
      <c r="H64" s="42" t="n">
        <f aca="false">IF(G64&gt;0,G64/G64*100,0)</f>
        <v>0</v>
      </c>
      <c r="I64" s="21"/>
    </row>
    <row r="65" customFormat="false" ht="15" hidden="false" customHeight="false" outlineLevel="0" collapsed="false">
      <c r="A65" s="4" t="n">
        <v>9</v>
      </c>
      <c r="B65" s="24"/>
      <c r="C65" s="24"/>
      <c r="D65" s="24"/>
      <c r="E65" s="24"/>
      <c r="F65" s="36" t="n">
        <f aca="false">IF(D65&gt;0,E65/D65*100,0)</f>
        <v>0</v>
      </c>
      <c r="G65" s="24"/>
      <c r="H65" s="41" t="n">
        <f aca="false">IF(G65&gt;0,G65/G65*100,0)</f>
        <v>0</v>
      </c>
      <c r="I65" s="24"/>
    </row>
    <row r="66" customFormat="false" ht="15" hidden="false" customHeight="false" outlineLevel="0" collapsed="false">
      <c r="A66" s="8" t="n">
        <v>10</v>
      </c>
      <c r="B66" s="21"/>
      <c r="C66" s="21"/>
      <c r="D66" s="21"/>
      <c r="E66" s="21"/>
      <c r="F66" s="37" t="n">
        <f aca="false">IF(D66&gt;0,E66/D66*100,0)</f>
        <v>0</v>
      </c>
      <c r="G66" s="21"/>
      <c r="H66" s="42" t="n">
        <f aca="false">IF(G66&gt;0,G66/G66*100,0)</f>
        <v>0</v>
      </c>
      <c r="I66" s="21"/>
    </row>
    <row r="67" customFormat="false" ht="15" hidden="false" customHeight="false" outlineLevel="0" collapsed="false">
      <c r="A67" s="4" t="n">
        <v>11</v>
      </c>
      <c r="B67" s="24"/>
      <c r="C67" s="24"/>
      <c r="D67" s="24"/>
      <c r="E67" s="24"/>
      <c r="F67" s="36" t="n">
        <f aca="false">IF(D67&gt;0,E67/D67*100,0)</f>
        <v>0</v>
      </c>
      <c r="G67" s="24"/>
      <c r="H67" s="41" t="n">
        <f aca="false">IF(G67&gt;0,G67/G67*100,0)</f>
        <v>0</v>
      </c>
      <c r="I67" s="24"/>
    </row>
    <row r="68" customFormat="false" ht="15" hidden="false" customHeight="false" outlineLevel="0" collapsed="false">
      <c r="A68" s="8" t="n">
        <v>12</v>
      </c>
      <c r="B68" s="21"/>
      <c r="C68" s="21"/>
      <c r="D68" s="21"/>
      <c r="E68" s="21"/>
      <c r="F68" s="37" t="n">
        <f aca="false">IF(D68&gt;0,E68/D68*100,0)</f>
        <v>0</v>
      </c>
      <c r="G68" s="21"/>
      <c r="H68" s="42" t="n">
        <f aca="false">IF(G68&gt;0,G68/G68*100,0)</f>
        <v>0</v>
      </c>
      <c r="I68" s="21"/>
    </row>
    <row r="69" customFormat="false" ht="15" hidden="false" customHeight="false" outlineLevel="0" collapsed="false">
      <c r="A69" s="4" t="n">
        <v>13</v>
      </c>
      <c r="B69" s="24"/>
      <c r="C69" s="24"/>
      <c r="D69" s="24"/>
      <c r="E69" s="24"/>
      <c r="F69" s="36" t="n">
        <f aca="false">IF(D69&gt;0,E69/D69*100,0)</f>
        <v>0</v>
      </c>
      <c r="G69" s="24"/>
      <c r="H69" s="41" t="n">
        <f aca="false">IF(G69&gt;0,G69/G69*100,0)</f>
        <v>0</v>
      </c>
      <c r="I69" s="24"/>
    </row>
    <row r="70" customFormat="false" ht="15" hidden="false" customHeight="false" outlineLevel="0" collapsed="false">
      <c r="A70" s="8" t="n">
        <v>14</v>
      </c>
      <c r="B70" s="21"/>
      <c r="C70" s="21"/>
      <c r="D70" s="21"/>
      <c r="E70" s="21"/>
      <c r="F70" s="37" t="n">
        <f aca="false">IF(D70&gt;0,E70/D70*100,0)</f>
        <v>0</v>
      </c>
      <c r="G70" s="21"/>
      <c r="H70" s="42" t="n">
        <f aca="false">IF(G70&gt;0,G70/G70*100,0)</f>
        <v>0</v>
      </c>
      <c r="I70" s="21"/>
    </row>
    <row r="71" customFormat="false" ht="15" hidden="false" customHeight="false" outlineLevel="0" collapsed="false">
      <c r="A71" s="4" t="n">
        <v>15</v>
      </c>
      <c r="B71" s="24"/>
      <c r="C71" s="24"/>
      <c r="D71" s="24"/>
      <c r="E71" s="24"/>
      <c r="F71" s="36" t="n">
        <f aca="false">IF(D71&gt;0,E71/D71*100,0)</f>
        <v>0</v>
      </c>
      <c r="G71" s="24"/>
      <c r="H71" s="41" t="n">
        <f aca="false">IF(G71&gt;0,G71/G71*100,0)</f>
        <v>0</v>
      </c>
      <c r="I71" s="24"/>
    </row>
    <row r="72" customFormat="false" ht="15" hidden="false" customHeight="false" outlineLevel="0" collapsed="false">
      <c r="A72" s="8" t="n">
        <v>16</v>
      </c>
      <c r="B72" s="21"/>
      <c r="C72" s="21"/>
      <c r="D72" s="21"/>
      <c r="E72" s="21"/>
      <c r="F72" s="37" t="n">
        <f aca="false">IF(D72&gt;0,E72/D72*100,0)</f>
        <v>0</v>
      </c>
      <c r="G72" s="21"/>
      <c r="H72" s="42" t="n">
        <f aca="false">IF(G72&gt;0,G72/G72*100,0)</f>
        <v>0</v>
      </c>
      <c r="I72" s="21"/>
    </row>
    <row r="73" customFormat="false" ht="15" hidden="false" customHeight="false" outlineLevel="0" collapsed="false">
      <c r="A73" s="4" t="n">
        <v>17</v>
      </c>
      <c r="B73" s="24"/>
      <c r="C73" s="24"/>
      <c r="D73" s="24"/>
      <c r="E73" s="24"/>
      <c r="F73" s="36" t="n">
        <f aca="false">IF(D73&gt;0,E73/D73*100,0)</f>
        <v>0</v>
      </c>
      <c r="G73" s="24"/>
      <c r="H73" s="41" t="n">
        <f aca="false">IF(G73&gt;0,G73/G73*100,0)</f>
        <v>0</v>
      </c>
      <c r="I73" s="24"/>
    </row>
    <row r="74" customFormat="false" ht="15" hidden="false" customHeight="false" outlineLevel="0" collapsed="false">
      <c r="A74" s="8" t="n">
        <v>18</v>
      </c>
      <c r="B74" s="21"/>
      <c r="C74" s="21"/>
      <c r="D74" s="21"/>
      <c r="E74" s="21"/>
      <c r="F74" s="37" t="n">
        <f aca="false">IF(D74&gt;0,E74/D74*100,0)</f>
        <v>0</v>
      </c>
      <c r="G74" s="21"/>
      <c r="H74" s="42" t="n">
        <f aca="false">IF(G74&gt;0,G74/G74*100,0)</f>
        <v>0</v>
      </c>
      <c r="I74" s="21"/>
    </row>
    <row r="75" customFormat="false" ht="15" hidden="false" customHeight="false" outlineLevel="0" collapsed="false">
      <c r="A75" s="4" t="n">
        <v>19</v>
      </c>
      <c r="B75" s="24"/>
      <c r="C75" s="24"/>
      <c r="D75" s="24"/>
      <c r="E75" s="24"/>
      <c r="F75" s="36" t="n">
        <f aca="false">IF(D75&gt;0,E75/D75*100,0)</f>
        <v>0</v>
      </c>
      <c r="G75" s="24"/>
      <c r="H75" s="41" t="n">
        <f aca="false">IF(G75&gt;0,G75/G75*100,0)</f>
        <v>0</v>
      </c>
      <c r="I75" s="24"/>
    </row>
    <row r="76" customFormat="false" ht="15" hidden="false" customHeight="false" outlineLevel="0" collapsed="false">
      <c r="A76" s="8" t="n">
        <v>20</v>
      </c>
      <c r="B76" s="21"/>
      <c r="C76" s="21"/>
      <c r="D76" s="21"/>
      <c r="E76" s="21"/>
      <c r="F76" s="37" t="n">
        <f aca="false">IF(D76&gt;0,E76/D76*100,0)</f>
        <v>0</v>
      </c>
      <c r="G76" s="21"/>
      <c r="H76" s="42" t="n">
        <f aca="false">IF(G76&gt;0,G76/G76*100,0)</f>
        <v>0</v>
      </c>
      <c r="I76" s="21"/>
    </row>
  </sheetData>
  <mergeCells count="3">
    <mergeCell ref="A1:I1"/>
    <mergeCell ref="A2:I2"/>
    <mergeCell ref="A55:I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7" min="5" style="0" width="14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3" t="s">
        <v>110</v>
      </c>
      <c r="B1" s="43"/>
      <c r="C1" s="43"/>
      <c r="D1" s="43"/>
      <c r="E1" s="43"/>
      <c r="F1" s="43"/>
      <c r="G1" s="43"/>
      <c r="H1" s="43"/>
      <c r="I1" s="43"/>
      <c r="J1" s="43"/>
    </row>
    <row r="2" customFormat="false" ht="25.5" hidden="false" customHeight="true" outlineLevel="0" collapsed="false">
      <c r="A2" s="44" t="s">
        <v>111</v>
      </c>
      <c r="B2" s="44"/>
      <c r="C2" s="44"/>
      <c r="D2" s="44"/>
      <c r="E2" s="44"/>
      <c r="F2" s="44"/>
      <c r="G2" s="44"/>
      <c r="H2" s="44"/>
      <c r="I2" s="44"/>
      <c r="J2" s="44"/>
    </row>
    <row r="3" customFormat="false" ht="23.85" hidden="false" customHeight="false" outlineLevel="0" collapsed="false">
      <c r="A3" s="45" t="s">
        <v>61</v>
      </c>
      <c r="B3" s="45" t="s">
        <v>112</v>
      </c>
      <c r="C3" s="45" t="s">
        <v>113</v>
      </c>
      <c r="D3" s="45" t="s">
        <v>114</v>
      </c>
      <c r="E3" s="45" t="s">
        <v>115</v>
      </c>
      <c r="F3" s="45" t="s">
        <v>116</v>
      </c>
      <c r="G3" s="45" t="s">
        <v>117</v>
      </c>
      <c r="H3" s="45" t="s">
        <v>118</v>
      </c>
      <c r="I3" s="45" t="s">
        <v>119</v>
      </c>
      <c r="J3" s="45" t="s">
        <v>120</v>
      </c>
    </row>
    <row r="4" customFormat="false" ht="36" hidden="false" customHeight="true" outlineLevel="0" collapsed="false">
      <c r="A4" s="8" t="n">
        <v>1</v>
      </c>
      <c r="B4" s="21"/>
      <c r="C4" s="21"/>
      <c r="D4" s="21"/>
      <c r="E4" s="21"/>
      <c r="F4" s="21"/>
      <c r="G4" s="21"/>
      <c r="H4" s="21"/>
      <c r="I4" s="21"/>
      <c r="J4" s="21"/>
    </row>
    <row r="5" customFormat="false" ht="36" hidden="false" customHeight="true" outlineLevel="0" collapsed="false">
      <c r="A5" s="4" t="n">
        <v>2</v>
      </c>
      <c r="B5" s="24"/>
      <c r="C5" s="24"/>
      <c r="D5" s="24"/>
      <c r="E5" s="24"/>
      <c r="F5" s="24"/>
      <c r="G5" s="24"/>
      <c r="H5" s="24"/>
      <c r="I5" s="24"/>
      <c r="J5" s="24"/>
    </row>
    <row r="6" customFormat="false" ht="36" hidden="false" customHeight="true" outlineLevel="0" collapsed="false">
      <c r="A6" s="8" t="n">
        <v>3</v>
      </c>
      <c r="B6" s="21"/>
      <c r="C6" s="21"/>
      <c r="D6" s="21"/>
      <c r="E6" s="21"/>
      <c r="F6" s="21"/>
      <c r="G6" s="21"/>
      <c r="H6" s="21"/>
      <c r="I6" s="21"/>
      <c r="J6" s="21"/>
    </row>
    <row r="7" customFormat="false" ht="36" hidden="false" customHeight="true" outlineLevel="0" collapsed="false">
      <c r="A7" s="4" t="n">
        <v>4</v>
      </c>
      <c r="B7" s="24"/>
      <c r="C7" s="24"/>
      <c r="D7" s="24"/>
      <c r="E7" s="24"/>
      <c r="F7" s="24"/>
      <c r="G7" s="24"/>
      <c r="H7" s="24"/>
      <c r="I7" s="24"/>
      <c r="J7" s="24"/>
    </row>
    <row r="8" customFormat="false" ht="36" hidden="false" customHeight="true" outlineLevel="0" collapsed="false">
      <c r="A8" s="8" t="n">
        <v>5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36" hidden="false" customHeight="true" outlineLevel="0" collapsed="false">
      <c r="A9" s="4" t="n">
        <v>6</v>
      </c>
      <c r="B9" s="24"/>
      <c r="C9" s="24"/>
      <c r="D9" s="24"/>
      <c r="E9" s="24"/>
      <c r="F9" s="24"/>
      <c r="G9" s="24"/>
      <c r="H9" s="24"/>
      <c r="I9" s="24"/>
      <c r="J9" s="24"/>
    </row>
    <row r="10" customFormat="false" ht="36" hidden="false" customHeight="true" outlineLevel="0" collapsed="false">
      <c r="A10" s="8" t="n">
        <v>7</v>
      </c>
      <c r="B10" s="21"/>
      <c r="C10" s="21"/>
      <c r="D10" s="21"/>
      <c r="E10" s="21"/>
      <c r="F10" s="21"/>
      <c r="G10" s="21"/>
      <c r="H10" s="21"/>
      <c r="I10" s="21"/>
      <c r="J10" s="21"/>
    </row>
    <row r="11" customFormat="false" ht="36" hidden="false" customHeight="true" outlineLevel="0" collapsed="false">
      <c r="A11" s="4" t="n">
        <v>8</v>
      </c>
      <c r="B11" s="24"/>
      <c r="C11" s="24"/>
      <c r="D11" s="24"/>
      <c r="E11" s="24"/>
      <c r="F11" s="24"/>
      <c r="G11" s="24"/>
      <c r="H11" s="24"/>
      <c r="I11" s="24"/>
      <c r="J11" s="24"/>
    </row>
    <row r="12" customFormat="false" ht="36" hidden="false" customHeight="true" outlineLevel="0" collapsed="false">
      <c r="A12" s="8" t="n">
        <v>9</v>
      </c>
      <c r="B12" s="21"/>
      <c r="C12" s="21"/>
      <c r="D12" s="21"/>
      <c r="E12" s="21"/>
      <c r="F12" s="21"/>
      <c r="G12" s="21"/>
      <c r="H12" s="21"/>
      <c r="I12" s="21"/>
      <c r="J12" s="21"/>
    </row>
    <row r="13" customFormat="false" ht="36" hidden="false" customHeight="true" outlineLevel="0" collapsed="false">
      <c r="A13" s="4" t="n">
        <v>10</v>
      </c>
      <c r="B13" s="24"/>
      <c r="C13" s="24"/>
      <c r="D13" s="24"/>
      <c r="E13" s="24"/>
      <c r="F13" s="24"/>
      <c r="G13" s="24"/>
      <c r="H13" s="24"/>
      <c r="I13" s="24"/>
      <c r="J13" s="24"/>
    </row>
    <row r="14" customFormat="false" ht="36" hidden="false" customHeight="true" outlineLevel="0" collapsed="false">
      <c r="A14" s="8" t="n">
        <v>11</v>
      </c>
      <c r="B14" s="21"/>
      <c r="C14" s="21"/>
      <c r="D14" s="21"/>
      <c r="E14" s="21"/>
      <c r="F14" s="21"/>
      <c r="G14" s="21"/>
      <c r="H14" s="21"/>
      <c r="I14" s="21"/>
      <c r="J14" s="21"/>
    </row>
    <row r="15" customFormat="false" ht="36" hidden="false" customHeight="true" outlineLevel="0" collapsed="false">
      <c r="A15" s="4" t="n">
        <v>12</v>
      </c>
      <c r="B15" s="24"/>
      <c r="C15" s="24"/>
      <c r="D15" s="24"/>
      <c r="E15" s="24"/>
      <c r="F15" s="24"/>
      <c r="G15" s="24"/>
      <c r="H15" s="24"/>
      <c r="I15" s="24"/>
      <c r="J15" s="24"/>
    </row>
    <row r="16" customFormat="false" ht="36" hidden="false" customHeight="true" outlineLevel="0" collapsed="false">
      <c r="A16" s="8" t="n">
        <v>13</v>
      </c>
      <c r="B16" s="21"/>
      <c r="C16" s="21"/>
      <c r="D16" s="21"/>
      <c r="E16" s="21"/>
      <c r="F16" s="21"/>
      <c r="G16" s="21"/>
      <c r="H16" s="21"/>
      <c r="I16" s="21"/>
      <c r="J16" s="21"/>
    </row>
    <row r="17" customFormat="false" ht="36" hidden="false" customHeight="true" outlineLevel="0" collapsed="false">
      <c r="A17" s="4" t="n">
        <v>14</v>
      </c>
      <c r="B17" s="24"/>
      <c r="C17" s="24"/>
      <c r="D17" s="24"/>
      <c r="E17" s="24"/>
      <c r="F17" s="24"/>
      <c r="G17" s="24"/>
      <c r="H17" s="24"/>
      <c r="I17" s="24"/>
      <c r="J17" s="24"/>
    </row>
    <row r="18" customFormat="false" ht="36" hidden="false" customHeight="true" outlineLevel="0" collapsed="false">
      <c r="A18" s="8" t="n">
        <v>15</v>
      </c>
      <c r="B18" s="21"/>
      <c r="C18" s="21"/>
      <c r="D18" s="21"/>
      <c r="E18" s="21"/>
      <c r="F18" s="21"/>
      <c r="G18" s="21"/>
      <c r="H18" s="21"/>
      <c r="I18" s="21"/>
      <c r="J18" s="21"/>
    </row>
    <row r="19" customFormat="false" ht="36" hidden="false" customHeight="true" outlineLevel="0" collapsed="false">
      <c r="A19" s="4" t="n">
        <v>16</v>
      </c>
      <c r="B19" s="24"/>
      <c r="C19" s="24"/>
      <c r="D19" s="24"/>
      <c r="E19" s="24"/>
      <c r="F19" s="24"/>
      <c r="G19" s="24"/>
      <c r="H19" s="24"/>
      <c r="I19" s="24"/>
      <c r="J19" s="24"/>
    </row>
    <row r="20" customFormat="false" ht="36" hidden="false" customHeight="true" outlineLevel="0" collapsed="false">
      <c r="A20" s="8" t="n">
        <v>17</v>
      </c>
      <c r="B20" s="21"/>
      <c r="C20" s="21"/>
      <c r="D20" s="21"/>
      <c r="E20" s="21"/>
      <c r="F20" s="21"/>
      <c r="G20" s="21"/>
      <c r="H20" s="21"/>
      <c r="I20" s="21"/>
      <c r="J20" s="21"/>
    </row>
    <row r="21" customFormat="false" ht="36" hidden="false" customHeight="true" outlineLevel="0" collapsed="false">
      <c r="A21" s="4" t="n">
        <v>18</v>
      </c>
      <c r="B21" s="24"/>
      <c r="C21" s="24"/>
      <c r="D21" s="24"/>
      <c r="E21" s="24"/>
      <c r="F21" s="24"/>
      <c r="G21" s="24"/>
      <c r="H21" s="24"/>
      <c r="I21" s="24"/>
      <c r="J21" s="24"/>
    </row>
    <row r="22" customFormat="false" ht="36" hidden="false" customHeight="true" outlineLevel="0" collapsed="false">
      <c r="A22" s="8" t="n">
        <v>19</v>
      </c>
      <c r="B22" s="21"/>
      <c r="C22" s="21"/>
      <c r="D22" s="21"/>
      <c r="E22" s="21"/>
      <c r="F22" s="21"/>
      <c r="G22" s="21"/>
      <c r="H22" s="21"/>
      <c r="I22" s="21"/>
      <c r="J22" s="21"/>
    </row>
    <row r="23" customFormat="false" ht="36" hidden="false" customHeight="true" outlineLevel="0" collapsed="false">
      <c r="A23" s="4" t="n">
        <v>20</v>
      </c>
      <c r="B23" s="24"/>
      <c r="C23" s="24"/>
      <c r="D23" s="24"/>
      <c r="E23" s="24"/>
      <c r="F23" s="24"/>
      <c r="G23" s="24"/>
      <c r="H23" s="24"/>
      <c r="I23" s="24"/>
      <c r="J23" s="24"/>
    </row>
    <row r="24" customFormat="false" ht="36" hidden="false" customHeight="true" outlineLevel="0" collapsed="false">
      <c r="A24" s="8" t="n">
        <v>21</v>
      </c>
      <c r="B24" s="21"/>
      <c r="C24" s="21"/>
      <c r="D24" s="21"/>
      <c r="E24" s="21"/>
      <c r="F24" s="21"/>
      <c r="G24" s="21"/>
      <c r="H24" s="21"/>
      <c r="I24" s="21"/>
      <c r="J24" s="21"/>
    </row>
    <row r="25" customFormat="false" ht="36" hidden="false" customHeight="true" outlineLevel="0" collapsed="false">
      <c r="A25" s="4" t="n">
        <v>22</v>
      </c>
      <c r="B25" s="24"/>
      <c r="C25" s="24"/>
      <c r="D25" s="24"/>
      <c r="E25" s="24"/>
      <c r="F25" s="24"/>
      <c r="G25" s="24"/>
      <c r="H25" s="24"/>
      <c r="I25" s="24"/>
      <c r="J25" s="24"/>
    </row>
    <row r="26" customFormat="false" ht="36" hidden="false" customHeight="true" outlineLevel="0" collapsed="false">
      <c r="A26" s="8" t="n">
        <v>23</v>
      </c>
      <c r="B26" s="21"/>
      <c r="C26" s="21"/>
      <c r="D26" s="21"/>
      <c r="E26" s="21"/>
      <c r="F26" s="21"/>
      <c r="G26" s="21"/>
      <c r="H26" s="21"/>
      <c r="I26" s="21"/>
      <c r="J26" s="21"/>
    </row>
    <row r="27" customFormat="false" ht="36" hidden="false" customHeight="true" outlineLevel="0" collapsed="false">
      <c r="A27" s="4" t="n">
        <v>24</v>
      </c>
      <c r="B27" s="24"/>
      <c r="C27" s="24"/>
      <c r="D27" s="24"/>
      <c r="E27" s="24"/>
      <c r="F27" s="24"/>
      <c r="G27" s="24"/>
      <c r="H27" s="24"/>
      <c r="I27" s="24"/>
      <c r="J27" s="24"/>
    </row>
    <row r="28" customFormat="false" ht="36" hidden="false" customHeight="true" outlineLevel="0" collapsed="false">
      <c r="A28" s="8" t="n">
        <v>25</v>
      </c>
      <c r="B28" s="21"/>
      <c r="C28" s="21"/>
      <c r="D28" s="21"/>
      <c r="E28" s="21"/>
      <c r="F28" s="21"/>
      <c r="G28" s="21"/>
      <c r="H28" s="21"/>
      <c r="I28" s="21"/>
      <c r="J28" s="21"/>
    </row>
    <row r="29" customFormat="false" ht="36" hidden="false" customHeight="true" outlineLevel="0" collapsed="false">
      <c r="A29" s="4" t="n">
        <v>26</v>
      </c>
      <c r="B29" s="24"/>
      <c r="C29" s="24"/>
      <c r="D29" s="24"/>
      <c r="E29" s="24"/>
      <c r="F29" s="24"/>
      <c r="G29" s="24"/>
      <c r="H29" s="24"/>
      <c r="I29" s="24"/>
      <c r="J29" s="24"/>
    </row>
    <row r="30" customFormat="false" ht="36" hidden="false" customHeight="true" outlineLevel="0" collapsed="false">
      <c r="A30" s="8" t="n">
        <v>27</v>
      </c>
      <c r="B30" s="21"/>
      <c r="C30" s="21"/>
      <c r="D30" s="21"/>
      <c r="E30" s="21"/>
      <c r="F30" s="21"/>
      <c r="G30" s="21"/>
      <c r="H30" s="21"/>
      <c r="I30" s="21"/>
      <c r="J30" s="21"/>
    </row>
    <row r="31" customFormat="false" ht="36" hidden="false" customHeight="true" outlineLevel="0" collapsed="false">
      <c r="A31" s="4" t="n">
        <v>28</v>
      </c>
      <c r="B31" s="24"/>
      <c r="C31" s="24"/>
      <c r="D31" s="24"/>
      <c r="E31" s="24"/>
      <c r="F31" s="24"/>
      <c r="G31" s="24"/>
      <c r="H31" s="24"/>
      <c r="I31" s="24"/>
      <c r="J31" s="24"/>
    </row>
    <row r="32" customFormat="false" ht="36" hidden="false" customHeight="true" outlineLevel="0" collapsed="false">
      <c r="A32" s="8" t="n">
        <v>29</v>
      </c>
      <c r="B32" s="21"/>
      <c r="C32" s="21"/>
      <c r="D32" s="21"/>
      <c r="E32" s="21"/>
      <c r="F32" s="21"/>
      <c r="G32" s="21"/>
      <c r="H32" s="21"/>
      <c r="I32" s="21"/>
      <c r="J32" s="21"/>
    </row>
    <row r="33" customFormat="false" ht="36" hidden="false" customHeight="true" outlineLevel="0" collapsed="false">
      <c r="A33" s="4" t="n">
        <v>30</v>
      </c>
      <c r="B33" s="24"/>
      <c r="C33" s="24"/>
      <c r="D33" s="24"/>
      <c r="E33" s="24"/>
      <c r="F33" s="24"/>
      <c r="G33" s="24"/>
      <c r="H33" s="24"/>
      <c r="I33" s="24"/>
      <c r="J33" s="24"/>
    </row>
    <row r="34" customFormat="false" ht="36" hidden="false" customHeight="true" outlineLevel="0" collapsed="false">
      <c r="A34" s="8" t="n">
        <v>31</v>
      </c>
      <c r="B34" s="21"/>
      <c r="C34" s="21"/>
      <c r="D34" s="21"/>
      <c r="E34" s="21"/>
      <c r="F34" s="21"/>
      <c r="G34" s="21"/>
      <c r="H34" s="21"/>
      <c r="I34" s="21"/>
      <c r="J34" s="21"/>
    </row>
    <row r="35" customFormat="false" ht="36" hidden="false" customHeight="true" outlineLevel="0" collapsed="false">
      <c r="A35" s="4" t="n">
        <v>32</v>
      </c>
      <c r="B35" s="24"/>
      <c r="C35" s="24"/>
      <c r="D35" s="24"/>
      <c r="E35" s="24"/>
      <c r="F35" s="24"/>
      <c r="G35" s="24"/>
      <c r="H35" s="24"/>
      <c r="I35" s="24"/>
      <c r="J35" s="24"/>
    </row>
    <row r="36" customFormat="false" ht="36" hidden="false" customHeight="true" outlineLevel="0" collapsed="false">
      <c r="A36" s="8" t="n">
        <v>33</v>
      </c>
      <c r="B36" s="21"/>
      <c r="C36" s="21"/>
      <c r="D36" s="21"/>
      <c r="E36" s="21"/>
      <c r="F36" s="21"/>
      <c r="G36" s="21"/>
      <c r="H36" s="21"/>
      <c r="I36" s="21"/>
      <c r="J36" s="21"/>
    </row>
    <row r="37" customFormat="false" ht="36" hidden="false" customHeight="true" outlineLevel="0" collapsed="false">
      <c r="A37" s="4" t="n">
        <v>34</v>
      </c>
      <c r="B37" s="24"/>
      <c r="C37" s="24"/>
      <c r="D37" s="24"/>
      <c r="E37" s="24"/>
      <c r="F37" s="24"/>
      <c r="G37" s="24"/>
      <c r="H37" s="24"/>
      <c r="I37" s="24"/>
      <c r="J37" s="24"/>
    </row>
    <row r="38" customFormat="false" ht="36" hidden="false" customHeight="true" outlineLevel="0" collapsed="false">
      <c r="A38" s="8" t="n">
        <v>35</v>
      </c>
      <c r="B38" s="21"/>
      <c r="C38" s="21"/>
      <c r="D38" s="21"/>
      <c r="E38" s="21"/>
      <c r="F38" s="21"/>
      <c r="G38" s="21"/>
      <c r="H38" s="21"/>
      <c r="I38" s="21"/>
      <c r="J38" s="21"/>
    </row>
    <row r="39" customFormat="false" ht="36" hidden="false" customHeight="true" outlineLevel="0" collapsed="false">
      <c r="A39" s="4" t="n">
        <v>36</v>
      </c>
      <c r="B39" s="24"/>
      <c r="C39" s="24"/>
      <c r="D39" s="24"/>
      <c r="E39" s="24"/>
      <c r="F39" s="24"/>
      <c r="G39" s="24"/>
      <c r="H39" s="24"/>
      <c r="I39" s="24"/>
      <c r="J39" s="24"/>
    </row>
    <row r="40" customFormat="false" ht="36" hidden="false" customHeight="true" outlineLevel="0" collapsed="false">
      <c r="A40" s="8" t="n">
        <v>37</v>
      </c>
      <c r="B40" s="21"/>
      <c r="C40" s="21"/>
      <c r="D40" s="21"/>
      <c r="E40" s="21"/>
      <c r="F40" s="21"/>
      <c r="G40" s="21"/>
      <c r="H40" s="21"/>
      <c r="I40" s="21"/>
      <c r="J40" s="21"/>
    </row>
    <row r="41" customFormat="false" ht="36" hidden="false" customHeight="true" outlineLevel="0" collapsed="false">
      <c r="A41" s="4" t="n">
        <v>38</v>
      </c>
      <c r="B41" s="24"/>
      <c r="C41" s="24"/>
      <c r="D41" s="24"/>
      <c r="E41" s="24"/>
      <c r="F41" s="24"/>
      <c r="G41" s="24"/>
      <c r="H41" s="24"/>
      <c r="I41" s="24"/>
      <c r="J41" s="24"/>
    </row>
    <row r="42" customFormat="false" ht="36" hidden="false" customHeight="true" outlineLevel="0" collapsed="false">
      <c r="A42" s="8" t="n">
        <v>39</v>
      </c>
      <c r="B42" s="21"/>
      <c r="C42" s="21"/>
      <c r="D42" s="21"/>
      <c r="E42" s="21"/>
      <c r="F42" s="21"/>
      <c r="G42" s="21"/>
      <c r="H42" s="21"/>
      <c r="I42" s="21"/>
      <c r="J42" s="21"/>
    </row>
    <row r="43" customFormat="false" ht="36" hidden="false" customHeight="true" outlineLevel="0" collapsed="false">
      <c r="A43" s="4" t="n">
        <v>40</v>
      </c>
      <c r="B43" s="24"/>
      <c r="C43" s="24"/>
      <c r="D43" s="24"/>
      <c r="E43" s="24"/>
      <c r="F43" s="24"/>
      <c r="G43" s="24"/>
      <c r="H43" s="24"/>
      <c r="I43" s="24"/>
      <c r="J43" s="24"/>
    </row>
    <row r="44" customFormat="false" ht="36" hidden="false" customHeight="true" outlineLevel="0" collapsed="false">
      <c r="A44" s="8" t="n">
        <v>41</v>
      </c>
      <c r="B44" s="21"/>
      <c r="C44" s="21"/>
      <c r="D44" s="21"/>
      <c r="E44" s="21"/>
      <c r="F44" s="21"/>
      <c r="G44" s="21"/>
      <c r="H44" s="21"/>
      <c r="I44" s="21"/>
      <c r="J44" s="21"/>
    </row>
    <row r="45" customFormat="false" ht="36" hidden="false" customHeight="true" outlineLevel="0" collapsed="false">
      <c r="A45" s="4" t="n">
        <v>42</v>
      </c>
      <c r="B45" s="24"/>
      <c r="C45" s="24"/>
      <c r="D45" s="24"/>
      <c r="E45" s="24"/>
      <c r="F45" s="24"/>
      <c r="G45" s="24"/>
      <c r="H45" s="24"/>
      <c r="I45" s="24"/>
      <c r="J45" s="24"/>
    </row>
    <row r="46" customFormat="false" ht="36" hidden="false" customHeight="true" outlineLevel="0" collapsed="false">
      <c r="A46" s="8" t="n">
        <v>43</v>
      </c>
      <c r="B46" s="21"/>
      <c r="C46" s="21"/>
      <c r="D46" s="21"/>
      <c r="E46" s="21"/>
      <c r="F46" s="21"/>
      <c r="G46" s="21"/>
      <c r="H46" s="21"/>
      <c r="I46" s="21"/>
      <c r="J46" s="21"/>
    </row>
    <row r="47" customFormat="false" ht="36" hidden="false" customHeight="true" outlineLevel="0" collapsed="false">
      <c r="A47" s="4" t="n">
        <v>44</v>
      </c>
      <c r="B47" s="24"/>
      <c r="C47" s="24"/>
      <c r="D47" s="24"/>
      <c r="E47" s="24"/>
      <c r="F47" s="24"/>
      <c r="G47" s="24"/>
      <c r="H47" s="24"/>
      <c r="I47" s="24"/>
      <c r="J47" s="24"/>
    </row>
    <row r="48" customFormat="false" ht="36" hidden="false" customHeight="true" outlineLevel="0" collapsed="false">
      <c r="A48" s="8" t="n">
        <v>45</v>
      </c>
      <c r="B48" s="21"/>
      <c r="C48" s="21"/>
      <c r="D48" s="21"/>
      <c r="E48" s="21"/>
      <c r="F48" s="21"/>
      <c r="G48" s="21"/>
      <c r="H48" s="21"/>
      <c r="I48" s="21"/>
      <c r="J48" s="21"/>
    </row>
    <row r="49" customFormat="false" ht="36" hidden="false" customHeight="true" outlineLevel="0" collapsed="false">
      <c r="A49" s="4" t="n">
        <v>46</v>
      </c>
      <c r="B49" s="24"/>
      <c r="C49" s="24"/>
      <c r="D49" s="24"/>
      <c r="E49" s="24"/>
      <c r="F49" s="24"/>
      <c r="G49" s="24"/>
      <c r="H49" s="24"/>
      <c r="I49" s="24"/>
      <c r="J49" s="24"/>
    </row>
    <row r="50" customFormat="false" ht="36" hidden="false" customHeight="true" outlineLevel="0" collapsed="false">
      <c r="A50" s="8" t="n">
        <v>47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36" hidden="false" customHeight="true" outlineLevel="0" collapsed="false">
      <c r="A51" s="4" t="n">
        <v>48</v>
      </c>
      <c r="B51" s="24"/>
      <c r="C51" s="24"/>
      <c r="D51" s="24"/>
      <c r="E51" s="24"/>
      <c r="F51" s="24"/>
      <c r="G51" s="24"/>
      <c r="H51" s="24"/>
      <c r="I51" s="24"/>
      <c r="J51" s="24"/>
    </row>
    <row r="52" customFormat="false" ht="36" hidden="false" customHeight="true" outlineLevel="0" collapsed="false">
      <c r="A52" s="8" t="n">
        <v>49</v>
      </c>
      <c r="B52" s="21"/>
      <c r="C52" s="21"/>
      <c r="D52" s="21"/>
      <c r="E52" s="21"/>
      <c r="F52" s="21"/>
      <c r="G52" s="21"/>
      <c r="H52" s="21"/>
      <c r="I52" s="21"/>
      <c r="J52" s="21"/>
    </row>
    <row r="53" customFormat="false" ht="36" hidden="false" customHeight="true" outlineLevel="0" collapsed="false">
      <c r="A53" s="4" t="n">
        <v>50</v>
      </c>
      <c r="B53" s="24"/>
      <c r="C53" s="24"/>
      <c r="D53" s="24"/>
      <c r="E53" s="24"/>
      <c r="F53" s="24"/>
      <c r="G53" s="24"/>
      <c r="H53" s="24"/>
      <c r="I53" s="24"/>
      <c r="J53" s="24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46" t="s">
        <v>121</v>
      </c>
      <c r="B1" s="46"/>
      <c r="C1" s="46"/>
      <c r="D1" s="46"/>
      <c r="E1" s="46"/>
      <c r="F1" s="46"/>
      <c r="G1" s="46"/>
      <c r="H1" s="46"/>
      <c r="I1" s="46"/>
    </row>
    <row r="2" customFormat="false" ht="25.5" hidden="false" customHeight="true" outlineLevel="0" collapsed="false">
      <c r="A2" s="47" t="s">
        <v>122</v>
      </c>
      <c r="B2" s="47"/>
      <c r="C2" s="47"/>
      <c r="D2" s="47"/>
      <c r="E2" s="47"/>
      <c r="F2" s="47"/>
      <c r="G2" s="47"/>
      <c r="H2" s="47"/>
      <c r="I2" s="47"/>
    </row>
    <row r="3" customFormat="false" ht="23.85" hidden="false" customHeight="false" outlineLevel="0" collapsed="false">
      <c r="A3" s="48" t="s">
        <v>61</v>
      </c>
      <c r="B3" s="48" t="s">
        <v>123</v>
      </c>
      <c r="C3" s="48" t="s">
        <v>124</v>
      </c>
      <c r="D3" s="48" t="s">
        <v>64</v>
      </c>
      <c r="E3" s="48" t="s">
        <v>125</v>
      </c>
      <c r="F3" s="48" t="s">
        <v>66</v>
      </c>
      <c r="G3" s="48" t="s">
        <v>126</v>
      </c>
      <c r="H3" s="48" t="s">
        <v>127</v>
      </c>
      <c r="I3" s="48" t="s">
        <v>128</v>
      </c>
    </row>
    <row r="4" customFormat="false" ht="15" hidden="false" customHeight="false" outlineLevel="0" collapsed="false">
      <c r="A4" s="8" t="n">
        <v>1</v>
      </c>
      <c r="B4" s="21"/>
      <c r="C4" s="21"/>
      <c r="D4" s="21"/>
      <c r="E4" s="21"/>
      <c r="F4" s="37" t="n">
        <f aca="false">IF(D4&gt;0,E4/D4*100,0)</f>
        <v>0</v>
      </c>
      <c r="G4" s="21"/>
      <c r="H4" s="22" t="n">
        <f aca="false">IF(AND(G4&gt;0,F4&lt;G4),G4-F4,0)</f>
        <v>0</v>
      </c>
      <c r="I4" s="11" t="str">
        <f aca="false">IF(H4&gt;1,"High",IF(H4&gt;0.5,"Medium",IF(H4&gt;0,"Low","On Target")))</f>
        <v>On Target</v>
      </c>
    </row>
    <row r="5" customFormat="false" ht="15" hidden="false" customHeight="false" outlineLevel="0" collapsed="false">
      <c r="A5" s="4" t="n">
        <v>2</v>
      </c>
      <c r="B5" s="24"/>
      <c r="C5" s="24"/>
      <c r="D5" s="24"/>
      <c r="E5" s="24"/>
      <c r="F5" s="36" t="n">
        <f aca="false">IF(D5&gt;0,E5/D5*100,0)</f>
        <v>0</v>
      </c>
      <c r="G5" s="24"/>
      <c r="H5" s="25" t="n">
        <f aca="false">IF(AND(G5&gt;0,F5&lt;G5),G5-F5,0)</f>
        <v>0</v>
      </c>
      <c r="I5" s="7" t="str">
        <f aca="false">IF(H5&gt;1,"High",IF(H5&gt;0.5,"Medium",IF(H5&gt;0,"Low","On Target")))</f>
        <v>On Target</v>
      </c>
    </row>
    <row r="6" customFormat="false" ht="15" hidden="false" customHeight="false" outlineLevel="0" collapsed="false">
      <c r="A6" s="8" t="n">
        <v>3</v>
      </c>
      <c r="B6" s="21"/>
      <c r="C6" s="21"/>
      <c r="D6" s="21"/>
      <c r="E6" s="21"/>
      <c r="F6" s="37" t="n">
        <f aca="false">IF(D6&gt;0,E6/D6*100,0)</f>
        <v>0</v>
      </c>
      <c r="G6" s="21"/>
      <c r="H6" s="22" t="n">
        <f aca="false">IF(AND(G6&gt;0,F6&lt;G6),G6-F6,0)</f>
        <v>0</v>
      </c>
      <c r="I6" s="11" t="str">
        <f aca="false">IF(H6&gt;1,"High",IF(H6&gt;0.5,"Medium",IF(H6&gt;0,"Low","On Target")))</f>
        <v>On Target</v>
      </c>
    </row>
    <row r="7" customFormat="false" ht="15" hidden="false" customHeight="false" outlineLevel="0" collapsed="false">
      <c r="A7" s="4" t="n">
        <v>4</v>
      </c>
      <c r="B7" s="24"/>
      <c r="C7" s="24"/>
      <c r="D7" s="24"/>
      <c r="E7" s="24"/>
      <c r="F7" s="36" t="n">
        <f aca="false">IF(D7&gt;0,E7/D7*100,0)</f>
        <v>0</v>
      </c>
      <c r="G7" s="24"/>
      <c r="H7" s="25" t="n">
        <f aca="false">IF(AND(G7&gt;0,F7&lt;G7),G7-F7,0)</f>
        <v>0</v>
      </c>
      <c r="I7" s="7" t="str">
        <f aca="false">IF(H7&gt;1,"High",IF(H7&gt;0.5,"Medium",IF(H7&gt;0,"Low","On Target")))</f>
        <v>On Target</v>
      </c>
    </row>
    <row r="8" customFormat="false" ht="15" hidden="false" customHeight="false" outlineLevel="0" collapsed="false">
      <c r="A8" s="8" t="n">
        <v>5</v>
      </c>
      <c r="B8" s="21"/>
      <c r="C8" s="21"/>
      <c r="D8" s="21"/>
      <c r="E8" s="21"/>
      <c r="F8" s="37" t="n">
        <f aca="false">IF(D8&gt;0,E8/D8*100,0)</f>
        <v>0</v>
      </c>
      <c r="G8" s="21"/>
      <c r="H8" s="22" t="n">
        <f aca="false">IF(AND(G8&gt;0,F8&lt;G8),G8-F8,0)</f>
        <v>0</v>
      </c>
      <c r="I8" s="11" t="str">
        <f aca="false">IF(H8&gt;1,"High",IF(H8&gt;0.5,"Medium",IF(H8&gt;0,"Low","On Target")))</f>
        <v>On Target</v>
      </c>
    </row>
    <row r="9" customFormat="false" ht="15" hidden="false" customHeight="false" outlineLevel="0" collapsed="false">
      <c r="A9" s="4" t="n">
        <v>6</v>
      </c>
      <c r="B9" s="24"/>
      <c r="C9" s="24"/>
      <c r="D9" s="24"/>
      <c r="E9" s="24"/>
      <c r="F9" s="36" t="n">
        <f aca="false">IF(D9&gt;0,E9/D9*100,0)</f>
        <v>0</v>
      </c>
      <c r="G9" s="24"/>
      <c r="H9" s="25" t="n">
        <f aca="false">IF(AND(G9&gt;0,F9&lt;G9),G9-F9,0)</f>
        <v>0</v>
      </c>
      <c r="I9" s="7" t="str">
        <f aca="false">IF(H9&gt;1,"High",IF(H9&gt;0.5,"Medium",IF(H9&gt;0,"Low","On Target")))</f>
        <v>On Target</v>
      </c>
    </row>
    <row r="10" customFormat="false" ht="15" hidden="false" customHeight="false" outlineLevel="0" collapsed="false">
      <c r="A10" s="8" t="n">
        <v>7</v>
      </c>
      <c r="B10" s="21"/>
      <c r="C10" s="21"/>
      <c r="D10" s="21"/>
      <c r="E10" s="21"/>
      <c r="F10" s="37" t="n">
        <f aca="false">IF(D10&gt;0,E10/D10*100,0)</f>
        <v>0</v>
      </c>
      <c r="G10" s="21"/>
      <c r="H10" s="22" t="n">
        <f aca="false">IF(AND(G10&gt;0,F10&lt;G10),G10-F10,0)</f>
        <v>0</v>
      </c>
      <c r="I10" s="11" t="str">
        <f aca="false">IF(H10&gt;1,"High",IF(H10&gt;0.5,"Medium",IF(H10&gt;0,"Low","On Target")))</f>
        <v>On Target</v>
      </c>
    </row>
    <row r="11" customFormat="false" ht="15" hidden="false" customHeight="false" outlineLevel="0" collapsed="false">
      <c r="A11" s="4" t="n">
        <v>8</v>
      </c>
      <c r="B11" s="24"/>
      <c r="C11" s="24"/>
      <c r="D11" s="24"/>
      <c r="E11" s="24"/>
      <c r="F11" s="36" t="n">
        <f aca="false">IF(D11&gt;0,E11/D11*100,0)</f>
        <v>0</v>
      </c>
      <c r="G11" s="24"/>
      <c r="H11" s="25" t="n">
        <f aca="false">IF(AND(G11&gt;0,F11&lt;G11),G11-F11,0)</f>
        <v>0</v>
      </c>
      <c r="I11" s="7" t="str">
        <f aca="false">IF(H11&gt;1,"High",IF(H11&gt;0.5,"Medium",IF(H11&gt;0,"Low","On Target")))</f>
        <v>On Target</v>
      </c>
    </row>
    <row r="12" customFormat="false" ht="15" hidden="false" customHeight="false" outlineLevel="0" collapsed="false">
      <c r="A12" s="8" t="n">
        <v>9</v>
      </c>
      <c r="B12" s="21"/>
      <c r="C12" s="21"/>
      <c r="D12" s="21"/>
      <c r="E12" s="21"/>
      <c r="F12" s="37" t="n">
        <f aca="false">IF(D12&gt;0,E12/D12*100,0)</f>
        <v>0</v>
      </c>
      <c r="G12" s="21"/>
      <c r="H12" s="22" t="n">
        <f aca="false">IF(AND(G12&gt;0,F12&lt;G12),G12-F12,0)</f>
        <v>0</v>
      </c>
      <c r="I12" s="11" t="str">
        <f aca="false">IF(H12&gt;1,"High",IF(H12&gt;0.5,"Medium",IF(H12&gt;0,"Low","On Target")))</f>
        <v>On Target</v>
      </c>
    </row>
    <row r="13" customFormat="false" ht="15" hidden="false" customHeight="false" outlineLevel="0" collapsed="false">
      <c r="A13" s="4" t="n">
        <v>10</v>
      </c>
      <c r="B13" s="24"/>
      <c r="C13" s="24"/>
      <c r="D13" s="24"/>
      <c r="E13" s="24"/>
      <c r="F13" s="36" t="n">
        <f aca="false">IF(D13&gt;0,E13/D13*100,0)</f>
        <v>0</v>
      </c>
      <c r="G13" s="24"/>
      <c r="H13" s="25" t="n">
        <f aca="false">IF(AND(G13&gt;0,F13&lt;G13),G13-F13,0)</f>
        <v>0</v>
      </c>
      <c r="I13" s="7" t="str">
        <f aca="false">IF(H13&gt;1,"High",IF(H13&gt;0.5,"Medium",IF(H13&gt;0,"Low","On Target")))</f>
        <v>On Target</v>
      </c>
    </row>
    <row r="14" customFormat="false" ht="15" hidden="false" customHeight="false" outlineLevel="0" collapsed="false">
      <c r="A14" s="8" t="n">
        <v>11</v>
      </c>
      <c r="B14" s="21"/>
      <c r="C14" s="21"/>
      <c r="D14" s="21"/>
      <c r="E14" s="21"/>
      <c r="F14" s="37" t="n">
        <f aca="false">IF(D14&gt;0,E14/D14*100,0)</f>
        <v>0</v>
      </c>
      <c r="G14" s="21"/>
      <c r="H14" s="22" t="n">
        <f aca="false">IF(AND(G14&gt;0,F14&lt;G14),G14-F14,0)</f>
        <v>0</v>
      </c>
      <c r="I14" s="11" t="str">
        <f aca="false">IF(H14&gt;1,"High",IF(H14&gt;0.5,"Medium",IF(H14&gt;0,"Low","On Target")))</f>
        <v>On Target</v>
      </c>
    </row>
    <row r="15" customFormat="false" ht="15" hidden="false" customHeight="false" outlineLevel="0" collapsed="false">
      <c r="A15" s="4" t="n">
        <v>12</v>
      </c>
      <c r="B15" s="24"/>
      <c r="C15" s="24"/>
      <c r="D15" s="24"/>
      <c r="E15" s="24"/>
      <c r="F15" s="36" t="n">
        <f aca="false">IF(D15&gt;0,E15/D15*100,0)</f>
        <v>0</v>
      </c>
      <c r="G15" s="24"/>
      <c r="H15" s="25" t="n">
        <f aca="false">IF(AND(G15&gt;0,F15&lt;G15),G15-F15,0)</f>
        <v>0</v>
      </c>
      <c r="I15" s="7" t="str">
        <f aca="false">IF(H15&gt;1,"High",IF(H15&gt;0.5,"Medium",IF(H15&gt;0,"Low","On Target")))</f>
        <v>On Target</v>
      </c>
    </row>
    <row r="16" customFormat="false" ht="15" hidden="false" customHeight="false" outlineLevel="0" collapsed="false">
      <c r="A16" s="8" t="n">
        <v>13</v>
      </c>
      <c r="B16" s="21"/>
      <c r="C16" s="21"/>
      <c r="D16" s="21"/>
      <c r="E16" s="21"/>
      <c r="F16" s="37" t="n">
        <f aca="false">IF(D16&gt;0,E16/D16*100,0)</f>
        <v>0</v>
      </c>
      <c r="G16" s="21"/>
      <c r="H16" s="22" t="n">
        <f aca="false">IF(AND(G16&gt;0,F16&lt;G16),G16-F16,0)</f>
        <v>0</v>
      </c>
      <c r="I16" s="11" t="str">
        <f aca="false">IF(H16&gt;1,"High",IF(H16&gt;0.5,"Medium",IF(H16&gt;0,"Low","On Target")))</f>
        <v>On Target</v>
      </c>
    </row>
    <row r="17" customFormat="false" ht="15" hidden="false" customHeight="false" outlineLevel="0" collapsed="false">
      <c r="A17" s="4" t="n">
        <v>14</v>
      </c>
      <c r="B17" s="24"/>
      <c r="C17" s="24"/>
      <c r="D17" s="24"/>
      <c r="E17" s="24"/>
      <c r="F17" s="36" t="n">
        <f aca="false">IF(D17&gt;0,E17/D17*100,0)</f>
        <v>0</v>
      </c>
      <c r="G17" s="24"/>
      <c r="H17" s="25" t="n">
        <f aca="false">IF(AND(G17&gt;0,F17&lt;G17),G17-F17,0)</f>
        <v>0</v>
      </c>
      <c r="I17" s="7" t="str">
        <f aca="false">IF(H17&gt;1,"High",IF(H17&gt;0.5,"Medium",IF(H17&gt;0,"Low","On Target")))</f>
        <v>On Target</v>
      </c>
    </row>
    <row r="18" customFormat="false" ht="15" hidden="false" customHeight="false" outlineLevel="0" collapsed="false">
      <c r="A18" s="8" t="n">
        <v>15</v>
      </c>
      <c r="B18" s="21"/>
      <c r="C18" s="21"/>
      <c r="D18" s="21"/>
      <c r="E18" s="21"/>
      <c r="F18" s="37" t="n">
        <f aca="false">IF(D18&gt;0,E18/D18*100,0)</f>
        <v>0</v>
      </c>
      <c r="G18" s="21"/>
      <c r="H18" s="22" t="n">
        <f aca="false">IF(AND(G18&gt;0,F18&lt;G18),G18-F18,0)</f>
        <v>0</v>
      </c>
      <c r="I18" s="11" t="str">
        <f aca="false">IF(H18&gt;1,"High",IF(H18&gt;0.5,"Medium",IF(H18&gt;0,"Low","On Target")))</f>
        <v>On Target</v>
      </c>
    </row>
    <row r="19" customFormat="false" ht="15" hidden="false" customHeight="false" outlineLevel="0" collapsed="false">
      <c r="A19" s="4" t="n">
        <v>16</v>
      </c>
      <c r="B19" s="24"/>
      <c r="C19" s="24"/>
      <c r="D19" s="24"/>
      <c r="E19" s="24"/>
      <c r="F19" s="36" t="n">
        <f aca="false">IF(D19&gt;0,E19/D19*100,0)</f>
        <v>0</v>
      </c>
      <c r="G19" s="24"/>
      <c r="H19" s="25" t="n">
        <f aca="false">IF(AND(G19&gt;0,F19&lt;G19),G19-F19,0)</f>
        <v>0</v>
      </c>
      <c r="I19" s="7" t="str">
        <f aca="false">IF(H19&gt;1,"High",IF(H19&gt;0.5,"Medium",IF(H19&gt;0,"Low","On Target")))</f>
        <v>On Target</v>
      </c>
    </row>
    <row r="20" customFormat="false" ht="15" hidden="false" customHeight="false" outlineLevel="0" collapsed="false">
      <c r="A20" s="8" t="n">
        <v>17</v>
      </c>
      <c r="B20" s="21"/>
      <c r="C20" s="21"/>
      <c r="D20" s="21"/>
      <c r="E20" s="21"/>
      <c r="F20" s="37" t="n">
        <f aca="false">IF(D20&gt;0,E20/D20*100,0)</f>
        <v>0</v>
      </c>
      <c r="G20" s="21"/>
      <c r="H20" s="22" t="n">
        <f aca="false">IF(AND(G20&gt;0,F20&lt;G20),G20-F20,0)</f>
        <v>0</v>
      </c>
      <c r="I20" s="11" t="str">
        <f aca="false">IF(H20&gt;1,"High",IF(H20&gt;0.5,"Medium",IF(H20&gt;0,"Low","On Target")))</f>
        <v>On Target</v>
      </c>
    </row>
    <row r="21" customFormat="false" ht="15" hidden="false" customHeight="false" outlineLevel="0" collapsed="false">
      <c r="A21" s="4" t="n">
        <v>18</v>
      </c>
      <c r="B21" s="24"/>
      <c r="C21" s="24"/>
      <c r="D21" s="24"/>
      <c r="E21" s="24"/>
      <c r="F21" s="36" t="n">
        <f aca="false">IF(D21&gt;0,E21/D21*100,0)</f>
        <v>0</v>
      </c>
      <c r="G21" s="24"/>
      <c r="H21" s="25" t="n">
        <f aca="false">IF(AND(G21&gt;0,F21&lt;G21),G21-F21,0)</f>
        <v>0</v>
      </c>
      <c r="I21" s="7" t="str">
        <f aca="false">IF(H21&gt;1,"High",IF(H21&gt;0.5,"Medium",IF(H21&gt;0,"Low","On Target")))</f>
        <v>On Target</v>
      </c>
    </row>
    <row r="22" customFormat="false" ht="15" hidden="false" customHeight="false" outlineLevel="0" collapsed="false">
      <c r="A22" s="8" t="n">
        <v>19</v>
      </c>
      <c r="B22" s="21"/>
      <c r="C22" s="21"/>
      <c r="D22" s="21"/>
      <c r="E22" s="21"/>
      <c r="F22" s="37" t="n">
        <f aca="false">IF(D22&gt;0,E22/D22*100,0)</f>
        <v>0</v>
      </c>
      <c r="G22" s="21"/>
      <c r="H22" s="22" t="n">
        <f aca="false">IF(AND(G22&gt;0,F22&lt;G22),G22-F22,0)</f>
        <v>0</v>
      </c>
      <c r="I22" s="11" t="str">
        <f aca="false">IF(H22&gt;1,"High",IF(H22&gt;0.5,"Medium",IF(H22&gt;0,"Low","On Target")))</f>
        <v>On Target</v>
      </c>
    </row>
    <row r="23" customFormat="false" ht="15" hidden="false" customHeight="false" outlineLevel="0" collapsed="false">
      <c r="A23" s="4" t="n">
        <v>20</v>
      </c>
      <c r="B23" s="24"/>
      <c r="C23" s="24"/>
      <c r="D23" s="24"/>
      <c r="E23" s="24"/>
      <c r="F23" s="36" t="n">
        <f aca="false">IF(D23&gt;0,E23/D23*100,0)</f>
        <v>0</v>
      </c>
      <c r="G23" s="24"/>
      <c r="H23" s="25" t="n">
        <f aca="false">IF(AND(G23&gt;0,F23&lt;G23),G23-F23,0)</f>
        <v>0</v>
      </c>
      <c r="I23" s="7" t="str">
        <f aca="false">IF(H23&gt;1,"High",IF(H23&gt;0.5,"Medium",IF(H23&gt;0,"Low","On Target")))</f>
        <v>On Target</v>
      </c>
    </row>
    <row r="24" customFormat="false" ht="15" hidden="false" customHeight="false" outlineLevel="0" collapsed="false">
      <c r="A24" s="8" t="n">
        <v>21</v>
      </c>
      <c r="B24" s="21"/>
      <c r="C24" s="21"/>
      <c r="D24" s="21"/>
      <c r="E24" s="21"/>
      <c r="F24" s="37" t="n">
        <f aca="false">IF(D24&gt;0,E24/D24*100,0)</f>
        <v>0</v>
      </c>
      <c r="G24" s="21"/>
      <c r="H24" s="22" t="n">
        <f aca="false">IF(AND(G24&gt;0,F24&lt;G24),G24-F24,0)</f>
        <v>0</v>
      </c>
      <c r="I24" s="11" t="str">
        <f aca="false">IF(H24&gt;1,"High",IF(H24&gt;0.5,"Medium",IF(H24&gt;0,"Low","On Target")))</f>
        <v>On Target</v>
      </c>
    </row>
    <row r="25" customFormat="false" ht="15" hidden="false" customHeight="false" outlineLevel="0" collapsed="false">
      <c r="A25" s="4" t="n">
        <v>22</v>
      </c>
      <c r="B25" s="24"/>
      <c r="C25" s="24"/>
      <c r="D25" s="24"/>
      <c r="E25" s="24"/>
      <c r="F25" s="36" t="n">
        <f aca="false">IF(D25&gt;0,E25/D25*100,0)</f>
        <v>0</v>
      </c>
      <c r="G25" s="24"/>
      <c r="H25" s="25" t="n">
        <f aca="false">IF(AND(G25&gt;0,F25&lt;G25),G25-F25,0)</f>
        <v>0</v>
      </c>
      <c r="I25" s="7" t="str">
        <f aca="false">IF(H25&gt;1,"High",IF(H25&gt;0.5,"Medium",IF(H25&gt;0,"Low","On Target")))</f>
        <v>On Target</v>
      </c>
    </row>
    <row r="26" customFormat="false" ht="15" hidden="false" customHeight="false" outlineLevel="0" collapsed="false">
      <c r="A26" s="8" t="n">
        <v>23</v>
      </c>
      <c r="B26" s="21"/>
      <c r="C26" s="21"/>
      <c r="D26" s="21"/>
      <c r="E26" s="21"/>
      <c r="F26" s="37" t="n">
        <f aca="false">IF(D26&gt;0,E26/D26*100,0)</f>
        <v>0</v>
      </c>
      <c r="G26" s="21"/>
      <c r="H26" s="22" t="n">
        <f aca="false">IF(AND(G26&gt;0,F26&lt;G26),G26-F26,0)</f>
        <v>0</v>
      </c>
      <c r="I26" s="11" t="str">
        <f aca="false">IF(H26&gt;1,"High",IF(H26&gt;0.5,"Medium",IF(H26&gt;0,"Low","On Target")))</f>
        <v>On Target</v>
      </c>
    </row>
    <row r="27" customFormat="false" ht="15" hidden="false" customHeight="false" outlineLevel="0" collapsed="false">
      <c r="A27" s="4" t="n">
        <v>24</v>
      </c>
      <c r="B27" s="24"/>
      <c r="C27" s="24"/>
      <c r="D27" s="24"/>
      <c r="E27" s="24"/>
      <c r="F27" s="36" t="n">
        <f aca="false">IF(D27&gt;0,E27/D27*100,0)</f>
        <v>0</v>
      </c>
      <c r="G27" s="24"/>
      <c r="H27" s="25" t="n">
        <f aca="false">IF(AND(G27&gt;0,F27&lt;G27),G27-F27,0)</f>
        <v>0</v>
      </c>
      <c r="I27" s="7" t="str">
        <f aca="false">IF(H27&gt;1,"High",IF(H27&gt;0.5,"Medium",IF(H27&gt;0,"Low","On Target")))</f>
        <v>On Target</v>
      </c>
    </row>
    <row r="28" customFormat="false" ht="15" hidden="false" customHeight="false" outlineLevel="0" collapsed="false">
      <c r="A28" s="8" t="n">
        <v>25</v>
      </c>
      <c r="B28" s="21"/>
      <c r="C28" s="21"/>
      <c r="D28" s="21"/>
      <c r="E28" s="21"/>
      <c r="F28" s="37" t="n">
        <f aca="false">IF(D28&gt;0,E28/D28*100,0)</f>
        <v>0</v>
      </c>
      <c r="G28" s="21"/>
      <c r="H28" s="22" t="n">
        <f aca="false">IF(AND(G28&gt;0,F28&lt;G28),G28-F28,0)</f>
        <v>0</v>
      </c>
      <c r="I28" s="11" t="str">
        <f aca="false">IF(H28&gt;1,"High",IF(H28&gt;0.5,"Medium",IF(H28&gt;0,"Low","On Target")))</f>
        <v>On Target</v>
      </c>
    </row>
    <row r="29" customFormat="false" ht="15" hidden="false" customHeight="false" outlineLevel="0" collapsed="false">
      <c r="A29" s="4" t="n">
        <v>26</v>
      </c>
      <c r="B29" s="24"/>
      <c r="C29" s="24"/>
      <c r="D29" s="24"/>
      <c r="E29" s="24"/>
      <c r="F29" s="36" t="n">
        <f aca="false">IF(D29&gt;0,E29/D29*100,0)</f>
        <v>0</v>
      </c>
      <c r="G29" s="24"/>
      <c r="H29" s="25" t="n">
        <f aca="false">IF(AND(G29&gt;0,F29&lt;G29),G29-F29,0)</f>
        <v>0</v>
      </c>
      <c r="I29" s="7" t="str">
        <f aca="false">IF(H29&gt;1,"High",IF(H29&gt;0.5,"Medium",IF(H29&gt;0,"Low","On Target")))</f>
        <v>On Target</v>
      </c>
    </row>
    <row r="30" customFormat="false" ht="15" hidden="false" customHeight="false" outlineLevel="0" collapsed="false">
      <c r="A30" s="8" t="n">
        <v>27</v>
      </c>
      <c r="B30" s="21"/>
      <c r="C30" s="21"/>
      <c r="D30" s="21"/>
      <c r="E30" s="21"/>
      <c r="F30" s="37" t="n">
        <f aca="false">IF(D30&gt;0,E30/D30*100,0)</f>
        <v>0</v>
      </c>
      <c r="G30" s="21"/>
      <c r="H30" s="22" t="n">
        <f aca="false">IF(AND(G30&gt;0,F30&lt;G30),G30-F30,0)</f>
        <v>0</v>
      </c>
      <c r="I30" s="11" t="str">
        <f aca="false">IF(H30&gt;1,"High",IF(H30&gt;0.5,"Medium",IF(H30&gt;0,"Low","On Target")))</f>
        <v>On Target</v>
      </c>
    </row>
    <row r="31" customFormat="false" ht="15" hidden="false" customHeight="false" outlineLevel="0" collapsed="false">
      <c r="A31" s="4" t="n">
        <v>28</v>
      </c>
      <c r="B31" s="24"/>
      <c r="C31" s="24"/>
      <c r="D31" s="24"/>
      <c r="E31" s="24"/>
      <c r="F31" s="36" t="n">
        <f aca="false">IF(D31&gt;0,E31/D31*100,0)</f>
        <v>0</v>
      </c>
      <c r="G31" s="24"/>
      <c r="H31" s="25" t="n">
        <f aca="false">IF(AND(G31&gt;0,F31&lt;G31),G31-F31,0)</f>
        <v>0</v>
      </c>
      <c r="I31" s="7" t="str">
        <f aca="false">IF(H31&gt;1,"High",IF(H31&gt;0.5,"Medium",IF(H31&gt;0,"Low","On Target")))</f>
        <v>On Target</v>
      </c>
    </row>
    <row r="32" customFormat="false" ht="15" hidden="false" customHeight="false" outlineLevel="0" collapsed="false">
      <c r="A32" s="8" t="n">
        <v>29</v>
      </c>
      <c r="B32" s="21"/>
      <c r="C32" s="21"/>
      <c r="D32" s="21"/>
      <c r="E32" s="21"/>
      <c r="F32" s="37" t="n">
        <f aca="false">IF(D32&gt;0,E32/D32*100,0)</f>
        <v>0</v>
      </c>
      <c r="G32" s="21"/>
      <c r="H32" s="22" t="n">
        <f aca="false">IF(AND(G32&gt;0,F32&lt;G32),G32-F32,0)</f>
        <v>0</v>
      </c>
      <c r="I32" s="11" t="str">
        <f aca="false">IF(H32&gt;1,"High",IF(H32&gt;0.5,"Medium",IF(H32&gt;0,"Low","On Target")))</f>
        <v>On Target</v>
      </c>
    </row>
    <row r="33" customFormat="false" ht="15" hidden="false" customHeight="false" outlineLevel="0" collapsed="false">
      <c r="A33" s="4" t="n">
        <v>30</v>
      </c>
      <c r="B33" s="24"/>
      <c r="C33" s="24"/>
      <c r="D33" s="24"/>
      <c r="E33" s="24"/>
      <c r="F33" s="36" t="n">
        <f aca="false">IF(D33&gt;0,E33/D33*100,0)</f>
        <v>0</v>
      </c>
      <c r="G33" s="24"/>
      <c r="H33" s="25" t="n">
        <f aca="false">IF(AND(G33&gt;0,F33&lt;G33),G33-F33,0)</f>
        <v>0</v>
      </c>
      <c r="I33" s="7" t="str">
        <f aca="false">IF(H33&gt;1,"High",IF(H33&gt;0.5,"Medium",IF(H33&gt;0,"Low","On Target")))</f>
        <v>On Target</v>
      </c>
    </row>
    <row r="34" customFormat="false" ht="15" hidden="false" customHeight="false" outlineLevel="0" collapsed="false">
      <c r="A34" s="8" t="n">
        <v>31</v>
      </c>
      <c r="B34" s="21"/>
      <c r="C34" s="21"/>
      <c r="D34" s="21"/>
      <c r="E34" s="21"/>
      <c r="F34" s="37" t="n">
        <f aca="false">IF(D34&gt;0,E34/D34*100,0)</f>
        <v>0</v>
      </c>
      <c r="G34" s="21"/>
      <c r="H34" s="22" t="n">
        <f aca="false">IF(AND(G34&gt;0,F34&lt;G34),G34-F34,0)</f>
        <v>0</v>
      </c>
      <c r="I34" s="11" t="str">
        <f aca="false">IF(H34&gt;1,"High",IF(H34&gt;0.5,"Medium",IF(H34&gt;0,"Low","On Target")))</f>
        <v>On Target</v>
      </c>
    </row>
    <row r="35" customFormat="false" ht="15" hidden="false" customHeight="false" outlineLevel="0" collapsed="false">
      <c r="A35" s="4" t="n">
        <v>32</v>
      </c>
      <c r="B35" s="24"/>
      <c r="C35" s="24"/>
      <c r="D35" s="24"/>
      <c r="E35" s="24"/>
      <c r="F35" s="36" t="n">
        <f aca="false">IF(D35&gt;0,E35/D35*100,0)</f>
        <v>0</v>
      </c>
      <c r="G35" s="24"/>
      <c r="H35" s="25" t="n">
        <f aca="false">IF(AND(G35&gt;0,F35&lt;G35),G35-F35,0)</f>
        <v>0</v>
      </c>
      <c r="I35" s="7" t="str">
        <f aca="false">IF(H35&gt;1,"High",IF(H35&gt;0.5,"Medium",IF(H35&gt;0,"Low","On Target")))</f>
        <v>On Target</v>
      </c>
    </row>
    <row r="36" customFormat="false" ht="15" hidden="false" customHeight="false" outlineLevel="0" collapsed="false">
      <c r="A36" s="8" t="n">
        <v>33</v>
      </c>
      <c r="B36" s="21"/>
      <c r="C36" s="21"/>
      <c r="D36" s="21"/>
      <c r="E36" s="21"/>
      <c r="F36" s="37" t="n">
        <f aca="false">IF(D36&gt;0,E36/D36*100,0)</f>
        <v>0</v>
      </c>
      <c r="G36" s="21"/>
      <c r="H36" s="22" t="n">
        <f aca="false">IF(AND(G36&gt;0,F36&lt;G36),G36-F36,0)</f>
        <v>0</v>
      </c>
      <c r="I36" s="11" t="str">
        <f aca="false">IF(H36&gt;1,"High",IF(H36&gt;0.5,"Medium",IF(H36&gt;0,"Low","On Target")))</f>
        <v>On Target</v>
      </c>
    </row>
    <row r="37" customFormat="false" ht="15" hidden="false" customHeight="false" outlineLevel="0" collapsed="false">
      <c r="A37" s="4" t="n">
        <v>34</v>
      </c>
      <c r="B37" s="24"/>
      <c r="C37" s="24"/>
      <c r="D37" s="24"/>
      <c r="E37" s="24"/>
      <c r="F37" s="36" t="n">
        <f aca="false">IF(D37&gt;0,E37/D37*100,0)</f>
        <v>0</v>
      </c>
      <c r="G37" s="24"/>
      <c r="H37" s="25" t="n">
        <f aca="false">IF(AND(G37&gt;0,F37&lt;G37),G37-F37,0)</f>
        <v>0</v>
      </c>
      <c r="I37" s="7" t="str">
        <f aca="false">IF(H37&gt;1,"High",IF(H37&gt;0.5,"Medium",IF(H37&gt;0,"Low","On Target")))</f>
        <v>On Target</v>
      </c>
    </row>
    <row r="38" customFormat="false" ht="15" hidden="false" customHeight="false" outlineLevel="0" collapsed="false">
      <c r="A38" s="8" t="n">
        <v>35</v>
      </c>
      <c r="B38" s="21"/>
      <c r="C38" s="21"/>
      <c r="D38" s="21"/>
      <c r="E38" s="21"/>
      <c r="F38" s="37" t="n">
        <f aca="false">IF(D38&gt;0,E38/D38*100,0)</f>
        <v>0</v>
      </c>
      <c r="G38" s="21"/>
      <c r="H38" s="22" t="n">
        <f aca="false">IF(AND(G38&gt;0,F38&lt;G38),G38-F38,0)</f>
        <v>0</v>
      </c>
      <c r="I38" s="11" t="str">
        <f aca="false">IF(H38&gt;1,"High",IF(H38&gt;0.5,"Medium",IF(H38&gt;0,"Low","On Target")))</f>
        <v>On Target</v>
      </c>
    </row>
    <row r="39" customFormat="false" ht="15" hidden="false" customHeight="false" outlineLevel="0" collapsed="false">
      <c r="A39" s="4" t="n">
        <v>36</v>
      </c>
      <c r="B39" s="24"/>
      <c r="C39" s="24"/>
      <c r="D39" s="24"/>
      <c r="E39" s="24"/>
      <c r="F39" s="36" t="n">
        <f aca="false">IF(D39&gt;0,E39/D39*100,0)</f>
        <v>0</v>
      </c>
      <c r="G39" s="24"/>
      <c r="H39" s="25" t="n">
        <f aca="false">IF(AND(G39&gt;0,F39&lt;G39),G39-F39,0)</f>
        <v>0</v>
      </c>
      <c r="I39" s="7" t="str">
        <f aca="false">IF(H39&gt;1,"High",IF(H39&gt;0.5,"Medium",IF(H39&gt;0,"Low","On Target")))</f>
        <v>On Target</v>
      </c>
    </row>
    <row r="40" customFormat="false" ht="15" hidden="false" customHeight="false" outlineLevel="0" collapsed="false">
      <c r="A40" s="8" t="n">
        <v>37</v>
      </c>
      <c r="B40" s="21"/>
      <c r="C40" s="21"/>
      <c r="D40" s="21"/>
      <c r="E40" s="21"/>
      <c r="F40" s="37" t="n">
        <f aca="false">IF(D40&gt;0,E40/D40*100,0)</f>
        <v>0</v>
      </c>
      <c r="G40" s="21"/>
      <c r="H40" s="22" t="n">
        <f aca="false">IF(AND(G40&gt;0,F40&lt;G40),G40-F40,0)</f>
        <v>0</v>
      </c>
      <c r="I40" s="11" t="str">
        <f aca="false">IF(H40&gt;1,"High",IF(H40&gt;0.5,"Medium",IF(H40&gt;0,"Low","On Target")))</f>
        <v>On Target</v>
      </c>
    </row>
    <row r="41" customFormat="false" ht="15" hidden="false" customHeight="false" outlineLevel="0" collapsed="false">
      <c r="A41" s="4" t="n">
        <v>38</v>
      </c>
      <c r="B41" s="24"/>
      <c r="C41" s="24"/>
      <c r="D41" s="24"/>
      <c r="E41" s="24"/>
      <c r="F41" s="36" t="n">
        <f aca="false">IF(D41&gt;0,E41/D41*100,0)</f>
        <v>0</v>
      </c>
      <c r="G41" s="24"/>
      <c r="H41" s="25" t="n">
        <f aca="false">IF(AND(G41&gt;0,F41&lt;G41),G41-F41,0)</f>
        <v>0</v>
      </c>
      <c r="I41" s="7" t="str">
        <f aca="false">IF(H41&gt;1,"High",IF(H41&gt;0.5,"Medium",IF(H41&gt;0,"Low","On Target")))</f>
        <v>On Target</v>
      </c>
    </row>
    <row r="42" customFormat="false" ht="15" hidden="false" customHeight="false" outlineLevel="0" collapsed="false">
      <c r="A42" s="8" t="n">
        <v>39</v>
      </c>
      <c r="B42" s="21"/>
      <c r="C42" s="21"/>
      <c r="D42" s="21"/>
      <c r="E42" s="21"/>
      <c r="F42" s="37" t="n">
        <f aca="false">IF(D42&gt;0,E42/D42*100,0)</f>
        <v>0</v>
      </c>
      <c r="G42" s="21"/>
      <c r="H42" s="22" t="n">
        <f aca="false">IF(AND(G42&gt;0,F42&lt;G42),G42-F42,0)</f>
        <v>0</v>
      </c>
      <c r="I42" s="11" t="str">
        <f aca="false">IF(H42&gt;1,"High",IF(H42&gt;0.5,"Medium",IF(H42&gt;0,"Low","On Target")))</f>
        <v>On Target</v>
      </c>
    </row>
    <row r="43" customFormat="false" ht="15" hidden="false" customHeight="false" outlineLevel="0" collapsed="false">
      <c r="A43" s="4" t="n">
        <v>40</v>
      </c>
      <c r="B43" s="24"/>
      <c r="C43" s="24"/>
      <c r="D43" s="24"/>
      <c r="E43" s="24"/>
      <c r="F43" s="36" t="n">
        <f aca="false">IF(D43&gt;0,E43/D43*100,0)</f>
        <v>0</v>
      </c>
      <c r="G43" s="24"/>
      <c r="H43" s="25" t="n">
        <f aca="false">IF(AND(G43&gt;0,F43&lt;G43),G43-F43,0)</f>
        <v>0</v>
      </c>
      <c r="I43" s="7" t="str">
        <f aca="false">IF(H43&gt;1,"High",IF(H43&gt;0.5,"Medium",IF(H43&gt;0,"Low","On Target")))</f>
        <v>On Target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10" min="9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9" t="s">
        <v>129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customFormat="false" ht="25.5" hidden="false" customHeight="true" outlineLevel="0" collapsed="false">
      <c r="A2" s="16" t="s">
        <v>130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23.85" hidden="false" customHeight="false" outlineLevel="0" collapsed="false">
      <c r="A3" s="50" t="s">
        <v>61</v>
      </c>
      <c r="B3" s="50" t="s">
        <v>62</v>
      </c>
      <c r="C3" s="50" t="s">
        <v>63</v>
      </c>
      <c r="D3" s="50" t="s">
        <v>131</v>
      </c>
      <c r="E3" s="50" t="s">
        <v>132</v>
      </c>
      <c r="F3" s="50" t="s">
        <v>133</v>
      </c>
      <c r="G3" s="50" t="s">
        <v>134</v>
      </c>
      <c r="H3" s="50" t="s">
        <v>135</v>
      </c>
      <c r="I3" s="50" t="s">
        <v>136</v>
      </c>
      <c r="J3" s="50" t="s">
        <v>137</v>
      </c>
      <c r="K3" s="50" t="s">
        <v>138</v>
      </c>
    </row>
    <row r="4" customFormat="false" ht="15" hidden="false" customHeight="false" outlineLevel="0" collapsed="false">
      <c r="A4" s="8" t="n">
        <v>1</v>
      </c>
      <c r="B4" s="21"/>
      <c r="C4" s="21"/>
      <c r="D4" s="21"/>
      <c r="E4" s="21"/>
      <c r="F4" s="21"/>
      <c r="G4" s="21"/>
      <c r="H4" s="21"/>
      <c r="I4" s="37" t="n">
        <f aca="false">IF(AND(D4&gt;0,H4&gt;0),H4-D4,0)</f>
        <v>0</v>
      </c>
      <c r="J4" s="51" t="n">
        <f aca="false">IFERROR(IF(D4&gt;0,(H4-D4)/D4*100,0),0)</f>
        <v>0</v>
      </c>
      <c r="K4" s="11" t="str">
        <f aca="false">IF(I4&gt;0.2,"Improving",IF(I4&gt;0,"Stable",IF(I4&lt;-0.2,"Declining","Flat")))</f>
        <v>Flat</v>
      </c>
    </row>
    <row r="5" customFormat="false" ht="15" hidden="false" customHeight="false" outlineLevel="0" collapsed="false">
      <c r="A5" s="4" t="n">
        <v>2</v>
      </c>
      <c r="B5" s="24"/>
      <c r="C5" s="24"/>
      <c r="D5" s="24"/>
      <c r="E5" s="24"/>
      <c r="F5" s="24"/>
      <c r="G5" s="24"/>
      <c r="H5" s="24"/>
      <c r="I5" s="36" t="n">
        <f aca="false">IF(AND(D5&gt;0,H5&gt;0),H5-D5,0)</f>
        <v>0</v>
      </c>
      <c r="J5" s="52" t="n">
        <f aca="false">IFERROR(IF(D5&gt;0,(H5-D5)/D5*100,0),0)</f>
        <v>0</v>
      </c>
      <c r="K5" s="7" t="str">
        <f aca="false">IF(I5&gt;0.2,"Improving",IF(I5&gt;0,"Stable",IF(I5&lt;-0.2,"Declining","Flat")))</f>
        <v>Flat</v>
      </c>
    </row>
    <row r="6" customFormat="false" ht="15" hidden="false" customHeight="false" outlineLevel="0" collapsed="false">
      <c r="A6" s="8" t="n">
        <v>3</v>
      </c>
      <c r="B6" s="21"/>
      <c r="C6" s="21"/>
      <c r="D6" s="21"/>
      <c r="E6" s="21"/>
      <c r="F6" s="21"/>
      <c r="G6" s="21"/>
      <c r="H6" s="21"/>
      <c r="I6" s="37" t="n">
        <f aca="false">IF(AND(D6&gt;0,H6&gt;0),H6-D6,0)</f>
        <v>0</v>
      </c>
      <c r="J6" s="51" t="n">
        <f aca="false">IFERROR(IF(D6&gt;0,(H6-D6)/D6*100,0),0)</f>
        <v>0</v>
      </c>
      <c r="K6" s="11" t="str">
        <f aca="false">IF(I6&gt;0.2,"Improving",IF(I6&gt;0,"Stable",IF(I6&lt;-0.2,"Declining","Flat")))</f>
        <v>Flat</v>
      </c>
    </row>
    <row r="7" customFormat="false" ht="15" hidden="false" customHeight="false" outlineLevel="0" collapsed="false">
      <c r="A7" s="4" t="n">
        <v>4</v>
      </c>
      <c r="B7" s="24"/>
      <c r="C7" s="24"/>
      <c r="D7" s="24"/>
      <c r="E7" s="24"/>
      <c r="F7" s="24"/>
      <c r="G7" s="24"/>
      <c r="H7" s="24"/>
      <c r="I7" s="36" t="n">
        <f aca="false">IF(AND(D7&gt;0,H7&gt;0),H7-D7,0)</f>
        <v>0</v>
      </c>
      <c r="J7" s="52" t="n">
        <f aca="false">IFERROR(IF(D7&gt;0,(H7-D7)/D7*100,0),0)</f>
        <v>0</v>
      </c>
      <c r="K7" s="7" t="str">
        <f aca="false">IF(I7&gt;0.2,"Improving",IF(I7&gt;0,"Stable",IF(I7&lt;-0.2,"Declining","Flat")))</f>
        <v>Flat</v>
      </c>
    </row>
    <row r="8" customFormat="false" ht="15" hidden="false" customHeight="false" outlineLevel="0" collapsed="false">
      <c r="A8" s="8" t="n">
        <v>5</v>
      </c>
      <c r="B8" s="21"/>
      <c r="C8" s="21"/>
      <c r="D8" s="21"/>
      <c r="E8" s="21"/>
      <c r="F8" s="21"/>
      <c r="G8" s="21"/>
      <c r="H8" s="21"/>
      <c r="I8" s="37" t="n">
        <f aca="false">IF(AND(D8&gt;0,H8&gt;0),H8-D8,0)</f>
        <v>0</v>
      </c>
      <c r="J8" s="51" t="n">
        <f aca="false">IFERROR(IF(D8&gt;0,(H8-D8)/D8*100,0),0)</f>
        <v>0</v>
      </c>
      <c r="K8" s="11" t="str">
        <f aca="false">IF(I8&gt;0.2,"Improving",IF(I8&gt;0,"Stable",IF(I8&lt;-0.2,"Declining","Flat")))</f>
        <v>Flat</v>
      </c>
    </row>
    <row r="9" customFormat="false" ht="15" hidden="false" customHeight="false" outlineLevel="0" collapsed="false">
      <c r="A9" s="4" t="n">
        <v>6</v>
      </c>
      <c r="B9" s="24"/>
      <c r="C9" s="24"/>
      <c r="D9" s="24"/>
      <c r="E9" s="24"/>
      <c r="F9" s="24"/>
      <c r="G9" s="24"/>
      <c r="H9" s="24"/>
      <c r="I9" s="36" t="n">
        <f aca="false">IF(AND(D9&gt;0,H9&gt;0),H9-D9,0)</f>
        <v>0</v>
      </c>
      <c r="J9" s="52" t="n">
        <f aca="false">IFERROR(IF(D9&gt;0,(H9-D9)/D9*100,0),0)</f>
        <v>0</v>
      </c>
      <c r="K9" s="7" t="str">
        <f aca="false">IF(I9&gt;0.2,"Improving",IF(I9&gt;0,"Stable",IF(I9&lt;-0.2,"Declining","Flat")))</f>
        <v>Flat</v>
      </c>
    </row>
    <row r="10" customFormat="false" ht="15" hidden="false" customHeight="false" outlineLevel="0" collapsed="false">
      <c r="A10" s="8" t="n">
        <v>7</v>
      </c>
      <c r="B10" s="21"/>
      <c r="C10" s="21"/>
      <c r="D10" s="21"/>
      <c r="E10" s="21"/>
      <c r="F10" s="21"/>
      <c r="G10" s="21"/>
      <c r="H10" s="21"/>
      <c r="I10" s="37" t="n">
        <f aca="false">IF(AND(D10&gt;0,H10&gt;0),H10-D10,0)</f>
        <v>0</v>
      </c>
      <c r="J10" s="51" t="n">
        <f aca="false">IFERROR(IF(D10&gt;0,(H10-D10)/D10*100,0),0)</f>
        <v>0</v>
      </c>
      <c r="K10" s="11" t="str">
        <f aca="false">IF(I10&gt;0.2,"Improving",IF(I10&gt;0,"Stable",IF(I10&lt;-0.2,"Declining","Flat")))</f>
        <v>Flat</v>
      </c>
    </row>
    <row r="11" customFormat="false" ht="15" hidden="false" customHeight="false" outlineLevel="0" collapsed="false">
      <c r="A11" s="4" t="n">
        <v>8</v>
      </c>
      <c r="B11" s="24"/>
      <c r="C11" s="24"/>
      <c r="D11" s="24"/>
      <c r="E11" s="24"/>
      <c r="F11" s="24"/>
      <c r="G11" s="24"/>
      <c r="H11" s="24"/>
      <c r="I11" s="36" t="n">
        <f aca="false">IF(AND(D11&gt;0,H11&gt;0),H11-D11,0)</f>
        <v>0</v>
      </c>
      <c r="J11" s="52" t="n">
        <f aca="false">IFERROR(IF(D11&gt;0,(H11-D11)/D11*100,0),0)</f>
        <v>0</v>
      </c>
      <c r="K11" s="7" t="str">
        <f aca="false">IF(I11&gt;0.2,"Improving",IF(I11&gt;0,"Stable",IF(I11&lt;-0.2,"Declining","Flat")))</f>
        <v>Flat</v>
      </c>
    </row>
    <row r="12" customFormat="false" ht="15" hidden="false" customHeight="false" outlineLevel="0" collapsed="false">
      <c r="A12" s="8" t="n">
        <v>9</v>
      </c>
      <c r="B12" s="21"/>
      <c r="C12" s="21"/>
      <c r="D12" s="21"/>
      <c r="E12" s="21"/>
      <c r="F12" s="21"/>
      <c r="G12" s="21"/>
      <c r="H12" s="21"/>
      <c r="I12" s="37" t="n">
        <f aca="false">IF(AND(D12&gt;0,H12&gt;0),H12-D12,0)</f>
        <v>0</v>
      </c>
      <c r="J12" s="51" t="n">
        <f aca="false">IFERROR(IF(D12&gt;0,(H12-D12)/D12*100,0),0)</f>
        <v>0</v>
      </c>
      <c r="K12" s="11" t="str">
        <f aca="false">IF(I12&gt;0.2,"Improving",IF(I12&gt;0,"Stable",IF(I12&lt;-0.2,"Declining","Flat")))</f>
        <v>Flat</v>
      </c>
    </row>
    <row r="13" customFormat="false" ht="15" hidden="false" customHeight="false" outlineLevel="0" collapsed="false">
      <c r="A13" s="4" t="n">
        <v>10</v>
      </c>
      <c r="B13" s="24"/>
      <c r="C13" s="24"/>
      <c r="D13" s="24"/>
      <c r="E13" s="24"/>
      <c r="F13" s="24"/>
      <c r="G13" s="24"/>
      <c r="H13" s="24"/>
      <c r="I13" s="36" t="n">
        <f aca="false">IF(AND(D13&gt;0,H13&gt;0),H13-D13,0)</f>
        <v>0</v>
      </c>
      <c r="J13" s="52" t="n">
        <f aca="false">IFERROR(IF(D13&gt;0,(H13-D13)/D13*100,0),0)</f>
        <v>0</v>
      </c>
      <c r="K13" s="7" t="str">
        <f aca="false">IF(I13&gt;0.2,"Improving",IF(I13&gt;0,"Stable",IF(I13&lt;-0.2,"Declining","Flat")))</f>
        <v>Flat</v>
      </c>
    </row>
    <row r="14" customFormat="false" ht="15" hidden="false" customHeight="false" outlineLevel="0" collapsed="false">
      <c r="A14" s="8" t="n">
        <v>11</v>
      </c>
      <c r="B14" s="21"/>
      <c r="C14" s="21"/>
      <c r="D14" s="21"/>
      <c r="E14" s="21"/>
      <c r="F14" s="21"/>
      <c r="G14" s="21"/>
      <c r="H14" s="21"/>
      <c r="I14" s="37" t="n">
        <f aca="false">IF(AND(D14&gt;0,H14&gt;0),H14-D14,0)</f>
        <v>0</v>
      </c>
      <c r="J14" s="51" t="n">
        <f aca="false">IFERROR(IF(D14&gt;0,(H14-D14)/D14*100,0),0)</f>
        <v>0</v>
      </c>
      <c r="K14" s="11" t="str">
        <f aca="false">IF(I14&gt;0.2,"Improving",IF(I14&gt;0,"Stable",IF(I14&lt;-0.2,"Declining","Flat")))</f>
        <v>Flat</v>
      </c>
    </row>
    <row r="15" customFormat="false" ht="15" hidden="false" customHeight="false" outlineLevel="0" collapsed="false">
      <c r="A15" s="4" t="n">
        <v>12</v>
      </c>
      <c r="B15" s="24"/>
      <c r="C15" s="24"/>
      <c r="D15" s="24"/>
      <c r="E15" s="24"/>
      <c r="F15" s="24"/>
      <c r="G15" s="24"/>
      <c r="H15" s="24"/>
      <c r="I15" s="36" t="n">
        <f aca="false">IF(AND(D15&gt;0,H15&gt;0),H15-D15,0)</f>
        <v>0</v>
      </c>
      <c r="J15" s="52" t="n">
        <f aca="false">IFERROR(IF(D15&gt;0,(H15-D15)/D15*100,0),0)</f>
        <v>0</v>
      </c>
      <c r="K15" s="7" t="str">
        <f aca="false">IF(I15&gt;0.2,"Improving",IF(I15&gt;0,"Stable",IF(I15&lt;-0.2,"Declining","Flat")))</f>
        <v>Flat</v>
      </c>
    </row>
    <row r="16" customFormat="false" ht="15" hidden="false" customHeight="false" outlineLevel="0" collapsed="false">
      <c r="A16" s="8" t="n">
        <v>13</v>
      </c>
      <c r="B16" s="21"/>
      <c r="C16" s="21"/>
      <c r="D16" s="21"/>
      <c r="E16" s="21"/>
      <c r="F16" s="21"/>
      <c r="G16" s="21"/>
      <c r="H16" s="21"/>
      <c r="I16" s="37" t="n">
        <f aca="false">IF(AND(D16&gt;0,H16&gt;0),H16-D16,0)</f>
        <v>0</v>
      </c>
      <c r="J16" s="51" t="n">
        <f aca="false">IFERROR(IF(D16&gt;0,(H16-D16)/D16*100,0),0)</f>
        <v>0</v>
      </c>
      <c r="K16" s="11" t="str">
        <f aca="false">IF(I16&gt;0.2,"Improving",IF(I16&gt;0,"Stable",IF(I16&lt;-0.2,"Declining","Flat")))</f>
        <v>Flat</v>
      </c>
    </row>
    <row r="17" customFormat="false" ht="15" hidden="false" customHeight="false" outlineLevel="0" collapsed="false">
      <c r="A17" s="4" t="n">
        <v>14</v>
      </c>
      <c r="B17" s="24"/>
      <c r="C17" s="24"/>
      <c r="D17" s="24"/>
      <c r="E17" s="24"/>
      <c r="F17" s="24"/>
      <c r="G17" s="24"/>
      <c r="H17" s="24"/>
      <c r="I17" s="36" t="n">
        <f aca="false">IF(AND(D17&gt;0,H17&gt;0),H17-D17,0)</f>
        <v>0</v>
      </c>
      <c r="J17" s="52" t="n">
        <f aca="false">IFERROR(IF(D17&gt;0,(H17-D17)/D17*100,0),0)</f>
        <v>0</v>
      </c>
      <c r="K17" s="7" t="str">
        <f aca="false">IF(I17&gt;0.2,"Improving",IF(I17&gt;0,"Stable",IF(I17&lt;-0.2,"Declining","Flat")))</f>
        <v>Flat</v>
      </c>
    </row>
    <row r="18" customFormat="false" ht="15" hidden="false" customHeight="false" outlineLevel="0" collapsed="false">
      <c r="A18" s="8" t="n">
        <v>15</v>
      </c>
      <c r="B18" s="21"/>
      <c r="C18" s="21"/>
      <c r="D18" s="21"/>
      <c r="E18" s="21"/>
      <c r="F18" s="21"/>
      <c r="G18" s="21"/>
      <c r="H18" s="21"/>
      <c r="I18" s="37" t="n">
        <f aca="false">IF(AND(D18&gt;0,H18&gt;0),H18-D18,0)</f>
        <v>0</v>
      </c>
      <c r="J18" s="51" t="n">
        <f aca="false">IFERROR(IF(D18&gt;0,(H18-D18)/D18*100,0),0)</f>
        <v>0</v>
      </c>
      <c r="K18" s="11" t="str">
        <f aca="false">IF(I18&gt;0.2,"Improving",IF(I18&gt;0,"Stable",IF(I18&lt;-0.2,"Declining","Flat")))</f>
        <v>Flat</v>
      </c>
    </row>
    <row r="19" customFormat="false" ht="15" hidden="false" customHeight="false" outlineLevel="0" collapsed="false">
      <c r="A19" s="4" t="n">
        <v>16</v>
      </c>
      <c r="B19" s="24"/>
      <c r="C19" s="24"/>
      <c r="D19" s="24"/>
      <c r="E19" s="24"/>
      <c r="F19" s="24"/>
      <c r="G19" s="24"/>
      <c r="H19" s="24"/>
      <c r="I19" s="36" t="n">
        <f aca="false">IF(AND(D19&gt;0,H19&gt;0),H19-D19,0)</f>
        <v>0</v>
      </c>
      <c r="J19" s="52" t="n">
        <f aca="false">IFERROR(IF(D19&gt;0,(H19-D19)/D19*100,0),0)</f>
        <v>0</v>
      </c>
      <c r="K19" s="7" t="str">
        <f aca="false">IF(I19&gt;0.2,"Improving",IF(I19&gt;0,"Stable",IF(I19&lt;-0.2,"Declining","Flat")))</f>
        <v>Flat</v>
      </c>
    </row>
    <row r="20" customFormat="false" ht="15" hidden="false" customHeight="false" outlineLevel="0" collapsed="false">
      <c r="A20" s="8" t="n">
        <v>17</v>
      </c>
      <c r="B20" s="21"/>
      <c r="C20" s="21"/>
      <c r="D20" s="21"/>
      <c r="E20" s="21"/>
      <c r="F20" s="21"/>
      <c r="G20" s="21"/>
      <c r="H20" s="21"/>
      <c r="I20" s="37" t="n">
        <f aca="false">IF(AND(D20&gt;0,H20&gt;0),H20-D20,0)</f>
        <v>0</v>
      </c>
      <c r="J20" s="51" t="n">
        <f aca="false">IFERROR(IF(D20&gt;0,(H20-D20)/D20*100,0),0)</f>
        <v>0</v>
      </c>
      <c r="K20" s="11" t="str">
        <f aca="false">IF(I20&gt;0.2,"Improving",IF(I20&gt;0,"Stable",IF(I20&lt;-0.2,"Declining","Flat")))</f>
        <v>Flat</v>
      </c>
    </row>
    <row r="21" customFormat="false" ht="15" hidden="false" customHeight="false" outlineLevel="0" collapsed="false">
      <c r="A21" s="4" t="n">
        <v>18</v>
      </c>
      <c r="B21" s="24"/>
      <c r="C21" s="24"/>
      <c r="D21" s="24"/>
      <c r="E21" s="24"/>
      <c r="F21" s="24"/>
      <c r="G21" s="24"/>
      <c r="H21" s="24"/>
      <c r="I21" s="36" t="n">
        <f aca="false">IF(AND(D21&gt;0,H21&gt;0),H21-D21,0)</f>
        <v>0</v>
      </c>
      <c r="J21" s="52" t="n">
        <f aca="false">IFERROR(IF(D21&gt;0,(H21-D21)/D21*100,0),0)</f>
        <v>0</v>
      </c>
      <c r="K21" s="7" t="str">
        <f aca="false">IF(I21&gt;0.2,"Improving",IF(I21&gt;0,"Stable",IF(I21&lt;-0.2,"Declining","Flat")))</f>
        <v>Flat</v>
      </c>
    </row>
    <row r="22" customFormat="false" ht="15" hidden="false" customHeight="false" outlineLevel="0" collapsed="false">
      <c r="A22" s="8" t="n">
        <v>19</v>
      </c>
      <c r="B22" s="21"/>
      <c r="C22" s="21"/>
      <c r="D22" s="21"/>
      <c r="E22" s="21"/>
      <c r="F22" s="21"/>
      <c r="G22" s="21"/>
      <c r="H22" s="21"/>
      <c r="I22" s="37" t="n">
        <f aca="false">IF(AND(D22&gt;0,H22&gt;0),H22-D22,0)</f>
        <v>0</v>
      </c>
      <c r="J22" s="51" t="n">
        <f aca="false">IFERROR(IF(D22&gt;0,(H22-D22)/D22*100,0),0)</f>
        <v>0</v>
      </c>
      <c r="K22" s="11" t="str">
        <f aca="false">IF(I22&gt;0.2,"Improving",IF(I22&gt;0,"Stable",IF(I22&lt;-0.2,"Declining","Flat")))</f>
        <v>Flat</v>
      </c>
    </row>
    <row r="23" customFormat="false" ht="15" hidden="false" customHeight="false" outlineLevel="0" collapsed="false">
      <c r="A23" s="4" t="n">
        <v>20</v>
      </c>
      <c r="B23" s="24"/>
      <c r="C23" s="24"/>
      <c r="D23" s="24"/>
      <c r="E23" s="24"/>
      <c r="F23" s="24"/>
      <c r="G23" s="24"/>
      <c r="H23" s="24"/>
      <c r="I23" s="36" t="n">
        <f aca="false">IF(AND(D23&gt;0,H23&gt;0),H23-D23,0)</f>
        <v>0</v>
      </c>
      <c r="J23" s="52" t="n">
        <f aca="false">IFERROR(IF(D23&gt;0,(H23-D23)/D23*100,0),0)</f>
        <v>0</v>
      </c>
      <c r="K23" s="7" t="str">
        <f aca="false">IF(I23&gt;0.2,"Improving",IF(I23&gt;0,"Stable",IF(I23&lt;-0.2,"Declining","Flat")))</f>
        <v>Flat</v>
      </c>
    </row>
    <row r="24" customFormat="false" ht="15" hidden="false" customHeight="false" outlineLevel="0" collapsed="false">
      <c r="A24" s="8" t="n">
        <v>21</v>
      </c>
      <c r="B24" s="21"/>
      <c r="C24" s="21"/>
      <c r="D24" s="21"/>
      <c r="E24" s="21"/>
      <c r="F24" s="21"/>
      <c r="G24" s="21"/>
      <c r="H24" s="21"/>
      <c r="I24" s="37" t="n">
        <f aca="false">IF(AND(D24&gt;0,H24&gt;0),H24-D24,0)</f>
        <v>0</v>
      </c>
      <c r="J24" s="51" t="n">
        <f aca="false">IFERROR(IF(D24&gt;0,(H24-D24)/D24*100,0),0)</f>
        <v>0</v>
      </c>
      <c r="K24" s="11" t="str">
        <f aca="false">IF(I24&gt;0.2,"Improving",IF(I24&gt;0,"Stable",IF(I24&lt;-0.2,"Declining","Flat")))</f>
        <v>Flat</v>
      </c>
    </row>
    <row r="25" customFormat="false" ht="15" hidden="false" customHeight="false" outlineLevel="0" collapsed="false">
      <c r="A25" s="4" t="n">
        <v>22</v>
      </c>
      <c r="B25" s="24"/>
      <c r="C25" s="24"/>
      <c r="D25" s="24"/>
      <c r="E25" s="24"/>
      <c r="F25" s="24"/>
      <c r="G25" s="24"/>
      <c r="H25" s="24"/>
      <c r="I25" s="36" t="n">
        <f aca="false">IF(AND(D25&gt;0,H25&gt;0),H25-D25,0)</f>
        <v>0</v>
      </c>
      <c r="J25" s="52" t="n">
        <f aca="false">IFERROR(IF(D25&gt;0,(H25-D25)/D25*100,0),0)</f>
        <v>0</v>
      </c>
      <c r="K25" s="7" t="str">
        <f aca="false">IF(I25&gt;0.2,"Improving",IF(I25&gt;0,"Stable",IF(I25&lt;-0.2,"Declining","Flat")))</f>
        <v>Flat</v>
      </c>
    </row>
    <row r="26" customFormat="false" ht="15" hidden="false" customHeight="false" outlineLevel="0" collapsed="false">
      <c r="A26" s="8" t="n">
        <v>23</v>
      </c>
      <c r="B26" s="21"/>
      <c r="C26" s="21"/>
      <c r="D26" s="21"/>
      <c r="E26" s="21"/>
      <c r="F26" s="21"/>
      <c r="G26" s="21"/>
      <c r="H26" s="21"/>
      <c r="I26" s="37" t="n">
        <f aca="false">IF(AND(D26&gt;0,H26&gt;0),H26-D26,0)</f>
        <v>0</v>
      </c>
      <c r="J26" s="51" t="n">
        <f aca="false">IFERROR(IF(D26&gt;0,(H26-D26)/D26*100,0),0)</f>
        <v>0</v>
      </c>
      <c r="K26" s="11" t="str">
        <f aca="false">IF(I26&gt;0.2,"Improving",IF(I26&gt;0,"Stable",IF(I26&lt;-0.2,"Declining","Flat")))</f>
        <v>Flat</v>
      </c>
    </row>
    <row r="27" customFormat="false" ht="15" hidden="false" customHeight="false" outlineLevel="0" collapsed="false">
      <c r="A27" s="4" t="n">
        <v>24</v>
      </c>
      <c r="B27" s="24"/>
      <c r="C27" s="24"/>
      <c r="D27" s="24"/>
      <c r="E27" s="24"/>
      <c r="F27" s="24"/>
      <c r="G27" s="24"/>
      <c r="H27" s="24"/>
      <c r="I27" s="36" t="n">
        <f aca="false">IF(AND(D27&gt;0,H27&gt;0),H27-D27,0)</f>
        <v>0</v>
      </c>
      <c r="J27" s="52" t="n">
        <f aca="false">IFERROR(IF(D27&gt;0,(H27-D27)/D27*100,0),0)</f>
        <v>0</v>
      </c>
      <c r="K27" s="7" t="str">
        <f aca="false">IF(I27&gt;0.2,"Improving",IF(I27&gt;0,"Stable",IF(I27&lt;-0.2,"Declining","Flat")))</f>
        <v>Flat</v>
      </c>
    </row>
    <row r="28" customFormat="false" ht="15" hidden="false" customHeight="false" outlineLevel="0" collapsed="false">
      <c r="A28" s="8" t="n">
        <v>25</v>
      </c>
      <c r="B28" s="21"/>
      <c r="C28" s="21"/>
      <c r="D28" s="21"/>
      <c r="E28" s="21"/>
      <c r="F28" s="21"/>
      <c r="G28" s="21"/>
      <c r="H28" s="21"/>
      <c r="I28" s="37" t="n">
        <f aca="false">IF(AND(D28&gt;0,H28&gt;0),H28-D28,0)</f>
        <v>0</v>
      </c>
      <c r="J28" s="51" t="n">
        <f aca="false">IFERROR(IF(D28&gt;0,(H28-D28)/D28*100,0),0)</f>
        <v>0</v>
      </c>
      <c r="K28" s="11" t="str">
        <f aca="false">IF(I28&gt;0.2,"Improving",IF(I28&gt;0,"Stable",IF(I28&lt;-0.2,"Declining","Flat")))</f>
        <v>Flat</v>
      </c>
    </row>
    <row r="29" customFormat="false" ht="15" hidden="false" customHeight="false" outlineLevel="0" collapsed="false">
      <c r="A29" s="4" t="n">
        <v>26</v>
      </c>
      <c r="B29" s="24"/>
      <c r="C29" s="24"/>
      <c r="D29" s="24"/>
      <c r="E29" s="24"/>
      <c r="F29" s="24"/>
      <c r="G29" s="24"/>
      <c r="H29" s="24"/>
      <c r="I29" s="36" t="n">
        <f aca="false">IF(AND(D29&gt;0,H29&gt;0),H29-D29,0)</f>
        <v>0</v>
      </c>
      <c r="J29" s="52" t="n">
        <f aca="false">IFERROR(IF(D29&gt;0,(H29-D29)/D29*100,0),0)</f>
        <v>0</v>
      </c>
      <c r="K29" s="7" t="str">
        <f aca="false">IF(I29&gt;0.2,"Improving",IF(I29&gt;0,"Stable",IF(I29&lt;-0.2,"Declining","Flat")))</f>
        <v>Flat</v>
      </c>
    </row>
    <row r="30" customFormat="false" ht="15" hidden="false" customHeight="false" outlineLevel="0" collapsed="false">
      <c r="A30" s="8" t="n">
        <v>27</v>
      </c>
      <c r="B30" s="21"/>
      <c r="C30" s="21"/>
      <c r="D30" s="21"/>
      <c r="E30" s="21"/>
      <c r="F30" s="21"/>
      <c r="G30" s="21"/>
      <c r="H30" s="21"/>
      <c r="I30" s="37" t="n">
        <f aca="false">IF(AND(D30&gt;0,H30&gt;0),H30-D30,0)</f>
        <v>0</v>
      </c>
      <c r="J30" s="51" t="n">
        <f aca="false">IFERROR(IF(D30&gt;0,(H30-D30)/D30*100,0),0)</f>
        <v>0</v>
      </c>
      <c r="K30" s="11" t="str">
        <f aca="false">IF(I30&gt;0.2,"Improving",IF(I30&gt;0,"Stable",IF(I30&lt;-0.2,"Declining","Flat")))</f>
        <v>Flat</v>
      </c>
    </row>
    <row r="31" customFormat="false" ht="15" hidden="false" customHeight="false" outlineLevel="0" collapsed="false">
      <c r="A31" s="4" t="n">
        <v>28</v>
      </c>
      <c r="B31" s="24"/>
      <c r="C31" s="24"/>
      <c r="D31" s="24"/>
      <c r="E31" s="24"/>
      <c r="F31" s="24"/>
      <c r="G31" s="24"/>
      <c r="H31" s="24"/>
      <c r="I31" s="36" t="n">
        <f aca="false">IF(AND(D31&gt;0,H31&gt;0),H31-D31,0)</f>
        <v>0</v>
      </c>
      <c r="J31" s="52" t="n">
        <f aca="false">IFERROR(IF(D31&gt;0,(H31-D31)/D31*100,0),0)</f>
        <v>0</v>
      </c>
      <c r="K31" s="7" t="str">
        <f aca="false">IF(I31&gt;0.2,"Improving",IF(I31&gt;0,"Stable",IF(I31&lt;-0.2,"Declining","Flat")))</f>
        <v>Flat</v>
      </c>
    </row>
    <row r="32" customFormat="false" ht="15" hidden="false" customHeight="false" outlineLevel="0" collapsed="false">
      <c r="A32" s="8" t="n">
        <v>29</v>
      </c>
      <c r="B32" s="21"/>
      <c r="C32" s="21"/>
      <c r="D32" s="21"/>
      <c r="E32" s="21"/>
      <c r="F32" s="21"/>
      <c r="G32" s="21"/>
      <c r="H32" s="21"/>
      <c r="I32" s="37" t="n">
        <f aca="false">IF(AND(D32&gt;0,H32&gt;0),H32-D32,0)</f>
        <v>0</v>
      </c>
      <c r="J32" s="51" t="n">
        <f aca="false">IFERROR(IF(D32&gt;0,(H32-D32)/D32*100,0),0)</f>
        <v>0</v>
      </c>
      <c r="K32" s="11" t="str">
        <f aca="false">IF(I32&gt;0.2,"Improving",IF(I32&gt;0,"Stable",IF(I32&lt;-0.2,"Declining","Flat")))</f>
        <v>Flat</v>
      </c>
    </row>
    <row r="33" customFormat="false" ht="15" hidden="false" customHeight="false" outlineLevel="0" collapsed="false">
      <c r="A33" s="4" t="n">
        <v>30</v>
      </c>
      <c r="B33" s="24"/>
      <c r="C33" s="24"/>
      <c r="D33" s="24"/>
      <c r="E33" s="24"/>
      <c r="F33" s="24"/>
      <c r="G33" s="24"/>
      <c r="H33" s="24"/>
      <c r="I33" s="36" t="n">
        <f aca="false">IF(AND(D33&gt;0,H33&gt;0),H33-D33,0)</f>
        <v>0</v>
      </c>
      <c r="J33" s="52" t="n">
        <f aca="false">IFERROR(IF(D33&gt;0,(H33-D33)/D33*100,0),0)</f>
        <v>0</v>
      </c>
      <c r="K33" s="7" t="str">
        <f aca="false">IF(I33&gt;0.2,"Improving",IF(I33&gt;0,"Stable",IF(I33&lt;-0.2,"Declining","Flat")))</f>
        <v>Flat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53" t="s">
        <v>139</v>
      </c>
      <c r="B1" s="53"/>
      <c r="C1" s="53"/>
      <c r="D1" s="53"/>
      <c r="E1" s="53"/>
      <c r="F1" s="53"/>
      <c r="G1" s="53"/>
    </row>
    <row r="2" customFormat="false" ht="25.5" hidden="false" customHeight="true" outlineLevel="0" collapsed="false">
      <c r="A2" s="12" t="s">
        <v>140</v>
      </c>
      <c r="B2" s="12"/>
      <c r="C2" s="12"/>
      <c r="D2" s="12"/>
      <c r="E2" s="12"/>
      <c r="F2" s="12"/>
      <c r="G2" s="12"/>
    </row>
    <row r="3" customFormat="false" ht="23.85" hidden="false" customHeight="false" outlineLevel="0" collapsed="false">
      <c r="A3" s="13" t="s">
        <v>61</v>
      </c>
      <c r="B3" s="13" t="s">
        <v>62</v>
      </c>
      <c r="C3" s="13" t="s">
        <v>63</v>
      </c>
      <c r="D3" s="13" t="s">
        <v>66</v>
      </c>
      <c r="E3" s="13" t="s">
        <v>141</v>
      </c>
      <c r="F3" s="13" t="s">
        <v>142</v>
      </c>
      <c r="G3" s="13" t="s">
        <v>143</v>
      </c>
    </row>
    <row r="4" customFormat="false" ht="15" hidden="false" customHeight="false" outlineLevel="0" collapsed="false">
      <c r="A4" s="8" t="n">
        <v>1</v>
      </c>
      <c r="B4" s="21"/>
      <c r="C4" s="21"/>
      <c r="D4" s="37" t="n">
        <f aca="false">'1. Top 1% Summary'!F4</f>
        <v>0</v>
      </c>
      <c r="E4" s="22" t="n">
        <f aca="false">IFERROR((D4-AVERAGE($D$4:$D$33))/STDEV($D$4:$D$33),0)</f>
        <v>0</v>
      </c>
      <c r="F4" s="54" t="n">
        <f aca="false">IFERROR(IF(MAX($D$4:$D$33)-MIN($D$4:$D$33)&gt;0,(D4-MIN($D$4:$D$33))/(MAX($D$4:$D$33)-MIN($D$4:$D$33))*100,0),0)</f>
        <v>0</v>
      </c>
      <c r="G4" s="11" t="n">
        <f aca="false">IFERROR(RANK(F4,$F$4:$F$33,0),"")</f>
        <v>1</v>
      </c>
    </row>
    <row r="5" customFormat="false" ht="15" hidden="false" customHeight="false" outlineLevel="0" collapsed="false">
      <c r="A5" s="4" t="n">
        <v>2</v>
      </c>
      <c r="B5" s="24"/>
      <c r="C5" s="24"/>
      <c r="D5" s="36" t="n">
        <f aca="false">'1. Top 1% Summary'!F5</f>
        <v>0</v>
      </c>
      <c r="E5" s="25" t="n">
        <f aca="false">IFERROR((D5-AVERAGE($D$4:$D$33))/STDEV($D$4:$D$33),0)</f>
        <v>0</v>
      </c>
      <c r="F5" s="55" t="n">
        <f aca="false">IFERROR(IF(MAX($D$4:$D$33)-MIN($D$4:$D$33)&gt;0,(D5-MIN($D$4:$D$33))/(MAX($D$4:$D$33)-MIN($D$4:$D$33))*100,0),0)</f>
        <v>0</v>
      </c>
      <c r="G5" s="7" t="n">
        <f aca="false">IFERROR(RANK(F5,$F$4:$F$33,0),"")</f>
        <v>1</v>
      </c>
    </row>
    <row r="6" customFormat="false" ht="15" hidden="false" customHeight="false" outlineLevel="0" collapsed="false">
      <c r="A6" s="8" t="n">
        <v>3</v>
      </c>
      <c r="B6" s="21"/>
      <c r="C6" s="21"/>
      <c r="D6" s="37" t="n">
        <f aca="false">'1. Top 1% Summary'!F6</f>
        <v>0</v>
      </c>
      <c r="E6" s="22" t="n">
        <f aca="false">IFERROR((D6-AVERAGE($D$4:$D$33))/STDEV($D$4:$D$33),0)</f>
        <v>0</v>
      </c>
      <c r="F6" s="54" t="n">
        <f aca="false">IFERROR(IF(MAX($D$4:$D$33)-MIN($D$4:$D$33)&gt;0,(D6-MIN($D$4:$D$33))/(MAX($D$4:$D$33)-MIN($D$4:$D$33))*100,0),0)</f>
        <v>0</v>
      </c>
      <c r="G6" s="11" t="n">
        <f aca="false">IFERROR(RANK(F6,$F$4:$F$33,0),"")</f>
        <v>1</v>
      </c>
    </row>
    <row r="7" customFormat="false" ht="15" hidden="false" customHeight="false" outlineLevel="0" collapsed="false">
      <c r="A7" s="4" t="n">
        <v>4</v>
      </c>
      <c r="B7" s="24"/>
      <c r="C7" s="24"/>
      <c r="D7" s="36" t="n">
        <f aca="false">'1. Top 1% Summary'!F7</f>
        <v>0</v>
      </c>
      <c r="E7" s="25" t="n">
        <f aca="false">IFERROR((D7-AVERAGE($D$4:$D$33))/STDEV($D$4:$D$33),0)</f>
        <v>0</v>
      </c>
      <c r="F7" s="55" t="n">
        <f aca="false">IFERROR(IF(MAX($D$4:$D$33)-MIN($D$4:$D$33)&gt;0,(D7-MIN($D$4:$D$33))/(MAX($D$4:$D$33)-MIN($D$4:$D$33))*100,0),0)</f>
        <v>0</v>
      </c>
      <c r="G7" s="7" t="n">
        <f aca="false">IFERROR(RANK(F7,$F$4:$F$33,0),"")</f>
        <v>1</v>
      </c>
    </row>
    <row r="8" customFormat="false" ht="15" hidden="false" customHeight="false" outlineLevel="0" collapsed="false">
      <c r="A8" s="8" t="n">
        <v>5</v>
      </c>
      <c r="B8" s="21"/>
      <c r="C8" s="21"/>
      <c r="D8" s="37" t="n">
        <f aca="false">'1. Top 1% Summary'!F8</f>
        <v>0</v>
      </c>
      <c r="E8" s="22" t="n">
        <f aca="false">IFERROR((D8-AVERAGE($D$4:$D$33))/STDEV($D$4:$D$33),0)</f>
        <v>0</v>
      </c>
      <c r="F8" s="54" t="n">
        <f aca="false">IFERROR(IF(MAX($D$4:$D$33)-MIN($D$4:$D$33)&gt;0,(D8-MIN($D$4:$D$33))/(MAX($D$4:$D$33)-MIN($D$4:$D$33))*100,0),0)</f>
        <v>0</v>
      </c>
      <c r="G8" s="11" t="n">
        <f aca="false">IFERROR(RANK(F8,$F$4:$F$33,0),"")</f>
        <v>1</v>
      </c>
    </row>
    <row r="9" customFormat="false" ht="15" hidden="false" customHeight="false" outlineLevel="0" collapsed="false">
      <c r="A9" s="4" t="n">
        <v>6</v>
      </c>
      <c r="B9" s="24"/>
      <c r="C9" s="24"/>
      <c r="D9" s="36" t="n">
        <f aca="false">'1. Top 1% Summary'!F9</f>
        <v>0</v>
      </c>
      <c r="E9" s="25" t="n">
        <f aca="false">IFERROR((D9-AVERAGE($D$4:$D$33))/STDEV($D$4:$D$33),0)</f>
        <v>0</v>
      </c>
      <c r="F9" s="55" t="n">
        <f aca="false">IFERROR(IF(MAX($D$4:$D$33)-MIN($D$4:$D$33)&gt;0,(D9-MIN($D$4:$D$33))/(MAX($D$4:$D$33)-MIN($D$4:$D$33))*100,0),0)</f>
        <v>0</v>
      </c>
      <c r="G9" s="7" t="n">
        <f aca="false">IFERROR(RANK(F9,$F$4:$F$33,0),"")</f>
        <v>1</v>
      </c>
    </row>
    <row r="10" customFormat="false" ht="15" hidden="false" customHeight="false" outlineLevel="0" collapsed="false">
      <c r="A10" s="8" t="n">
        <v>7</v>
      </c>
      <c r="B10" s="21"/>
      <c r="C10" s="21"/>
      <c r="D10" s="37" t="n">
        <f aca="false">'1. Top 1% Summary'!F10</f>
        <v>0</v>
      </c>
      <c r="E10" s="22" t="n">
        <f aca="false">IFERROR((D10-AVERAGE($D$4:$D$33))/STDEV($D$4:$D$33),0)</f>
        <v>0</v>
      </c>
      <c r="F10" s="54" t="n">
        <f aca="false">IFERROR(IF(MAX($D$4:$D$33)-MIN($D$4:$D$33)&gt;0,(D10-MIN($D$4:$D$33))/(MAX($D$4:$D$33)-MIN($D$4:$D$33))*100,0),0)</f>
        <v>0</v>
      </c>
      <c r="G10" s="11" t="n">
        <f aca="false">IFERROR(RANK(F10,$F$4:$F$33,0),"")</f>
        <v>1</v>
      </c>
    </row>
    <row r="11" customFormat="false" ht="15" hidden="false" customHeight="false" outlineLevel="0" collapsed="false">
      <c r="A11" s="4" t="n">
        <v>8</v>
      </c>
      <c r="B11" s="24"/>
      <c r="C11" s="24"/>
      <c r="D11" s="36" t="n">
        <f aca="false">'1. Top 1% Summary'!F11</f>
        <v>0</v>
      </c>
      <c r="E11" s="25" t="n">
        <f aca="false">IFERROR((D11-AVERAGE($D$4:$D$33))/STDEV($D$4:$D$33),0)</f>
        <v>0</v>
      </c>
      <c r="F11" s="55" t="n">
        <f aca="false">IFERROR(IF(MAX($D$4:$D$33)-MIN($D$4:$D$33)&gt;0,(D11-MIN($D$4:$D$33))/(MAX($D$4:$D$33)-MIN($D$4:$D$33))*100,0),0)</f>
        <v>0</v>
      </c>
      <c r="G11" s="7" t="n">
        <f aca="false">IFERROR(RANK(F11,$F$4:$F$33,0),"")</f>
        <v>1</v>
      </c>
    </row>
    <row r="12" customFormat="false" ht="15" hidden="false" customHeight="false" outlineLevel="0" collapsed="false">
      <c r="A12" s="8" t="n">
        <v>9</v>
      </c>
      <c r="B12" s="21"/>
      <c r="C12" s="21"/>
      <c r="D12" s="37" t="n">
        <f aca="false">'1. Top 1% Summary'!F12</f>
        <v>0</v>
      </c>
      <c r="E12" s="22" t="n">
        <f aca="false">IFERROR((D12-AVERAGE($D$4:$D$33))/STDEV($D$4:$D$33),0)</f>
        <v>0</v>
      </c>
      <c r="F12" s="54" t="n">
        <f aca="false">IFERROR(IF(MAX($D$4:$D$33)-MIN($D$4:$D$33)&gt;0,(D12-MIN($D$4:$D$33))/(MAX($D$4:$D$33)-MIN($D$4:$D$33))*100,0),0)</f>
        <v>0</v>
      </c>
      <c r="G12" s="11" t="n">
        <f aca="false">IFERROR(RANK(F12,$F$4:$F$33,0),"")</f>
        <v>1</v>
      </c>
    </row>
    <row r="13" customFormat="false" ht="15" hidden="false" customHeight="false" outlineLevel="0" collapsed="false">
      <c r="A13" s="4" t="n">
        <v>10</v>
      </c>
      <c r="B13" s="24"/>
      <c r="C13" s="24"/>
      <c r="D13" s="36" t="n">
        <f aca="false">'1. Top 1% Summary'!F13</f>
        <v>0</v>
      </c>
      <c r="E13" s="25" t="n">
        <f aca="false">IFERROR((D13-AVERAGE($D$4:$D$33))/STDEV($D$4:$D$33),0)</f>
        <v>0</v>
      </c>
      <c r="F13" s="55" t="n">
        <f aca="false">IFERROR(IF(MAX($D$4:$D$33)-MIN($D$4:$D$33)&gt;0,(D13-MIN($D$4:$D$33))/(MAX($D$4:$D$33)-MIN($D$4:$D$33))*100,0),0)</f>
        <v>0</v>
      </c>
      <c r="G13" s="7" t="n">
        <f aca="false">IFERROR(RANK(F13,$F$4:$F$33,0),"")</f>
        <v>1</v>
      </c>
    </row>
    <row r="14" customFormat="false" ht="15" hidden="false" customHeight="false" outlineLevel="0" collapsed="false">
      <c r="A14" s="8" t="n">
        <v>11</v>
      </c>
      <c r="B14" s="21"/>
      <c r="C14" s="21"/>
      <c r="D14" s="37" t="n">
        <f aca="false">'1. Top 1% Summary'!F14</f>
        <v>0</v>
      </c>
      <c r="E14" s="22" t="n">
        <f aca="false">IFERROR((D14-AVERAGE($D$4:$D$33))/STDEV($D$4:$D$33),0)</f>
        <v>0</v>
      </c>
      <c r="F14" s="54" t="n">
        <f aca="false">IFERROR(IF(MAX($D$4:$D$33)-MIN($D$4:$D$33)&gt;0,(D14-MIN($D$4:$D$33))/(MAX($D$4:$D$33)-MIN($D$4:$D$33))*100,0),0)</f>
        <v>0</v>
      </c>
      <c r="G14" s="11" t="n">
        <f aca="false">IFERROR(RANK(F14,$F$4:$F$33,0),"")</f>
        <v>1</v>
      </c>
    </row>
    <row r="15" customFormat="false" ht="15" hidden="false" customHeight="false" outlineLevel="0" collapsed="false">
      <c r="A15" s="4" t="n">
        <v>12</v>
      </c>
      <c r="B15" s="24"/>
      <c r="C15" s="24"/>
      <c r="D15" s="36" t="n">
        <f aca="false">'1. Top 1% Summary'!F15</f>
        <v>0</v>
      </c>
      <c r="E15" s="25" t="n">
        <f aca="false">IFERROR((D15-AVERAGE($D$4:$D$33))/STDEV($D$4:$D$33),0)</f>
        <v>0</v>
      </c>
      <c r="F15" s="55" t="n">
        <f aca="false">IFERROR(IF(MAX($D$4:$D$33)-MIN($D$4:$D$33)&gt;0,(D15-MIN($D$4:$D$33))/(MAX($D$4:$D$33)-MIN($D$4:$D$33))*100,0),0)</f>
        <v>0</v>
      </c>
      <c r="G15" s="7" t="n">
        <f aca="false">IFERROR(RANK(F15,$F$4:$F$33,0),"")</f>
        <v>1</v>
      </c>
    </row>
    <row r="16" customFormat="false" ht="15" hidden="false" customHeight="false" outlineLevel="0" collapsed="false">
      <c r="A16" s="8" t="n">
        <v>13</v>
      </c>
      <c r="B16" s="21"/>
      <c r="C16" s="21"/>
      <c r="D16" s="37" t="n">
        <f aca="false">'1. Top 1% Summary'!F16</f>
        <v>0</v>
      </c>
      <c r="E16" s="22" t="n">
        <f aca="false">IFERROR((D16-AVERAGE($D$4:$D$33))/STDEV($D$4:$D$33),0)</f>
        <v>0</v>
      </c>
      <c r="F16" s="54" t="n">
        <f aca="false">IFERROR(IF(MAX($D$4:$D$33)-MIN($D$4:$D$33)&gt;0,(D16-MIN($D$4:$D$33))/(MAX($D$4:$D$33)-MIN($D$4:$D$33))*100,0),0)</f>
        <v>0</v>
      </c>
      <c r="G16" s="11" t="n">
        <f aca="false">IFERROR(RANK(F16,$F$4:$F$33,0),"")</f>
        <v>1</v>
      </c>
    </row>
    <row r="17" customFormat="false" ht="15" hidden="false" customHeight="false" outlineLevel="0" collapsed="false">
      <c r="A17" s="4" t="n">
        <v>14</v>
      </c>
      <c r="B17" s="24"/>
      <c r="C17" s="24"/>
      <c r="D17" s="36" t="n">
        <f aca="false">'1. Top 1% Summary'!F17</f>
        <v>0</v>
      </c>
      <c r="E17" s="25" t="n">
        <f aca="false">IFERROR((D17-AVERAGE($D$4:$D$33))/STDEV($D$4:$D$33),0)</f>
        <v>0</v>
      </c>
      <c r="F17" s="55" t="n">
        <f aca="false">IFERROR(IF(MAX($D$4:$D$33)-MIN($D$4:$D$33)&gt;0,(D17-MIN($D$4:$D$33))/(MAX($D$4:$D$33)-MIN($D$4:$D$33))*100,0),0)</f>
        <v>0</v>
      </c>
      <c r="G17" s="7" t="n">
        <f aca="false">IFERROR(RANK(F17,$F$4:$F$33,0),"")</f>
        <v>1</v>
      </c>
    </row>
    <row r="18" customFormat="false" ht="15" hidden="false" customHeight="false" outlineLevel="0" collapsed="false">
      <c r="A18" s="8" t="n">
        <v>15</v>
      </c>
      <c r="B18" s="21"/>
      <c r="C18" s="21"/>
      <c r="D18" s="37" t="n">
        <f aca="false">'1. Top 1% Summary'!F18</f>
        <v>0</v>
      </c>
      <c r="E18" s="22" t="n">
        <f aca="false">IFERROR((D18-AVERAGE($D$4:$D$33))/STDEV($D$4:$D$33),0)</f>
        <v>0</v>
      </c>
      <c r="F18" s="54" t="n">
        <f aca="false">IFERROR(IF(MAX($D$4:$D$33)-MIN($D$4:$D$33)&gt;0,(D18-MIN($D$4:$D$33))/(MAX($D$4:$D$33)-MIN($D$4:$D$33))*100,0),0)</f>
        <v>0</v>
      </c>
      <c r="G18" s="11" t="n">
        <f aca="false">IFERROR(RANK(F18,$F$4:$F$33,0),"")</f>
        <v>1</v>
      </c>
    </row>
    <row r="19" customFormat="false" ht="15" hidden="false" customHeight="false" outlineLevel="0" collapsed="false">
      <c r="A19" s="4" t="n">
        <v>16</v>
      </c>
      <c r="B19" s="24"/>
      <c r="C19" s="24"/>
      <c r="D19" s="36" t="n">
        <f aca="false">'1. Top 1% Summary'!F19</f>
        <v>0</v>
      </c>
      <c r="E19" s="25" t="n">
        <f aca="false">IFERROR((D19-AVERAGE($D$4:$D$33))/STDEV($D$4:$D$33),0)</f>
        <v>0</v>
      </c>
      <c r="F19" s="55" t="n">
        <f aca="false">IFERROR(IF(MAX($D$4:$D$33)-MIN($D$4:$D$33)&gt;0,(D19-MIN($D$4:$D$33))/(MAX($D$4:$D$33)-MIN($D$4:$D$33))*100,0),0)</f>
        <v>0</v>
      </c>
      <c r="G19" s="7" t="n">
        <f aca="false">IFERROR(RANK(F19,$F$4:$F$33,0),"")</f>
        <v>1</v>
      </c>
    </row>
    <row r="20" customFormat="false" ht="15" hidden="false" customHeight="false" outlineLevel="0" collapsed="false">
      <c r="A20" s="8" t="n">
        <v>17</v>
      </c>
      <c r="B20" s="21"/>
      <c r="C20" s="21"/>
      <c r="D20" s="37" t="n">
        <f aca="false">'1. Top 1% Summary'!F20</f>
        <v>0</v>
      </c>
      <c r="E20" s="22" t="n">
        <f aca="false">IFERROR((D20-AVERAGE($D$4:$D$33))/STDEV($D$4:$D$33),0)</f>
        <v>0</v>
      </c>
      <c r="F20" s="54" t="n">
        <f aca="false">IFERROR(IF(MAX($D$4:$D$33)-MIN($D$4:$D$33)&gt;0,(D20-MIN($D$4:$D$33))/(MAX($D$4:$D$33)-MIN($D$4:$D$33))*100,0),0)</f>
        <v>0</v>
      </c>
      <c r="G20" s="11" t="n">
        <f aca="false">IFERROR(RANK(F20,$F$4:$F$33,0),"")</f>
        <v>1</v>
      </c>
    </row>
    <row r="21" customFormat="false" ht="15" hidden="false" customHeight="false" outlineLevel="0" collapsed="false">
      <c r="A21" s="4" t="n">
        <v>18</v>
      </c>
      <c r="B21" s="24"/>
      <c r="C21" s="24"/>
      <c r="D21" s="36" t="n">
        <f aca="false">'1. Top 1% Summary'!F21</f>
        <v>0</v>
      </c>
      <c r="E21" s="25" t="n">
        <f aca="false">IFERROR((D21-AVERAGE($D$4:$D$33))/STDEV($D$4:$D$33),0)</f>
        <v>0</v>
      </c>
      <c r="F21" s="55" t="n">
        <f aca="false">IFERROR(IF(MAX($D$4:$D$33)-MIN($D$4:$D$33)&gt;0,(D21-MIN($D$4:$D$33))/(MAX($D$4:$D$33)-MIN($D$4:$D$33))*100,0),0)</f>
        <v>0</v>
      </c>
      <c r="G21" s="7" t="n">
        <f aca="false">IFERROR(RANK(F21,$F$4:$F$33,0),"")</f>
        <v>1</v>
      </c>
    </row>
    <row r="22" customFormat="false" ht="15" hidden="false" customHeight="false" outlineLevel="0" collapsed="false">
      <c r="A22" s="8" t="n">
        <v>19</v>
      </c>
      <c r="B22" s="21"/>
      <c r="C22" s="21"/>
      <c r="D22" s="37" t="n">
        <f aca="false">'1. Top 1% Summary'!F22</f>
        <v>0</v>
      </c>
      <c r="E22" s="22" t="n">
        <f aca="false">IFERROR((D22-AVERAGE($D$4:$D$33))/STDEV($D$4:$D$33),0)</f>
        <v>0</v>
      </c>
      <c r="F22" s="54" t="n">
        <f aca="false">IFERROR(IF(MAX($D$4:$D$33)-MIN($D$4:$D$33)&gt;0,(D22-MIN($D$4:$D$33))/(MAX($D$4:$D$33)-MIN($D$4:$D$33))*100,0),0)</f>
        <v>0</v>
      </c>
      <c r="G22" s="11" t="n">
        <f aca="false">IFERROR(RANK(F22,$F$4:$F$33,0),"")</f>
        <v>1</v>
      </c>
    </row>
    <row r="23" customFormat="false" ht="15" hidden="false" customHeight="false" outlineLevel="0" collapsed="false">
      <c r="A23" s="4" t="n">
        <v>20</v>
      </c>
      <c r="B23" s="24"/>
      <c r="C23" s="24"/>
      <c r="D23" s="36" t="n">
        <f aca="false">'1. Top 1% Summary'!F23</f>
        <v>0</v>
      </c>
      <c r="E23" s="25" t="n">
        <f aca="false">IFERROR((D23-AVERAGE($D$4:$D$33))/STDEV($D$4:$D$33),0)</f>
        <v>0</v>
      </c>
      <c r="F23" s="55" t="n">
        <f aca="false">IFERROR(IF(MAX($D$4:$D$33)-MIN($D$4:$D$33)&gt;0,(D23-MIN($D$4:$D$33))/(MAX($D$4:$D$33)-MIN($D$4:$D$33))*100,0),0)</f>
        <v>0</v>
      </c>
      <c r="G23" s="7" t="n">
        <f aca="false">IFERROR(RANK(F23,$F$4:$F$33,0),"")</f>
        <v>1</v>
      </c>
    </row>
    <row r="24" customFormat="false" ht="15" hidden="false" customHeight="false" outlineLevel="0" collapsed="false">
      <c r="A24" s="8" t="n">
        <v>21</v>
      </c>
      <c r="B24" s="21"/>
      <c r="C24" s="21"/>
      <c r="D24" s="37" t="n">
        <f aca="false">'1. Top 1% Summary'!F24</f>
        <v>0</v>
      </c>
      <c r="E24" s="22" t="n">
        <f aca="false">IFERROR((D24-AVERAGE($D$4:$D$33))/STDEV($D$4:$D$33),0)</f>
        <v>0</v>
      </c>
      <c r="F24" s="54" t="n">
        <f aca="false">IFERROR(IF(MAX($D$4:$D$33)-MIN($D$4:$D$33)&gt;0,(D24-MIN($D$4:$D$33))/(MAX($D$4:$D$33)-MIN($D$4:$D$33))*100,0),0)</f>
        <v>0</v>
      </c>
      <c r="G24" s="11" t="n">
        <f aca="false">IFERROR(RANK(F24,$F$4:$F$33,0),"")</f>
        <v>1</v>
      </c>
    </row>
    <row r="25" customFormat="false" ht="15" hidden="false" customHeight="false" outlineLevel="0" collapsed="false">
      <c r="A25" s="4" t="n">
        <v>22</v>
      </c>
      <c r="B25" s="24"/>
      <c r="C25" s="24"/>
      <c r="D25" s="36" t="n">
        <f aca="false">'1. Top 1% Summary'!F25</f>
        <v>0</v>
      </c>
      <c r="E25" s="25" t="n">
        <f aca="false">IFERROR((D25-AVERAGE($D$4:$D$33))/STDEV($D$4:$D$33),0)</f>
        <v>0</v>
      </c>
      <c r="F25" s="55" t="n">
        <f aca="false">IFERROR(IF(MAX($D$4:$D$33)-MIN($D$4:$D$33)&gt;0,(D25-MIN($D$4:$D$33))/(MAX($D$4:$D$33)-MIN($D$4:$D$33))*100,0),0)</f>
        <v>0</v>
      </c>
      <c r="G25" s="7" t="n">
        <f aca="false">IFERROR(RANK(F25,$F$4:$F$33,0),"")</f>
        <v>1</v>
      </c>
    </row>
    <row r="26" customFormat="false" ht="15" hidden="false" customHeight="false" outlineLevel="0" collapsed="false">
      <c r="A26" s="8" t="n">
        <v>23</v>
      </c>
      <c r="B26" s="21"/>
      <c r="C26" s="21"/>
      <c r="D26" s="37" t="n">
        <f aca="false">'1. Top 1% Summary'!F26</f>
        <v>0</v>
      </c>
      <c r="E26" s="22" t="n">
        <f aca="false">IFERROR((D26-AVERAGE($D$4:$D$33))/STDEV($D$4:$D$33),0)</f>
        <v>0</v>
      </c>
      <c r="F26" s="54" t="n">
        <f aca="false">IFERROR(IF(MAX($D$4:$D$33)-MIN($D$4:$D$33)&gt;0,(D26-MIN($D$4:$D$33))/(MAX($D$4:$D$33)-MIN($D$4:$D$33))*100,0),0)</f>
        <v>0</v>
      </c>
      <c r="G26" s="11" t="n">
        <f aca="false">IFERROR(RANK(F26,$F$4:$F$33,0),"")</f>
        <v>1</v>
      </c>
    </row>
    <row r="27" customFormat="false" ht="15" hidden="false" customHeight="false" outlineLevel="0" collapsed="false">
      <c r="A27" s="4" t="n">
        <v>24</v>
      </c>
      <c r="B27" s="24"/>
      <c r="C27" s="24"/>
      <c r="D27" s="36" t="n">
        <f aca="false">'1. Top 1% Summary'!F27</f>
        <v>0</v>
      </c>
      <c r="E27" s="25" t="n">
        <f aca="false">IFERROR((D27-AVERAGE($D$4:$D$33))/STDEV($D$4:$D$33),0)</f>
        <v>0</v>
      </c>
      <c r="F27" s="55" t="n">
        <f aca="false">IFERROR(IF(MAX($D$4:$D$33)-MIN($D$4:$D$33)&gt;0,(D27-MIN($D$4:$D$33))/(MAX($D$4:$D$33)-MIN($D$4:$D$33))*100,0),0)</f>
        <v>0</v>
      </c>
      <c r="G27" s="7" t="n">
        <f aca="false">IFERROR(RANK(F27,$F$4:$F$33,0),"")</f>
        <v>1</v>
      </c>
    </row>
    <row r="28" customFormat="false" ht="15" hidden="false" customHeight="false" outlineLevel="0" collapsed="false">
      <c r="A28" s="8" t="n">
        <v>25</v>
      </c>
      <c r="B28" s="21"/>
      <c r="C28" s="21"/>
      <c r="D28" s="37" t="n">
        <f aca="false">'1. Top 1% Summary'!F28</f>
        <v>0</v>
      </c>
      <c r="E28" s="22" t="n">
        <f aca="false">IFERROR((D28-AVERAGE($D$4:$D$33))/STDEV($D$4:$D$33),0)</f>
        <v>0</v>
      </c>
      <c r="F28" s="54" t="n">
        <f aca="false">IFERROR(IF(MAX($D$4:$D$33)-MIN($D$4:$D$33)&gt;0,(D28-MIN($D$4:$D$33))/(MAX($D$4:$D$33)-MIN($D$4:$D$33))*100,0),0)</f>
        <v>0</v>
      </c>
      <c r="G28" s="11" t="n">
        <f aca="false">IFERROR(RANK(F28,$F$4:$F$33,0),"")</f>
        <v>1</v>
      </c>
    </row>
    <row r="29" customFormat="false" ht="15" hidden="false" customHeight="false" outlineLevel="0" collapsed="false">
      <c r="A29" s="4" t="n">
        <v>26</v>
      </c>
      <c r="B29" s="24"/>
      <c r="C29" s="24"/>
      <c r="D29" s="36" t="n">
        <f aca="false">'1. Top 1% Summary'!F29</f>
        <v>0</v>
      </c>
      <c r="E29" s="25" t="n">
        <f aca="false">IFERROR((D29-AVERAGE($D$4:$D$33))/STDEV($D$4:$D$33),0)</f>
        <v>0</v>
      </c>
      <c r="F29" s="55" t="n">
        <f aca="false">IFERROR(IF(MAX($D$4:$D$33)-MIN($D$4:$D$33)&gt;0,(D29-MIN($D$4:$D$33))/(MAX($D$4:$D$33)-MIN($D$4:$D$33))*100,0),0)</f>
        <v>0</v>
      </c>
      <c r="G29" s="7" t="n">
        <f aca="false">IFERROR(RANK(F29,$F$4:$F$33,0),"")</f>
        <v>1</v>
      </c>
    </row>
    <row r="30" customFormat="false" ht="15" hidden="false" customHeight="false" outlineLevel="0" collapsed="false">
      <c r="A30" s="8" t="n">
        <v>27</v>
      </c>
      <c r="B30" s="21"/>
      <c r="C30" s="21"/>
      <c r="D30" s="37" t="n">
        <f aca="false">'1. Top 1% Summary'!F30</f>
        <v>0</v>
      </c>
      <c r="E30" s="22" t="n">
        <f aca="false">IFERROR((D30-AVERAGE($D$4:$D$33))/STDEV($D$4:$D$33),0)</f>
        <v>0</v>
      </c>
      <c r="F30" s="54" t="n">
        <f aca="false">IFERROR(IF(MAX($D$4:$D$33)-MIN($D$4:$D$33)&gt;0,(D30-MIN($D$4:$D$33))/(MAX($D$4:$D$33)-MIN($D$4:$D$33))*100,0),0)</f>
        <v>0</v>
      </c>
      <c r="G30" s="11" t="n">
        <f aca="false">IFERROR(RANK(F30,$F$4:$F$33,0),"")</f>
        <v>1</v>
      </c>
    </row>
    <row r="31" customFormat="false" ht="15" hidden="false" customHeight="false" outlineLevel="0" collapsed="false">
      <c r="A31" s="4" t="n">
        <v>28</v>
      </c>
      <c r="B31" s="24"/>
      <c r="C31" s="24"/>
      <c r="D31" s="36" t="n">
        <f aca="false">'1. Top 1% Summary'!F31</f>
        <v>0</v>
      </c>
      <c r="E31" s="25" t="n">
        <f aca="false">IFERROR((D31-AVERAGE($D$4:$D$33))/STDEV($D$4:$D$33),0)</f>
        <v>0</v>
      </c>
      <c r="F31" s="55" t="n">
        <f aca="false">IFERROR(IF(MAX($D$4:$D$33)-MIN($D$4:$D$33)&gt;0,(D31-MIN($D$4:$D$33))/(MAX($D$4:$D$33)-MIN($D$4:$D$33))*100,0),0)</f>
        <v>0</v>
      </c>
      <c r="G31" s="7" t="n">
        <f aca="false">IFERROR(RANK(F31,$F$4:$F$33,0),"")</f>
        <v>1</v>
      </c>
    </row>
    <row r="32" customFormat="false" ht="15" hidden="false" customHeight="false" outlineLevel="0" collapsed="false">
      <c r="A32" s="8" t="n">
        <v>29</v>
      </c>
      <c r="B32" s="21"/>
      <c r="C32" s="21"/>
      <c r="D32" s="37" t="n">
        <f aca="false">'1. Top 1% Summary'!F32</f>
        <v>0</v>
      </c>
      <c r="E32" s="22" t="n">
        <f aca="false">IFERROR((D32-AVERAGE($D$4:$D$33))/STDEV($D$4:$D$33),0)</f>
        <v>0</v>
      </c>
      <c r="F32" s="54" t="n">
        <f aca="false">IFERROR(IF(MAX($D$4:$D$33)-MIN($D$4:$D$33)&gt;0,(D32-MIN($D$4:$D$33))/(MAX($D$4:$D$33)-MIN($D$4:$D$33))*100,0),0)</f>
        <v>0</v>
      </c>
      <c r="G32" s="11" t="n">
        <f aca="false">IFERROR(RANK(F32,$F$4:$F$33,0),"")</f>
        <v>1</v>
      </c>
    </row>
    <row r="33" customFormat="false" ht="15" hidden="false" customHeight="false" outlineLevel="0" collapsed="false">
      <c r="A33" s="4" t="n">
        <v>30</v>
      </c>
      <c r="B33" s="24"/>
      <c r="C33" s="24"/>
      <c r="D33" s="36" t="n">
        <f aca="false">'1. Top 1% Summary'!F33</f>
        <v>0</v>
      </c>
      <c r="E33" s="25" t="n">
        <f aca="false">IFERROR((D33-AVERAGE($D$4:$D$33))/STDEV($D$4:$D$33),0)</f>
        <v>0</v>
      </c>
      <c r="F33" s="55" t="n">
        <f aca="false">IFERROR(IF(MAX($D$4:$D$33)-MIN($D$4:$D$33)&gt;0,(D33-MIN($D$4:$D$33))/(MAX($D$4:$D$33)-MIN($D$4:$D$33))*100,0),0)</f>
        <v>0</v>
      </c>
      <c r="G33" s="7" t="n">
        <f aca="false">IFERROR(RANK(F33,$F$4:$F$33,0),"")</f>
        <v>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49" t="s">
        <v>144</v>
      </c>
      <c r="B1" s="49"/>
      <c r="C1" s="49"/>
      <c r="D1" s="49"/>
      <c r="E1" s="49"/>
      <c r="F1" s="49"/>
      <c r="G1" s="49"/>
    </row>
    <row r="3" customFormat="false" ht="15" hidden="false" customHeight="false" outlineLevel="0" collapsed="false">
      <c r="A3" s="50" t="s">
        <v>2</v>
      </c>
      <c r="B3" s="50" t="s">
        <v>62</v>
      </c>
      <c r="C3" s="50" t="s">
        <v>145</v>
      </c>
      <c r="D3" s="50" t="s">
        <v>146</v>
      </c>
      <c r="E3" s="50" t="s">
        <v>147</v>
      </c>
      <c r="F3" s="50" t="s">
        <v>148</v>
      </c>
      <c r="G3" s="50" t="s">
        <v>149</v>
      </c>
    </row>
    <row r="4" customFormat="false" ht="23.85" hidden="false" customHeight="false" outlineLevel="0" collapsed="false">
      <c r="A4" s="8" t="n">
        <v>1</v>
      </c>
      <c r="B4" s="21"/>
      <c r="C4" s="10" t="s">
        <v>150</v>
      </c>
      <c r="D4" s="11" t="s">
        <v>151</v>
      </c>
      <c r="E4" s="21"/>
      <c r="F4" s="21"/>
      <c r="G4" s="21"/>
    </row>
    <row r="5" customFormat="false" ht="23.85" hidden="false" customHeight="false" outlineLevel="0" collapsed="false">
      <c r="A5" s="4" t="n">
        <v>2</v>
      </c>
      <c r="B5" s="24"/>
      <c r="C5" s="6" t="s">
        <v>152</v>
      </c>
      <c r="D5" s="7" t="s">
        <v>151</v>
      </c>
      <c r="E5" s="24"/>
      <c r="F5" s="24"/>
      <c r="G5" s="24"/>
    </row>
    <row r="6" customFormat="false" ht="23.85" hidden="false" customHeight="false" outlineLevel="0" collapsed="false">
      <c r="A6" s="8" t="n">
        <v>3</v>
      </c>
      <c r="B6" s="21"/>
      <c r="C6" s="10" t="s">
        <v>153</v>
      </c>
      <c r="D6" s="11" t="s">
        <v>151</v>
      </c>
      <c r="E6" s="21"/>
      <c r="F6" s="21"/>
      <c r="G6" s="21"/>
    </row>
    <row r="7" customFormat="false" ht="23.85" hidden="false" customHeight="false" outlineLevel="0" collapsed="false">
      <c r="A7" s="4" t="n">
        <v>4</v>
      </c>
      <c r="B7" s="24"/>
      <c r="C7" s="6" t="s">
        <v>154</v>
      </c>
      <c r="D7" s="7" t="s">
        <v>155</v>
      </c>
      <c r="E7" s="24"/>
      <c r="F7" s="24"/>
      <c r="G7" s="24"/>
    </row>
    <row r="8" customFormat="false" ht="23.85" hidden="false" customHeight="false" outlineLevel="0" collapsed="false">
      <c r="A8" s="8" t="n">
        <v>5</v>
      </c>
      <c r="B8" s="21"/>
      <c r="C8" s="10" t="s">
        <v>156</v>
      </c>
      <c r="D8" s="11" t="s">
        <v>155</v>
      </c>
      <c r="E8" s="21"/>
      <c r="F8" s="21"/>
      <c r="G8" s="21"/>
    </row>
    <row r="9" customFormat="false" ht="23.85" hidden="false" customHeight="false" outlineLevel="0" collapsed="false">
      <c r="A9" s="4" t="n">
        <v>6</v>
      </c>
      <c r="B9" s="24"/>
      <c r="C9" s="6" t="s">
        <v>157</v>
      </c>
      <c r="D9" s="7" t="s">
        <v>155</v>
      </c>
      <c r="E9" s="24"/>
      <c r="F9" s="24"/>
      <c r="G9" s="24"/>
    </row>
    <row r="10" customFormat="false" ht="23.85" hidden="false" customHeight="false" outlineLevel="0" collapsed="false">
      <c r="A10" s="8" t="n">
        <v>7</v>
      </c>
      <c r="B10" s="21"/>
      <c r="C10" s="10" t="s">
        <v>158</v>
      </c>
      <c r="D10" s="11" t="s">
        <v>155</v>
      </c>
      <c r="E10" s="21"/>
      <c r="F10" s="21"/>
      <c r="G10" s="21"/>
    </row>
    <row r="11" customFormat="false" ht="23.85" hidden="false" customHeight="false" outlineLevel="0" collapsed="false">
      <c r="A11" s="4" t="n">
        <v>8</v>
      </c>
      <c r="B11" s="24"/>
      <c r="C11" s="6" t="s">
        <v>159</v>
      </c>
      <c r="D11" s="7" t="s">
        <v>155</v>
      </c>
      <c r="E11" s="24"/>
      <c r="F11" s="24"/>
      <c r="G11" s="24"/>
    </row>
    <row r="12" customFormat="false" ht="23.85" hidden="false" customHeight="false" outlineLevel="0" collapsed="false">
      <c r="A12" s="8" t="n">
        <v>9</v>
      </c>
      <c r="B12" s="21"/>
      <c r="C12" s="10" t="s">
        <v>160</v>
      </c>
      <c r="D12" s="11" t="s">
        <v>155</v>
      </c>
      <c r="E12" s="21"/>
      <c r="F12" s="21"/>
      <c r="G12" s="21"/>
    </row>
    <row r="13" customFormat="false" ht="23.85" hidden="false" customHeight="false" outlineLevel="0" collapsed="false">
      <c r="A13" s="4" t="n">
        <v>10</v>
      </c>
      <c r="B13" s="24"/>
      <c r="C13" s="6" t="s">
        <v>161</v>
      </c>
      <c r="D13" s="7" t="s">
        <v>162</v>
      </c>
      <c r="E13" s="24"/>
      <c r="F13" s="24"/>
      <c r="G13" s="24"/>
    </row>
    <row r="14" customFormat="false" ht="23.85" hidden="false" customHeight="false" outlineLevel="0" collapsed="false">
      <c r="A14" s="8" t="n">
        <v>11</v>
      </c>
      <c r="B14" s="21"/>
      <c r="C14" s="10" t="s">
        <v>163</v>
      </c>
      <c r="D14" s="11" t="s">
        <v>162</v>
      </c>
      <c r="E14" s="21"/>
      <c r="F14" s="21"/>
      <c r="G14" s="21"/>
    </row>
    <row r="15" customFormat="false" ht="23.85" hidden="false" customHeight="false" outlineLevel="0" collapsed="false">
      <c r="A15" s="4" t="n">
        <v>12</v>
      </c>
      <c r="B15" s="24"/>
      <c r="C15" s="6" t="s">
        <v>164</v>
      </c>
      <c r="D15" s="7" t="s">
        <v>162</v>
      </c>
      <c r="E15" s="24"/>
      <c r="F15" s="24"/>
      <c r="G15" s="24"/>
    </row>
    <row r="17" customFormat="false" ht="25.5" hidden="false" customHeight="true" outlineLevel="0" collapsed="false">
      <c r="A17" s="12" t="s">
        <v>165</v>
      </c>
      <c r="B17" s="12"/>
      <c r="C17" s="12"/>
      <c r="D17" s="12"/>
      <c r="E17" s="12"/>
      <c r="F17" s="12"/>
      <c r="G17" s="12"/>
    </row>
    <row r="18" customFormat="false" ht="15" hidden="false" customHeight="true" outlineLevel="0" collapsed="false">
      <c r="A18" s="27" t="s">
        <v>166</v>
      </c>
      <c r="B18" s="27"/>
      <c r="C18" s="27"/>
      <c r="D18" s="56" t="n">
        <f aca="false">COUNTIF(E4:E15,"Done")</f>
        <v>0</v>
      </c>
      <c r="E18" s="29"/>
      <c r="F18" s="29"/>
      <c r="G18" s="29"/>
    </row>
    <row r="19" customFormat="false" ht="15" hidden="false" customHeight="true" outlineLevel="0" collapsed="false">
      <c r="A19" s="27" t="s">
        <v>167</v>
      </c>
      <c r="B19" s="27"/>
      <c r="C19" s="27"/>
      <c r="D19" s="56" t="n">
        <f aca="false">COUNTIF(E4:E15,"IP")</f>
        <v>0</v>
      </c>
      <c r="E19" s="29"/>
      <c r="F19" s="29"/>
      <c r="G19" s="29"/>
    </row>
    <row r="20" customFormat="false" ht="15" hidden="false" customHeight="true" outlineLevel="0" collapsed="false">
      <c r="A20" s="27" t="s">
        <v>168</v>
      </c>
      <c r="B20" s="27"/>
      <c r="C20" s="27"/>
      <c r="D20" s="56" t="n">
        <f aca="false">IFERROR(COUNTIF(E4:E15,"Done")/12*100,0)</f>
        <v>0</v>
      </c>
      <c r="E20" s="29"/>
      <c r="F20" s="29"/>
      <c r="G20" s="29"/>
    </row>
  </sheetData>
  <mergeCells count="5">
    <mergeCell ref="A1:G1"/>
    <mergeCell ref="A17:G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57" t="s">
        <v>169</v>
      </c>
      <c r="B1" s="57"/>
      <c r="C1" s="57"/>
      <c r="D1" s="57"/>
      <c r="E1" s="57"/>
      <c r="F1" s="57"/>
    </row>
    <row r="3" customFormat="false" ht="15" hidden="false" customHeight="false" outlineLevel="0" collapsed="false">
      <c r="A3" s="58" t="s">
        <v>61</v>
      </c>
      <c r="B3" s="58" t="s">
        <v>170</v>
      </c>
      <c r="C3" s="58" t="s">
        <v>66</v>
      </c>
      <c r="D3" s="58" t="s">
        <v>171</v>
      </c>
      <c r="E3" s="58" t="s">
        <v>172</v>
      </c>
      <c r="F3" s="58" t="s">
        <v>173</v>
      </c>
    </row>
    <row r="4" customFormat="false" ht="15" hidden="false" customHeight="false" outlineLevel="0" collapsed="false">
      <c r="A4" s="59" t="n">
        <v>1</v>
      </c>
      <c r="B4" s="14" t="s">
        <v>174</v>
      </c>
      <c r="C4" s="60"/>
      <c r="D4" s="60"/>
      <c r="E4" s="60"/>
      <c r="F4" s="59" t="s">
        <v>175</v>
      </c>
    </row>
    <row r="5" customFormat="false" ht="15" hidden="false" customHeight="false" outlineLevel="0" collapsed="false">
      <c r="A5" s="4" t="n">
        <v>2</v>
      </c>
      <c r="B5" s="5" t="s">
        <v>176</v>
      </c>
      <c r="C5" s="24"/>
      <c r="D5" s="24"/>
      <c r="E5" s="24"/>
      <c r="F5" s="4" t="s">
        <v>177</v>
      </c>
    </row>
    <row r="6" customFormat="false" ht="15" hidden="false" customHeight="false" outlineLevel="0" collapsed="false">
      <c r="A6" s="8" t="n">
        <v>3</v>
      </c>
      <c r="B6" s="9" t="s">
        <v>178</v>
      </c>
      <c r="C6" s="21"/>
      <c r="D6" s="21"/>
      <c r="E6" s="21"/>
      <c r="F6" s="8" t="s">
        <v>179</v>
      </c>
    </row>
    <row r="7" customFormat="false" ht="15" hidden="false" customHeight="false" outlineLevel="0" collapsed="false">
      <c r="A7" s="4" t="n">
        <v>4</v>
      </c>
      <c r="B7" s="5" t="s">
        <v>180</v>
      </c>
      <c r="C7" s="24"/>
      <c r="D7" s="24"/>
      <c r="E7" s="24"/>
      <c r="F7" s="4" t="s">
        <v>181</v>
      </c>
    </row>
    <row r="8" customFormat="false" ht="15" hidden="false" customHeight="false" outlineLevel="0" collapsed="false">
      <c r="A8" s="8" t="n">
        <v>5</v>
      </c>
      <c r="B8" s="9" t="s">
        <v>30</v>
      </c>
      <c r="C8" s="21"/>
      <c r="D8" s="21"/>
      <c r="E8" s="21"/>
      <c r="F8" s="8" t="s">
        <v>32</v>
      </c>
    </row>
    <row r="9" customFormat="false" ht="15" hidden="false" customHeight="false" outlineLevel="0" collapsed="false">
      <c r="A9" s="4" t="n">
        <v>1</v>
      </c>
      <c r="B9" s="24"/>
      <c r="C9" s="24"/>
      <c r="D9" s="24"/>
      <c r="E9" s="24"/>
      <c r="F9" s="24"/>
    </row>
    <row r="10" customFormat="false" ht="15" hidden="false" customHeight="false" outlineLevel="0" collapsed="false">
      <c r="A10" s="8" t="n">
        <v>2</v>
      </c>
      <c r="B10" s="21"/>
      <c r="C10" s="21"/>
      <c r="D10" s="21"/>
      <c r="E10" s="21"/>
      <c r="F10" s="21"/>
    </row>
    <row r="11" customFormat="false" ht="15" hidden="false" customHeight="false" outlineLevel="0" collapsed="false">
      <c r="A11" s="4" t="n">
        <v>3</v>
      </c>
      <c r="B11" s="24"/>
      <c r="C11" s="24"/>
      <c r="D11" s="24"/>
      <c r="E11" s="24"/>
      <c r="F11" s="24"/>
    </row>
    <row r="12" customFormat="false" ht="15" hidden="false" customHeight="false" outlineLevel="0" collapsed="false">
      <c r="A12" s="8" t="n">
        <v>4</v>
      </c>
      <c r="B12" s="21"/>
      <c r="C12" s="21"/>
      <c r="D12" s="21"/>
      <c r="E12" s="21"/>
      <c r="F12" s="21"/>
    </row>
    <row r="13" customFormat="false" ht="15" hidden="false" customHeight="false" outlineLevel="0" collapsed="false">
      <c r="A13" s="4" t="n">
        <v>5</v>
      </c>
      <c r="B13" s="24"/>
      <c r="C13" s="24"/>
      <c r="D13" s="24"/>
      <c r="E13" s="24"/>
      <c r="F13" s="24"/>
    </row>
    <row r="14" customFormat="false" ht="15" hidden="false" customHeight="false" outlineLevel="0" collapsed="false">
      <c r="A14" s="8" t="n">
        <v>6</v>
      </c>
      <c r="B14" s="21"/>
      <c r="C14" s="21"/>
      <c r="D14" s="21"/>
      <c r="E14" s="21"/>
      <c r="F14" s="21"/>
    </row>
    <row r="15" customFormat="false" ht="15" hidden="false" customHeight="false" outlineLevel="0" collapsed="false">
      <c r="A15" s="4" t="n">
        <v>7</v>
      </c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8" t="n">
        <v>8</v>
      </c>
      <c r="B16" s="21"/>
      <c r="C16" s="21"/>
      <c r="D16" s="21"/>
      <c r="E16" s="21"/>
      <c r="F16" s="21"/>
    </row>
    <row r="17" customFormat="false" ht="15" hidden="false" customHeight="false" outlineLevel="0" collapsed="false">
      <c r="A17" s="4" t="n">
        <v>9</v>
      </c>
      <c r="B17" s="24"/>
      <c r="C17" s="24"/>
      <c r="D17" s="24"/>
      <c r="E17" s="24"/>
      <c r="F17" s="24"/>
    </row>
    <row r="18" customFormat="false" ht="15" hidden="false" customHeight="false" outlineLevel="0" collapsed="false">
      <c r="A18" s="8" t="n">
        <v>10</v>
      </c>
      <c r="B18" s="21"/>
      <c r="C18" s="21"/>
      <c r="D18" s="21"/>
      <c r="E18" s="21"/>
      <c r="F18" s="21"/>
    </row>
    <row r="19" customFormat="false" ht="15" hidden="false" customHeight="false" outlineLevel="0" collapsed="false">
      <c r="A19" s="4" t="n">
        <v>11</v>
      </c>
      <c r="B19" s="24"/>
      <c r="C19" s="24"/>
      <c r="D19" s="24"/>
      <c r="E19" s="24"/>
      <c r="F19" s="24"/>
    </row>
    <row r="20" customFormat="false" ht="15" hidden="false" customHeight="false" outlineLevel="0" collapsed="false">
      <c r="A20" s="8" t="n">
        <v>12</v>
      </c>
      <c r="B20" s="21"/>
      <c r="C20" s="21"/>
      <c r="D20" s="21"/>
      <c r="E20" s="21"/>
      <c r="F20" s="21"/>
    </row>
    <row r="21" customFormat="false" ht="15" hidden="false" customHeight="false" outlineLevel="0" collapsed="false">
      <c r="A21" s="4" t="n">
        <v>13</v>
      </c>
      <c r="B21" s="24"/>
      <c r="C21" s="24"/>
      <c r="D21" s="24"/>
      <c r="E21" s="24"/>
      <c r="F21" s="24"/>
    </row>
    <row r="22" customFormat="false" ht="15" hidden="false" customHeight="false" outlineLevel="0" collapsed="false">
      <c r="A22" s="8" t="n">
        <v>14</v>
      </c>
      <c r="B22" s="21"/>
      <c r="C22" s="21"/>
      <c r="D22" s="21"/>
      <c r="E22" s="21"/>
      <c r="F22" s="21"/>
    </row>
    <row r="23" customFormat="false" ht="15" hidden="false" customHeight="false" outlineLevel="0" collapsed="false">
      <c r="A23" s="4" t="n">
        <v>15</v>
      </c>
      <c r="B23" s="24"/>
      <c r="C23" s="24"/>
      <c r="D23" s="24"/>
      <c r="E23" s="24"/>
      <c r="F23" s="2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33.75" hidden="false" customHeight="true" outlineLevel="0" collapsed="false">
      <c r="A1" s="1" t="s">
        <v>182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2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</row>
    <row r="4" customFormat="false" ht="49.5" hidden="false" customHeight="true" outlineLevel="0" collapsed="false">
      <c r="A4" s="8" t="n">
        <v>1</v>
      </c>
      <c r="B4" s="9" t="s">
        <v>188</v>
      </c>
      <c r="C4" s="11" t="s">
        <v>189</v>
      </c>
      <c r="D4" s="10" t="s">
        <v>190</v>
      </c>
      <c r="E4" s="10" t="s">
        <v>191</v>
      </c>
      <c r="F4" s="21"/>
    </row>
    <row r="5" customFormat="false" ht="49.5" hidden="false" customHeight="true" outlineLevel="0" collapsed="false">
      <c r="A5" s="4" t="n">
        <v>2</v>
      </c>
      <c r="B5" s="5" t="s">
        <v>192</v>
      </c>
      <c r="C5" s="7" t="s">
        <v>189</v>
      </c>
      <c r="D5" s="6" t="s">
        <v>193</v>
      </c>
      <c r="E5" s="6" t="s">
        <v>194</v>
      </c>
      <c r="F5" s="24"/>
    </row>
    <row r="6" customFormat="false" ht="49.5" hidden="false" customHeight="true" outlineLevel="0" collapsed="false">
      <c r="A6" s="8" t="n">
        <v>3</v>
      </c>
      <c r="B6" s="9" t="s">
        <v>195</v>
      </c>
      <c r="C6" s="11" t="s">
        <v>196</v>
      </c>
      <c r="D6" s="10" t="s">
        <v>197</v>
      </c>
      <c r="E6" s="10" t="s">
        <v>198</v>
      </c>
      <c r="F6" s="21"/>
    </row>
    <row r="7" customFormat="false" ht="49.5" hidden="false" customHeight="true" outlineLevel="0" collapsed="false">
      <c r="A7" s="4" t="n">
        <v>4</v>
      </c>
      <c r="B7" s="5" t="s">
        <v>199</v>
      </c>
      <c r="C7" s="7" t="s">
        <v>189</v>
      </c>
      <c r="D7" s="6" t="s">
        <v>200</v>
      </c>
      <c r="E7" s="6" t="s">
        <v>201</v>
      </c>
      <c r="F7" s="24"/>
    </row>
    <row r="8" customFormat="false" ht="49.5" hidden="false" customHeight="true" outlineLevel="0" collapsed="false">
      <c r="A8" s="8" t="n">
        <v>5</v>
      </c>
      <c r="B8" s="9" t="s">
        <v>202</v>
      </c>
      <c r="C8" s="11" t="s">
        <v>196</v>
      </c>
      <c r="D8" s="10" t="s">
        <v>203</v>
      </c>
      <c r="E8" s="10" t="s">
        <v>204</v>
      </c>
      <c r="F8" s="21"/>
    </row>
    <row r="9" customFormat="false" ht="49.5" hidden="false" customHeight="true" outlineLevel="0" collapsed="false">
      <c r="A9" s="4" t="n">
        <v>6</v>
      </c>
      <c r="B9" s="5" t="s">
        <v>205</v>
      </c>
      <c r="C9" s="7" t="s">
        <v>196</v>
      </c>
      <c r="D9" s="6" t="s">
        <v>206</v>
      </c>
      <c r="E9" s="6" t="s">
        <v>207</v>
      </c>
      <c r="F9" s="24"/>
    </row>
    <row r="10" customFormat="false" ht="49.5" hidden="false" customHeight="true" outlineLevel="0" collapsed="false">
      <c r="A10" s="8" t="n">
        <v>7</v>
      </c>
      <c r="B10" s="9" t="s">
        <v>208</v>
      </c>
      <c r="C10" s="11" t="s">
        <v>209</v>
      </c>
      <c r="D10" s="10" t="s">
        <v>210</v>
      </c>
      <c r="E10" s="10" t="s">
        <v>211</v>
      </c>
      <c r="F10" s="21"/>
    </row>
    <row r="11" customFormat="false" ht="49.5" hidden="false" customHeight="true" outlineLevel="0" collapsed="false">
      <c r="A11" s="4" t="n">
        <v>8</v>
      </c>
      <c r="B11" s="5" t="s">
        <v>212</v>
      </c>
      <c r="C11" s="7" t="s">
        <v>196</v>
      </c>
      <c r="D11" s="6" t="s">
        <v>213</v>
      </c>
      <c r="E11" s="6" t="s">
        <v>214</v>
      </c>
      <c r="F11" s="2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8" t="s">
        <v>215</v>
      </c>
      <c r="B1" s="18"/>
      <c r="C1" s="18"/>
      <c r="D1" s="18"/>
      <c r="E1" s="18"/>
      <c r="F1" s="18"/>
    </row>
    <row r="2" customFormat="false" ht="25.5" hidden="false" customHeight="true" outlineLevel="0" collapsed="false">
      <c r="A2" s="61" t="s">
        <v>216</v>
      </c>
      <c r="B2" s="61"/>
      <c r="C2" s="61"/>
      <c r="D2" s="61"/>
      <c r="E2" s="61"/>
      <c r="F2" s="61"/>
    </row>
    <row r="3" customFormat="false" ht="15" hidden="false" customHeight="false" outlineLevel="0" collapsed="false">
      <c r="A3" s="20" t="s">
        <v>2</v>
      </c>
      <c r="B3" s="20" t="s">
        <v>217</v>
      </c>
      <c r="C3" s="20" t="s">
        <v>218</v>
      </c>
      <c r="D3" s="20" t="s">
        <v>219</v>
      </c>
      <c r="E3" s="20" t="s">
        <v>220</v>
      </c>
      <c r="F3" s="20" t="s">
        <v>221</v>
      </c>
    </row>
    <row r="4" customFormat="false" ht="31.5" hidden="false" customHeight="true" outlineLevel="0" collapsed="false">
      <c r="A4" s="8" t="n">
        <v>1</v>
      </c>
      <c r="B4" s="9" t="s">
        <v>222</v>
      </c>
      <c r="C4" s="10" t="s">
        <v>223</v>
      </c>
      <c r="D4" s="21"/>
      <c r="E4" s="21"/>
      <c r="F4" s="21"/>
    </row>
    <row r="5" customFormat="false" ht="31.5" hidden="false" customHeight="true" outlineLevel="0" collapsed="false">
      <c r="A5" s="4" t="n">
        <v>2</v>
      </c>
      <c r="B5" s="5" t="s">
        <v>224</v>
      </c>
      <c r="C5" s="6" t="s">
        <v>225</v>
      </c>
      <c r="D5" s="24"/>
      <c r="E5" s="24"/>
      <c r="F5" s="24"/>
    </row>
    <row r="6" customFormat="false" ht="31.5" hidden="false" customHeight="true" outlineLevel="0" collapsed="false">
      <c r="A6" s="8" t="n">
        <v>3</v>
      </c>
      <c r="B6" s="9" t="s">
        <v>226</v>
      </c>
      <c r="C6" s="10" t="s">
        <v>227</v>
      </c>
      <c r="D6" s="21"/>
      <c r="E6" s="21"/>
      <c r="F6" s="21"/>
    </row>
    <row r="7" customFormat="false" ht="31.5" hidden="false" customHeight="true" outlineLevel="0" collapsed="false">
      <c r="A7" s="4" t="n">
        <v>4</v>
      </c>
      <c r="B7" s="5" t="s">
        <v>228</v>
      </c>
      <c r="C7" s="6" t="s">
        <v>229</v>
      </c>
      <c r="D7" s="24"/>
      <c r="E7" s="24"/>
      <c r="F7" s="24"/>
    </row>
    <row r="8" customFormat="false" ht="31.5" hidden="false" customHeight="true" outlineLevel="0" collapsed="false">
      <c r="A8" s="8" t="n">
        <v>5</v>
      </c>
      <c r="B8" s="9" t="s">
        <v>230</v>
      </c>
      <c r="C8" s="10" t="s">
        <v>231</v>
      </c>
      <c r="D8" s="21"/>
      <c r="E8" s="21"/>
      <c r="F8" s="21"/>
    </row>
    <row r="9" customFormat="false" ht="31.5" hidden="false" customHeight="true" outlineLevel="0" collapsed="false">
      <c r="A9" s="4" t="n">
        <v>6</v>
      </c>
      <c r="B9" s="5" t="s">
        <v>232</v>
      </c>
      <c r="C9" s="6" t="s">
        <v>233</v>
      </c>
      <c r="D9" s="24"/>
      <c r="E9" s="24"/>
      <c r="F9" s="24"/>
    </row>
    <row r="10" customFormat="false" ht="31.5" hidden="false" customHeight="true" outlineLevel="0" collapsed="false">
      <c r="A10" s="8" t="n">
        <v>7</v>
      </c>
      <c r="B10" s="9" t="s">
        <v>234</v>
      </c>
      <c r="C10" s="10" t="s">
        <v>235</v>
      </c>
      <c r="D10" s="21"/>
      <c r="E10" s="21"/>
      <c r="F10" s="21"/>
    </row>
    <row r="11" customFormat="false" ht="31.5" hidden="false" customHeight="true" outlineLevel="0" collapsed="false">
      <c r="A11" s="4" t="n">
        <v>8</v>
      </c>
      <c r="B11" s="5" t="s">
        <v>236</v>
      </c>
      <c r="C11" s="6" t="s">
        <v>237</v>
      </c>
      <c r="D11" s="24"/>
      <c r="E11" s="24"/>
      <c r="F11" s="24"/>
    </row>
    <row r="12" customFormat="false" ht="31.5" hidden="false" customHeight="true" outlineLevel="0" collapsed="false">
      <c r="A12" s="8" t="n">
        <v>9</v>
      </c>
      <c r="B12" s="9" t="s">
        <v>238</v>
      </c>
      <c r="C12" s="10" t="s">
        <v>239</v>
      </c>
      <c r="D12" s="21"/>
      <c r="E12" s="21"/>
      <c r="F12" s="21"/>
    </row>
    <row r="13" customFormat="false" ht="31.5" hidden="false" customHeight="true" outlineLevel="0" collapsed="false">
      <c r="A13" s="4" t="n">
        <v>10</v>
      </c>
      <c r="B13" s="5" t="s">
        <v>240</v>
      </c>
      <c r="C13" s="6" t="s">
        <v>241</v>
      </c>
      <c r="D13" s="24"/>
      <c r="E13" s="24"/>
      <c r="F13" s="24"/>
    </row>
    <row r="14" customFormat="false" ht="31.5" hidden="false" customHeight="true" outlineLevel="0" collapsed="false">
      <c r="A14" s="8" t="n">
        <v>11</v>
      </c>
      <c r="B14" s="9" t="s">
        <v>242</v>
      </c>
      <c r="C14" s="10" t="s">
        <v>243</v>
      </c>
      <c r="D14" s="21"/>
      <c r="E14" s="21"/>
      <c r="F14" s="21"/>
    </row>
    <row r="15" customFormat="false" ht="31.5" hidden="false" customHeight="true" outlineLevel="0" collapsed="false">
      <c r="A15" s="4" t="n">
        <v>12</v>
      </c>
      <c r="B15" s="5" t="s">
        <v>244</v>
      </c>
      <c r="C15" s="6" t="s">
        <v>245</v>
      </c>
      <c r="D15" s="24"/>
      <c r="E15" s="24"/>
      <c r="F15" s="24"/>
    </row>
    <row r="16" customFormat="false" ht="31.5" hidden="false" customHeight="true" outlineLevel="0" collapsed="false">
      <c r="A16" s="8" t="n">
        <v>13</v>
      </c>
      <c r="B16" s="9" t="s">
        <v>246</v>
      </c>
      <c r="C16" s="10" t="s">
        <v>247</v>
      </c>
      <c r="D16" s="21"/>
      <c r="E16" s="21"/>
      <c r="F16" s="21"/>
    </row>
    <row r="17" customFormat="false" ht="31.5" hidden="false" customHeight="true" outlineLevel="0" collapsed="false">
      <c r="A17" s="4" t="n">
        <v>14</v>
      </c>
      <c r="B17" s="5" t="s">
        <v>248</v>
      </c>
      <c r="C17" s="6" t="s">
        <v>249</v>
      </c>
      <c r="D17" s="24"/>
      <c r="E17" s="24"/>
      <c r="F17" s="24"/>
    </row>
    <row r="18" customFormat="false" ht="31.5" hidden="false" customHeight="true" outlineLevel="0" collapsed="false">
      <c r="A18" s="8" t="n">
        <v>15</v>
      </c>
      <c r="B18" s="9" t="s">
        <v>250</v>
      </c>
      <c r="C18" s="10" t="s">
        <v>251</v>
      </c>
      <c r="D18" s="21"/>
      <c r="E18" s="21"/>
      <c r="F18" s="21"/>
    </row>
    <row r="19" customFormat="false" ht="31.5" hidden="false" customHeight="true" outlineLevel="0" collapsed="false">
      <c r="A19" s="4" t="n">
        <v>16</v>
      </c>
      <c r="B19" s="5" t="s">
        <v>252</v>
      </c>
      <c r="C19" s="6" t="s">
        <v>253</v>
      </c>
      <c r="D19" s="24"/>
      <c r="E19" s="24"/>
      <c r="F19" s="24"/>
    </row>
    <row r="20" customFormat="false" ht="31.5" hidden="false" customHeight="true" outlineLevel="0" collapsed="false">
      <c r="A20" s="8" t="n">
        <v>17</v>
      </c>
      <c r="B20" s="9" t="s">
        <v>254</v>
      </c>
      <c r="C20" s="10" t="s">
        <v>255</v>
      </c>
      <c r="D20" s="21"/>
      <c r="E20" s="21"/>
      <c r="F20" s="21"/>
    </row>
    <row r="21" customFormat="false" ht="31.5" hidden="false" customHeight="true" outlineLevel="0" collapsed="false">
      <c r="A21" s="4" t="n">
        <v>18</v>
      </c>
      <c r="B21" s="5" t="s">
        <v>256</v>
      </c>
      <c r="C21" s="6" t="s">
        <v>257</v>
      </c>
      <c r="D21" s="24"/>
      <c r="E21" s="24"/>
      <c r="F21" s="24"/>
    </row>
    <row r="22" customFormat="false" ht="31.5" hidden="false" customHeight="true" outlineLevel="0" collapsed="false">
      <c r="A22" s="8" t="n">
        <v>19</v>
      </c>
      <c r="B22" s="9" t="s">
        <v>258</v>
      </c>
      <c r="C22" s="10" t="s">
        <v>259</v>
      </c>
      <c r="D22" s="21"/>
      <c r="E22" s="21"/>
      <c r="F22" s="21"/>
    </row>
    <row r="23" customFormat="false" ht="31.5" hidden="false" customHeight="true" outlineLevel="0" collapsed="false">
      <c r="A23" s="4" t="n">
        <v>20</v>
      </c>
      <c r="B23" s="5" t="s">
        <v>260</v>
      </c>
      <c r="C23" s="6" t="s">
        <v>261</v>
      </c>
      <c r="D23" s="24"/>
      <c r="E23" s="24"/>
      <c r="F23" s="2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2026-05-19T14:12:35Z</dcterms:created>
  <dc:creator>openpyxl</dc:creator>
  <dc:description/>
  <dc:language>en-US</dc:language>
  <cp:lastModifiedBy/>
  <dcterms:modified xsi:type="dcterms:W3CDTF">2026-05-19T14:12:35Z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