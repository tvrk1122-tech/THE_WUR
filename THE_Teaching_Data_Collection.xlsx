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ching Reputation Survey" sheetId="1" state="visible" r:id="rId3"/>
    <sheet name="Staff-to-Student Ratio" sheetId="2" state="visible" r:id="rId4"/>
    <sheet name="Doctorate-to-Bachelors Ratio" sheetId="3" state="visible" r:id="rId5"/>
    <sheet name="Doctorates-to-Staff Ratio" sheetId="4" state="visible" r:id="rId6"/>
    <sheet name="Income-to-Staff Ratio" sheetId="5" state="visible" r:id="rId7"/>
    <sheet name="Composite Teaching Score" sheetId="6" state="visible" r:id="rId8"/>
    <sheet name="Year-on-Year Tracker" sheetId="7" state="visible" r:id="rId9"/>
    <sheet name="HEI Improvement Action Plan" sheetId="8" state="visible" r:id="rId10"/>
    <sheet name="Metadata &amp; Instruc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<sst xmlns="http://schemas.openxmlformats.org/spreadsheetml/2006/main" count="245" uniqueCount="192">
  <si>
    <t xml:space="preserve">THE Teaching — Reputation Survey (Academic Reputation for Teaching Excellence) — Weight: 15%</t>
  </si>
  <si>
    <t xml:space="preserve">Annual Academic Reputation Survey | Peer Assessment | Regional &amp; Disciplinary Distribution | Response Volume</t>
  </si>
  <si>
    <t xml:space="preserve">S.No.</t>
  </si>
  <si>
    <t xml:space="preserve">HEI Name</t>
  </si>
  <si>
    <t xml:space="preserve">Country</t>
  </si>
  <si>
    <t xml:space="preserve">Year</t>
  </si>
  <si>
    <t xml:space="preserve">Survey Responses Received</t>
  </si>
  <si>
    <t xml:space="preserve">Positive Teaching Mentions</t>
  </si>
  <si>
    <t xml:space="preserve">Teaching Reputation Score (0-100)</t>
  </si>
  <si>
    <t xml:space="preserve">Global Rank (Teaching Rep)</t>
  </si>
  <si>
    <t xml:space="preserve">National Rank (Teaching Rep)</t>
  </si>
  <si>
    <t xml:space="preserve">Subject Areas Covered</t>
  </si>
  <si>
    <t xml:space="preserve">Regional Distribution of Respondents</t>
  </si>
  <si>
    <t xml:space="preserve">Survey Methodology</t>
  </si>
  <si>
    <t xml:space="preserve">Data Source</t>
  </si>
  <si>
    <t xml:space="preserve">Remarks</t>
  </si>
  <si>
    <t xml:space="preserve">THE Teaching — Staff-to-Student Ratio — Weight: 4.5%</t>
  </si>
  <si>
    <t xml:space="preserve">Academic Staff FTE / Student FTE | Proxy for Teaching Commitment &amp; Classroom Attention | Lower Ratio = Better</t>
  </si>
  <si>
    <t xml:space="preserve">Total Academic Staff (FTE)</t>
  </si>
  <si>
    <t xml:space="preserve">Total Enrolled Students (FTE)</t>
  </si>
  <si>
    <t xml:space="preserve">Staff-to-Student Ratio</t>
  </si>
  <si>
    <t xml:space="preserve">Ratio Score (0-100)</t>
  </si>
  <si>
    <t xml:space="preserve">UG Students (FTE)</t>
  </si>
  <si>
    <t xml:space="preserve">PG Students (FTE)</t>
  </si>
  <si>
    <t xml:space="preserve">PhD Students (FTE)</t>
  </si>
  <si>
    <t xml:space="preserve">Part-Time Faculty (FTE)</t>
  </si>
  <si>
    <t xml:space="preserve">THE Teaching — Doctorate-to-Bachelor's Ratio — Weight: 2.25%</t>
  </si>
  <si>
    <t xml:space="preserve">Doctorates Awarded / Bachelors Awarded | Indicates Research-Informed Teaching &amp; Postgraduate Culture</t>
  </si>
  <si>
    <t xml:space="preserve">Doctorates Awarded</t>
  </si>
  <si>
    <t xml:space="preserve">Bachelors Awarded</t>
  </si>
  <si>
    <t xml:space="preserve">Doctorate/Bachelor Ratio</t>
  </si>
  <si>
    <t xml:space="preserve">Masters Awarded</t>
  </si>
  <si>
    <t xml:space="preserve">Total Degrees Awarded</t>
  </si>
  <si>
    <t xml:space="preserve">% Doctoral of Total</t>
  </si>
  <si>
    <t xml:space="preserve">Research Students Enrolled</t>
  </si>
  <si>
    <t xml:space="preserve">THE Teaching — Doctorates Awarded-to-Academic Staff Ratio — Weight: 6%</t>
  </si>
  <si>
    <t xml:space="preserve">Doctorates Awarded / Academic Staff FTE | Measures Research Supervision Capacity &amp; PhD Productivity</t>
  </si>
  <si>
    <t xml:space="preserve">Academic Staff (FTE)</t>
  </si>
  <si>
    <t xml:space="preserve">Doctorate/Staff Ratio</t>
  </si>
  <si>
    <t xml:space="preserve">PhD Supervisors (No.)</t>
  </si>
  <si>
    <t xml:space="preserve">Avg PhD Duration (yrs)</t>
  </si>
  <si>
    <t xml:space="preserve">PhD Completion Rate (%)</t>
  </si>
  <si>
    <t xml:space="preserve">PhD Students Enrolled</t>
  </si>
  <si>
    <t xml:space="preserve">THE Teaching — Institutional Income per Academic Staff (PPP) — Weight: 2.25%</t>
  </si>
  <si>
    <t xml:space="preserve">Total Institutional Income (PPP) / Academic Staff FTE | Proxy for Teaching Infrastructure &amp; Resource Availability</t>
  </si>
  <si>
    <t xml:space="preserve">Total Institutional Income (USD PPP)</t>
  </si>
  <si>
    <t xml:space="preserve">Income per Staff (USD PPP)</t>
  </si>
  <si>
    <t xml:space="preserve">Score (0-100)</t>
  </si>
  <si>
    <t xml:space="preserve">Govt Funding (%)</t>
  </si>
  <si>
    <t xml:space="preserve">Tuition Revenue (%)</t>
  </si>
  <si>
    <t xml:space="preserve">Research Grants (%)</t>
  </si>
  <si>
    <t xml:space="preserve">Other Income (%)</t>
  </si>
  <si>
    <t xml:space="preserve">THE Teaching — Composite Score Calculation (30% of Overall THE World University Rankings)</t>
  </si>
  <si>
    <t xml:space="preserve">Reputation 15% | Staff:Student 4.5% | Doctorate:Bachelor 2.25% | Doctorate:Staff 6% | Income:Staff 2.25% = 30% Total</t>
  </si>
  <si>
    <t xml:space="preserve">Reputation Score (0-100)</t>
  </si>
  <si>
    <t xml:space="preserve">Staff:Student Score (0-100)</t>
  </si>
  <si>
    <t xml:space="preserve">Doct:Bachelor Score (0-100)</t>
  </si>
  <si>
    <t xml:space="preserve">Doct:Staff Score (0-100)</t>
  </si>
  <si>
    <t xml:space="preserve">Income:Staff Score (0-100)</t>
  </si>
  <si>
    <t xml:space="preserve">Weighted Reputation (15%)</t>
  </si>
  <si>
    <t xml:space="preserve">Weighted Staff:Student (4.5%)</t>
  </si>
  <si>
    <t xml:space="preserve">Weighted Doct:Bach (2.25%)</t>
  </si>
  <si>
    <t xml:space="preserve">Weighted Doct:Staff (6%)</t>
  </si>
  <si>
    <t xml:space="preserve">Weighted Income:Staff (2.25%)</t>
  </si>
  <si>
    <t xml:space="preserve">Total Teaching Score (30%)</t>
  </si>
  <si>
    <t xml:space="preserve">THE Teaching — Year-on-Year Performance Tracker (5-Year Trend)</t>
  </si>
  <si>
    <t xml:space="preserve">Track Annual Teaching Scores &amp; Component Trends | Identify Improvement Areas | Benchmark Against Peers</t>
  </si>
  <si>
    <t xml:space="preserve">Metric</t>
  </si>
  <si>
    <t xml:space="preserve">Year 1 Score</t>
  </si>
  <si>
    <t xml:space="preserve">Year 2 Score</t>
  </si>
  <si>
    <t xml:space="preserve">Year 3 Score</t>
  </si>
  <si>
    <t xml:space="preserve">Year 4 Score</t>
  </si>
  <si>
    <t xml:space="preserve">Year 5 Score</t>
  </si>
  <si>
    <t xml:space="preserve">5-Yr Change</t>
  </si>
  <si>
    <t xml:space="preserve">5-Yr Avg</t>
  </si>
  <si>
    <t xml:space="preserve">Best Score</t>
  </si>
  <si>
    <t xml:space="preserve">Worst Score</t>
  </si>
  <si>
    <t xml:space="preserve">Trend (↑/↓/→)</t>
  </si>
  <si>
    <t xml:space="preserve">Peer Benchmark</t>
  </si>
  <si>
    <t xml:space="preserve">Teaching Reputation (15%)</t>
  </si>
  <si>
    <t xml:space="preserve">Staff-to-Student Ratio (4.5%)</t>
  </si>
  <si>
    <t xml:space="preserve">Doctorate:Bachelor Ratio (2.25%)</t>
  </si>
  <si>
    <t xml:space="preserve">Doctorate:Staff Ratio (6%)</t>
  </si>
  <si>
    <t xml:space="preserve">Income:Staff Ratio (2.25%)</t>
  </si>
  <si>
    <t xml:space="preserve">Composite Teaching Score (30%)</t>
  </si>
  <si>
    <t xml:space="preserve">THE Teaching — HEI Improvement Action Plan &amp; Evidence Matrix</t>
  </si>
  <si>
    <t xml:space="preserve">Targeted Actions to Improve Each Teaching Indicator | Responsible | Timeline | Evidence | Status</t>
  </si>
  <si>
    <t xml:space="preserve">THE Indicator</t>
  </si>
  <si>
    <t xml:space="preserve">Current Gap / Issue</t>
  </si>
  <si>
    <t xml:space="preserve">Improvement Action</t>
  </si>
  <si>
    <t xml:space="preserve">Target Outcome</t>
  </si>
  <si>
    <t xml:space="preserve">Responsible Officer</t>
  </si>
  <si>
    <t xml:space="preserve">Timeline</t>
  </si>
  <si>
    <t xml:space="preserve">Evidence / Document</t>
  </si>
  <si>
    <t xml:space="preserve">Budget (INR Lakh)</t>
  </si>
  <si>
    <t xml:space="preserve">Status (✓/IP/✗)</t>
  </si>
  <si>
    <t xml:space="preserve">% Progress</t>
  </si>
  <si>
    <t xml:space="preserve">Low international visibility in surveys</t>
  </si>
  <si>
    <t xml:space="preserve">Increase international faculty exchange, collaborative publications, global conference participation</t>
  </si>
  <si>
    <t xml:space="preserve">Top 500 reputation score</t>
  </si>
  <si>
    <t xml:space="preserve">Low survey response volume</t>
  </si>
  <si>
    <t xml:space="preserve">Proactive engagement with THE survey; faculty awareness campaigns; alumni network outreach</t>
  </si>
  <si>
    <t xml:space="preserve">Increased responses</t>
  </si>
  <si>
    <t xml:space="preserve">Staff:Student Ratio (4.5%)</t>
  </si>
  <si>
    <t xml:space="preserve">High student-to-faculty ratio</t>
  </si>
  <si>
    <t xml:space="preserve">Recruit additional faculty; reduce batch sizes; increase FTE through adjunct/visiting faculty</t>
  </si>
  <si>
    <t xml:space="preserve">Ratio ≤15:1</t>
  </si>
  <si>
    <t xml:space="preserve">Part-time faculty not counted</t>
  </si>
  <si>
    <t xml:space="preserve">Convert part-time to full-time equivalent (FTE); accurate reporting to THE</t>
  </si>
  <si>
    <t xml:space="preserve">FTE properly reported</t>
  </si>
  <si>
    <t xml:space="preserve">Doct:Bachelor Ratio (2.25%)</t>
  </si>
  <si>
    <t xml:space="preserve">Low PhD output</t>
  </si>
  <si>
    <t xml:space="preserve">Expand PhD admissions; strengthen research supervisory capacity; offer fellowships</t>
  </si>
  <si>
    <t xml:space="preserve">PhD output +30%</t>
  </si>
  <si>
    <t xml:space="preserve">High dropout in doctoral programs</t>
  </si>
  <si>
    <t xml:space="preserve">Implement structured PhD programmes; progress reviews; mental health support</t>
  </si>
  <si>
    <t xml:space="preserve">Completion rate ≥80%</t>
  </si>
  <si>
    <t xml:space="preserve">Doct:Staff Ratio (6%)</t>
  </si>
  <si>
    <t xml:space="preserve">Low doctorates per faculty</t>
  </si>
  <si>
    <t xml:space="preserve">Incentivize faculty PhD supervision; reduce teaching load for active supervisors</t>
  </si>
  <si>
    <t xml:space="preserve">Ratio improving</t>
  </si>
  <si>
    <t xml:space="preserve">Limited research infrastructure</t>
  </si>
  <si>
    <t xml:space="preserve">Invest in labs, libraries, journal access, computing facilities for doctoral research</t>
  </si>
  <si>
    <t xml:space="preserve">Infrastructure upgraded</t>
  </si>
  <si>
    <t xml:space="preserve">Income:Staff (2.25%)</t>
  </si>
  <si>
    <t xml:space="preserve">Low institutional income</t>
  </si>
  <si>
    <t xml:space="preserve">Diversify revenue: consultancy, industry partnerships, CSR, international programmes</t>
  </si>
  <si>
    <t xml:space="preserve">Income per staff +25%</t>
  </si>
  <si>
    <t xml:space="preserve">Poor PPP reporting</t>
  </si>
  <si>
    <t xml:space="preserve">Accurate institutional income reporting in PPP terms; include all revenue streams</t>
  </si>
  <si>
    <t xml:space="preserve">PPP correctly reported</t>
  </si>
  <si>
    <t xml:space="preserve">Overall Teaching Score</t>
  </si>
  <si>
    <t xml:space="preserve">No dedicated THE coordination</t>
  </si>
  <si>
    <t xml:space="preserve">Establish THE Rankings Cell; assign data officer; quarterly review meetings</t>
  </si>
  <si>
    <t xml:space="preserve">Cell operational</t>
  </si>
  <si>
    <t xml:space="preserve">Weak NAAC/NIRF-THE alignment</t>
  </si>
  <si>
    <t xml:space="preserve">Map NAAC/NIRF data points to THE indicators; develop unified data collection system</t>
  </si>
  <si>
    <t xml:space="preserve">Alignment achieved</t>
  </si>
  <si>
    <t xml:space="preserve">THE World University Rankings — Teaching (Learning Environment) — Metadata &amp; Instructions</t>
  </si>
  <si>
    <t xml:space="preserve">THE Teaching Indicator Framework (30% of Overall Score)</t>
  </si>
  <si>
    <t xml:space="preserve">#</t>
  </si>
  <si>
    <t xml:space="preserve">Indicator</t>
  </si>
  <si>
    <t xml:space="preserve">Weight</t>
  </si>
  <si>
    <t xml:space="preserve">Description &amp; Calculation</t>
  </si>
  <si>
    <t xml:space="preserve">Key Data Points</t>
  </si>
  <si>
    <t xml:space="preserve">Freq.</t>
  </si>
  <si>
    <t xml:space="preserve">Teaching Reputation Survey</t>
  </si>
  <si>
    <t xml:space="preserve">15%</t>
  </si>
  <si>
    <t xml:space="preserve">Annual academic reputation survey conducted by THE (Elsevier). Peer assessment by global academics on teaching quality. Score 0-100 based on positive mentions weighted by region and discipline.</t>
  </si>
  <si>
    <t xml:space="preserve">Survey responses, positive mentions, regional distribution, discipline coverage</t>
  </si>
  <si>
    <t xml:space="preserve">Annual</t>
  </si>
  <si>
    <t xml:space="preserve">4.5%</t>
  </si>
  <si>
    <t xml:space="preserve">Academic staff FTE divided by student FTE. Lower ratio = better score. Proxy for teaching commitment and individual attention. Includes all FTE academic staff and enrolled students.</t>
  </si>
  <si>
    <t xml:space="preserve">Academic staff FTE, student FTE, UG/PG/PhD breakdown, part-time conversion</t>
  </si>
  <si>
    <t xml:space="preserve">Doctorate-to-Bachelor's Ratio</t>
  </si>
  <si>
    <t xml:space="preserve">2.25%</t>
  </si>
  <si>
    <t xml:space="preserve">Number of doctorates awarded divided by bachelors awarded. Indicates research-informed teaching environment. Higher ratio = more research-intensive and postgraduate culture.</t>
  </si>
  <si>
    <t xml:space="preserve">Doctorates awarded, bachelors awarded, masters awarded, total degrees</t>
  </si>
  <si>
    <t xml:space="preserve">Doctorates Awarded-to-Staff Ratio</t>
  </si>
  <si>
    <t xml:space="preserve">6%</t>
  </si>
  <si>
    <t xml:space="preserve">Number of doctorates awarded divided by academic staff FTE. Measures research supervision capacity and PhD productivity per faculty member.</t>
  </si>
  <si>
    <t xml:space="preserve">Doctorates awarded, academic staff FTE, PhD supervisors, completion rate, duration</t>
  </si>
  <si>
    <t xml:space="preserve">Institutional Income per Staff</t>
  </si>
  <si>
    <t xml:space="preserve">Total institutional income (PPP-adjusted) divided by academic staff FTE. Proxy for teaching infrastructure, resource availability, and institutional financial health.</t>
  </si>
  <si>
    <t xml:space="preserve">Total income (USD PPP), academic staff FTE, income breakdown (govt/tuition/research/other)</t>
  </si>
  <si>
    <t xml:space="preserve">—</t>
  </si>
  <si>
    <t xml:space="preserve">Composite Teaching Score</t>
  </si>
  <si>
    <t xml:space="preserve">30%</t>
  </si>
  <si>
    <t xml:space="preserve">Weighted sum: Reputation(15%) + Staff:Student(4.5%) + Doct:Bach(2.25%) + Doct:Staff(6%) + Income:Staff(2.25%). This pillar accounts for 30% of the overall THE World University Rankings score.</t>
  </si>
  <si>
    <t xml:space="preserve">All 5 component scores, weighted calculations, final composite</t>
  </si>
  <si>
    <t xml:space="preserve">Data Collection Instructions</t>
  </si>
  <si>
    <t xml:space="preserve">1. Blue font = INPUT. Black font = AUTO-CALCULATED — do NOT overwrite formulas.</t>
  </si>
  <si>
    <t xml:space="preserve">2. FTE = Full-Time Equivalent. Convert part-time staff/students using institutional FTE conversion factors.</t>
  </si>
  <si>
    <t xml:space="preserve">3. Teaching Reputation Survey: THE conducts annually via Elsevier. HEIs cannot directly control responses but can improve visibility through international collaboration, publications, and conference participation.</t>
  </si>
  <si>
    <t xml:space="preserve">4. Staff-to-Student Ratio: Include ALL academic staff (professors, associate/assistant professors, lecturers, researchers with teaching duties). Student FTE includes UG+PG+PhD.</t>
  </si>
  <si>
    <t xml:space="preserve">5. Doctorate-to-Bachelor's: Count degrees awarded in the reporting year. Include PhD, DLitt, DSc, professional doctorates. Bachelor's includes all UG degrees awarded.</t>
  </si>
  <si>
    <t xml:space="preserve">6. Doctorates-to-Staff: Same doctorate count as above. Staff FTE should match the staff-to-student denominator for consistency.</t>
  </si>
  <si>
    <t xml:space="preserve">7. Income per Staff: Total institutional income includes government funding, tuition fees, research grants, consultancy, donations, endowments. Report in PPP-adjusted USD.</t>
  </si>
  <si>
    <t xml:space="preserve">8. Composite Score: Auto-calculated using THE weights: 15% + 4.5% + 2.25% + 6% + 2.25% = 30% of total THE World University Rankings.</t>
  </si>
  <si>
    <t xml:space="preserve">9. Year-on-Year Tracker: Enter annual scores for 5-year trend analysis. 5-yr change, average, best, worst are auto-calculated.</t>
  </si>
  <si>
    <t xml:space="preserve">10. Action Plan: Document specific improvement actions for each indicator with responsible officer, timeline, budget, and evidence.</t>
  </si>
  <si>
    <t xml:space="preserve">11. THE submits data via Scopus/Elsevier academic survey and institutional data collection. Ensure accurate, timely submission.</t>
  </si>
  <si>
    <t xml:space="preserve">12. Peer Benchmarking: Compare against aspirational peer institutions; track relative improvement across ranking cycles.</t>
  </si>
  <si>
    <t xml:space="preserve">13. THE Teaching pillar contributes 30% to the overall World University Rankings alongside Research (30%), Citations (30%), International Outlook (7.5%), and Industry Income (2.5%).</t>
  </si>
  <si>
    <t xml:space="preserve">14. Validate: THE data portal, AISHE, NIRF submission, institutional annual reports, NAAC SSR, UGC data.</t>
  </si>
  <si>
    <t xml:space="preserve">THE Overall Rankings Pillar Structure (for context)</t>
  </si>
  <si>
    <t xml:space="preserve">• TEACHING (The Learning Environment) — 30%: Reputation Survey (15%) + Staff:Student (4.5%) + Doct:Bachelor (2.25%) + Doct:Staff (6%) + Income:Staff (2.25%)</t>
  </si>
  <si>
    <t xml:space="preserve">• RESEARCH ENVIRONMENT — 30%: Reputation Survey (18%) + Research Income (6%) + Research Productivity (6%)</t>
  </si>
  <si>
    <t xml:space="preserve">• RESEARCH QUALITY — 30%: Citation Impact (15%) + Research Strength (5%) + Research Excellence (5%) + Research Influence (5%)</t>
  </si>
  <si>
    <t xml:space="preserve">• INTERNATIONAL OUTLOOK — 7.5%: International Students (2.5%) + International Staff (2.5%) + International Co-authorship (2.5%)</t>
  </si>
  <si>
    <t xml:space="preserve">• INDUSTRY — 2.5%: Industry Income from Knowledge Transfer (2.5%)</t>
  </si>
  <si>
    <t xml:space="preserve">• TOTAL = 100% — Teaching 30% + Research Environment 30% + Research Quality 30% + International 7.5% + Industry 2.5%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</si>
</sst>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6A1B9A"/>
        <bgColor rgb="FF7B1FA2"/>
      </patternFill>
    </fill>
    <fill>
      <patternFill patternType="solid">
        <fgColor rgb="FF7B1FA2"/>
        <bgColor rgb="FF6A1B9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4A148C"/>
        <bgColor rgb="FF311B92"/>
      </patternFill>
    </fill>
    <fill>
      <patternFill patternType="solid">
        <fgColor rgb="FF311B92"/>
        <bgColor rgb="FF4A148C"/>
      </patternFill>
    </fill>
    <fill>
      <patternFill patternType="solid">
        <fgColor rgb="FF1B5E20"/>
        <bgColor rgb="FF006064"/>
      </patternFill>
    </fill>
    <fill>
      <patternFill patternType="solid">
        <fgColor rgb="FFE65100"/>
        <bgColor rgb="FF993300"/>
      </patternFill>
    </fill>
    <fill>
      <patternFill patternType="solid">
        <fgColor rgb="FF283593"/>
        <bgColor rgb="FF311B92"/>
      </patternFill>
    </fill>
    <fill>
      <patternFill patternType="solid">
        <fgColor rgb="FF37474F"/>
        <bgColor rgb="FF404040"/>
      </patternFill>
    </fill>
    <fill>
      <patternFill patternType="solid">
        <fgColor rgb="FF006064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311B92"/>
      <rgbColor rgb="FF808000"/>
      <rgbColor rgb="FF6A1B9A"/>
      <rgbColor rgb="FF006064"/>
      <rgbColor rgb="FFB4B4B4"/>
      <rgbColor rgb="FF808080"/>
      <rgbColor rgb="FF9999FF"/>
      <rgbColor rgb="FF993366"/>
      <rgbColor rgb="FFF2F2F2"/>
      <rgbColor rgb="FFCCFFFF"/>
      <rgbColor rgb="FF4A148C"/>
      <rgbColor rgb="FFFF8080"/>
      <rgbColor rgb="FF0066CC"/>
      <rgbColor rgb="FFCCCCFF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7474F"/>
      <rgbColor rgb="FF993300"/>
      <rgbColor rgb="FF993366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24"/>
    <col collapsed="false" customWidth="true" hidden="false" outlineLevel="0" max="7" min="7" style="1" width="28"/>
    <col collapsed="false" customWidth="true" hidden="false" outlineLevel="0" max="9" min="8" style="1" width="24"/>
    <col collapsed="false" customWidth="true" hidden="false" outlineLevel="0" max="10" min="10" style="1" width="22"/>
    <col collapsed="false" customWidth="true" hidden="false" outlineLevel="0" max="11" min="11" style="1" width="28"/>
    <col collapsed="false" customWidth="true" hidden="false" outlineLevel="0" max="12" min="12" style="1" width="22"/>
    <col collapsed="false" customWidth="true" hidden="false" outlineLevel="0" max="14" min="13" style="1" width="14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true" outlineLevel="0" collapsed="false">
      <c r="A5" s="5" t="n">
        <v>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customFormat="false" ht="15" hidden="false" customHeight="tru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15" hidden="false" customHeight="true" outlineLevel="0" collapsed="false">
      <c r="A7" s="5" t="n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customFormat="false" ht="15" hidden="false" customHeight="tru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5" hidden="false" customHeight="true" outlineLevel="0" collapsed="false">
      <c r="A9" s="5" t="n">
        <v>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15" hidden="false" customHeight="tru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15" hidden="false" customHeight="true" outlineLevel="0" collapsed="false">
      <c r="A11" s="5" t="n">
        <v>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5" hidden="false" customHeight="tru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5" hidden="false" customHeight="true" outlineLevel="0" collapsed="false">
      <c r="A13" s="5" t="n">
        <v>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customFormat="false" ht="15" hidden="false" customHeight="tru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5" hidden="false" customHeight="true" outlineLevel="0" collapsed="false">
      <c r="A15" s="5" t="n">
        <v>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15" hidden="false" customHeight="tru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5" hidden="false" customHeight="true" outlineLevel="0" collapsed="false">
      <c r="A17" s="5" t="n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customFormat="false" ht="15" hidden="false" customHeight="tru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5" hidden="false" customHeight="true" outlineLevel="0" collapsed="false">
      <c r="A19" s="5" t="n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customFormat="false" ht="15" hidden="false" customHeight="tru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5" hidden="false" customHeight="true" outlineLevel="0" collapsed="false">
      <c r="A21" s="5" t="n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customFormat="false" ht="15" hidden="false" customHeight="tru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5" hidden="false" customHeight="true" outlineLevel="0" collapsed="false">
      <c r="A23" s="5" t="n">
        <v>19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customFormat="false" ht="15" hidden="false" customHeight="tru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24"/>
    <col collapsed="false" customWidth="true" hidden="false" outlineLevel="0" max="8" min="7" style="1" width="22"/>
    <col collapsed="false" customWidth="true" hidden="false" outlineLevel="0" max="11" min="9" style="1" width="20"/>
    <col collapsed="false" customWidth="true" hidden="false" outlineLevel="0" max="12" min="12" style="1" width="22"/>
    <col collapsed="false" customWidth="true" hidden="false" outlineLevel="0" max="14" min="13" style="1" width="14"/>
  </cols>
  <sheetData>
    <row r="1" customFormat="false" ht="30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.75" hidden="false" customHeight="true" outlineLevel="0" collapsed="false">
      <c r="A2" s="3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3.25" hidden="false" customHeight="true" outlineLevel="0" collapsed="false">
      <c r="A4" s="9" t="s">
        <v>2</v>
      </c>
      <c r="B4" s="9" t="s">
        <v>3</v>
      </c>
      <c r="C4" s="9" t="s">
        <v>4</v>
      </c>
      <c r="D4" s="9" t="s">
        <v>5</v>
      </c>
      <c r="E4" s="9" t="s">
        <v>18</v>
      </c>
      <c r="F4" s="9" t="s">
        <v>19</v>
      </c>
      <c r="G4" s="9" t="s">
        <v>20</v>
      </c>
      <c r="H4" s="9" t="s">
        <v>21</v>
      </c>
      <c r="I4" s="9" t="s">
        <v>22</v>
      </c>
      <c r="J4" s="9" t="s">
        <v>23</v>
      </c>
      <c r="K4" s="9" t="s">
        <v>24</v>
      </c>
      <c r="L4" s="9" t="s">
        <v>25</v>
      </c>
      <c r="M4" s="9" t="s">
        <v>14</v>
      </c>
      <c r="N4" s="9" t="s">
        <v>15</v>
      </c>
    </row>
    <row r="5" customFormat="false" ht="15" hidden="false" customHeight="true" outlineLevel="0" collapsed="false">
      <c r="A5" s="5" t="n">
        <v>1</v>
      </c>
      <c r="B5" s="6"/>
      <c r="C5" s="6"/>
      <c r="D5" s="6"/>
      <c r="E5" s="6"/>
      <c r="F5" s="6"/>
      <c r="G5" s="10" t="n">
        <f aca="false">IF(F5&gt;0,E5/F5,0)</f>
        <v>0</v>
      </c>
      <c r="H5" s="6"/>
      <c r="I5" s="6"/>
      <c r="J5" s="6"/>
      <c r="K5" s="6"/>
      <c r="L5" s="6"/>
      <c r="M5" s="6"/>
      <c r="N5" s="6"/>
    </row>
    <row r="6" customFormat="false" ht="15" hidden="false" customHeight="true" outlineLevel="0" collapsed="false">
      <c r="A6" s="7" t="n">
        <v>2</v>
      </c>
      <c r="B6" s="8"/>
      <c r="C6" s="8"/>
      <c r="D6" s="8"/>
      <c r="E6" s="8"/>
      <c r="F6" s="8"/>
      <c r="G6" s="11" t="n">
        <f aca="false">IF(F6&gt;0,E6/F6,0)</f>
        <v>0</v>
      </c>
      <c r="H6" s="8"/>
      <c r="I6" s="8"/>
      <c r="J6" s="8"/>
      <c r="K6" s="8"/>
      <c r="L6" s="8"/>
      <c r="M6" s="8"/>
      <c r="N6" s="8"/>
    </row>
    <row r="7" customFormat="false" ht="15" hidden="false" customHeight="true" outlineLevel="0" collapsed="false">
      <c r="A7" s="5" t="n">
        <v>3</v>
      </c>
      <c r="B7" s="6"/>
      <c r="C7" s="6"/>
      <c r="D7" s="6"/>
      <c r="E7" s="6"/>
      <c r="F7" s="6"/>
      <c r="G7" s="10" t="n">
        <f aca="false">IF(F7&gt;0,E7/F7,0)</f>
        <v>0</v>
      </c>
      <c r="H7" s="6"/>
      <c r="I7" s="6"/>
      <c r="J7" s="6"/>
      <c r="K7" s="6"/>
      <c r="L7" s="6"/>
      <c r="M7" s="6"/>
      <c r="N7" s="6"/>
    </row>
    <row r="8" customFormat="false" ht="15" hidden="false" customHeight="true" outlineLevel="0" collapsed="false">
      <c r="A8" s="7" t="n">
        <v>4</v>
      </c>
      <c r="B8" s="8"/>
      <c r="C8" s="8"/>
      <c r="D8" s="8"/>
      <c r="E8" s="8"/>
      <c r="F8" s="8"/>
      <c r="G8" s="11" t="n">
        <f aca="false">IF(F8&gt;0,E8/F8,0)</f>
        <v>0</v>
      </c>
      <c r="H8" s="8"/>
      <c r="I8" s="8"/>
      <c r="J8" s="8"/>
      <c r="K8" s="8"/>
      <c r="L8" s="8"/>
      <c r="M8" s="8"/>
      <c r="N8" s="8"/>
    </row>
    <row r="9" customFormat="false" ht="15" hidden="false" customHeight="true" outlineLevel="0" collapsed="false">
      <c r="A9" s="5" t="n">
        <v>5</v>
      </c>
      <c r="B9" s="6"/>
      <c r="C9" s="6"/>
      <c r="D9" s="6"/>
      <c r="E9" s="6"/>
      <c r="F9" s="6"/>
      <c r="G9" s="10" t="n">
        <f aca="false">IF(F9&gt;0,E9/F9,0)</f>
        <v>0</v>
      </c>
      <c r="H9" s="6"/>
      <c r="I9" s="6"/>
      <c r="J9" s="6"/>
      <c r="K9" s="6"/>
      <c r="L9" s="6"/>
      <c r="M9" s="6"/>
      <c r="N9" s="6"/>
    </row>
    <row r="10" customFormat="false" ht="15" hidden="false" customHeight="true" outlineLevel="0" collapsed="false">
      <c r="A10" s="7" t="n">
        <v>6</v>
      </c>
      <c r="B10" s="8"/>
      <c r="C10" s="8"/>
      <c r="D10" s="8"/>
      <c r="E10" s="8"/>
      <c r="F10" s="8"/>
      <c r="G10" s="11" t="n">
        <f aca="false">IF(F10&gt;0,E10/F10,0)</f>
        <v>0</v>
      </c>
      <c r="H10" s="8"/>
      <c r="I10" s="8"/>
      <c r="J10" s="8"/>
      <c r="K10" s="8"/>
      <c r="L10" s="8"/>
      <c r="M10" s="8"/>
      <c r="N10" s="8"/>
    </row>
    <row r="11" customFormat="false" ht="15" hidden="false" customHeight="true" outlineLevel="0" collapsed="false">
      <c r="A11" s="5" t="n">
        <v>7</v>
      </c>
      <c r="B11" s="6"/>
      <c r="C11" s="6"/>
      <c r="D11" s="6"/>
      <c r="E11" s="6"/>
      <c r="F11" s="6"/>
      <c r="G11" s="10" t="n">
        <f aca="false">IF(F11&gt;0,E11/F11,0)</f>
        <v>0</v>
      </c>
      <c r="H11" s="6"/>
      <c r="I11" s="6"/>
      <c r="J11" s="6"/>
      <c r="K11" s="6"/>
      <c r="L11" s="6"/>
      <c r="M11" s="6"/>
      <c r="N11" s="6"/>
    </row>
    <row r="12" customFormat="false" ht="15" hidden="false" customHeight="true" outlineLevel="0" collapsed="false">
      <c r="A12" s="7" t="n">
        <v>8</v>
      </c>
      <c r="B12" s="8"/>
      <c r="C12" s="8"/>
      <c r="D12" s="8"/>
      <c r="E12" s="8"/>
      <c r="F12" s="8"/>
      <c r="G12" s="11" t="n">
        <f aca="false">IF(F12&gt;0,E12/F12,0)</f>
        <v>0</v>
      </c>
      <c r="H12" s="8"/>
      <c r="I12" s="8"/>
      <c r="J12" s="8"/>
      <c r="K12" s="8"/>
      <c r="L12" s="8"/>
      <c r="M12" s="8"/>
      <c r="N12" s="8"/>
    </row>
    <row r="13" customFormat="false" ht="15" hidden="false" customHeight="true" outlineLevel="0" collapsed="false">
      <c r="A13" s="5" t="n">
        <v>9</v>
      </c>
      <c r="B13" s="6"/>
      <c r="C13" s="6"/>
      <c r="D13" s="6"/>
      <c r="E13" s="6"/>
      <c r="F13" s="6"/>
      <c r="G13" s="10" t="n">
        <f aca="false">IF(F13&gt;0,E13/F13,0)</f>
        <v>0</v>
      </c>
      <c r="H13" s="6"/>
      <c r="I13" s="6"/>
      <c r="J13" s="6"/>
      <c r="K13" s="6"/>
      <c r="L13" s="6"/>
      <c r="M13" s="6"/>
      <c r="N13" s="6"/>
    </row>
    <row r="14" customFormat="false" ht="15" hidden="false" customHeight="true" outlineLevel="0" collapsed="false">
      <c r="A14" s="7" t="n">
        <v>10</v>
      </c>
      <c r="B14" s="8"/>
      <c r="C14" s="8"/>
      <c r="D14" s="8"/>
      <c r="E14" s="8"/>
      <c r="F14" s="8"/>
      <c r="G14" s="11" t="n">
        <f aca="false">IF(F14&gt;0,E14/F14,0)</f>
        <v>0</v>
      </c>
      <c r="H14" s="8"/>
      <c r="I14" s="8"/>
      <c r="J14" s="8"/>
      <c r="K14" s="8"/>
      <c r="L14" s="8"/>
      <c r="M14" s="8"/>
      <c r="N14" s="8"/>
    </row>
    <row r="15" customFormat="false" ht="15" hidden="false" customHeight="true" outlineLevel="0" collapsed="false">
      <c r="A15" s="5" t="n">
        <v>11</v>
      </c>
      <c r="B15" s="6"/>
      <c r="C15" s="6"/>
      <c r="D15" s="6"/>
      <c r="E15" s="6"/>
      <c r="F15" s="6"/>
      <c r="G15" s="10" t="n">
        <f aca="false">IF(F15&gt;0,E15/F15,0)</f>
        <v>0</v>
      </c>
      <c r="H15" s="6"/>
      <c r="I15" s="6"/>
      <c r="J15" s="6"/>
      <c r="K15" s="6"/>
      <c r="L15" s="6"/>
      <c r="M15" s="6"/>
      <c r="N15" s="6"/>
    </row>
    <row r="16" customFormat="false" ht="15" hidden="false" customHeight="true" outlineLevel="0" collapsed="false">
      <c r="A16" s="7" t="n">
        <v>12</v>
      </c>
      <c r="B16" s="8"/>
      <c r="C16" s="8"/>
      <c r="D16" s="8"/>
      <c r="E16" s="8"/>
      <c r="F16" s="8"/>
      <c r="G16" s="11" t="n">
        <f aca="false">IF(F16&gt;0,E16/F16,0)</f>
        <v>0</v>
      </c>
      <c r="H16" s="8"/>
      <c r="I16" s="8"/>
      <c r="J16" s="8"/>
      <c r="K16" s="8"/>
      <c r="L16" s="8"/>
      <c r="M16" s="8"/>
      <c r="N16" s="8"/>
    </row>
    <row r="17" customFormat="false" ht="15" hidden="false" customHeight="true" outlineLevel="0" collapsed="false">
      <c r="A17" s="5" t="n">
        <v>13</v>
      </c>
      <c r="B17" s="6"/>
      <c r="C17" s="6"/>
      <c r="D17" s="6"/>
      <c r="E17" s="6"/>
      <c r="F17" s="6"/>
      <c r="G17" s="10" t="n">
        <f aca="false">IF(F17&gt;0,E17/F17,0)</f>
        <v>0</v>
      </c>
      <c r="H17" s="6"/>
      <c r="I17" s="6"/>
      <c r="J17" s="6"/>
      <c r="K17" s="6"/>
      <c r="L17" s="6"/>
      <c r="M17" s="6"/>
      <c r="N17" s="6"/>
    </row>
    <row r="18" customFormat="false" ht="15" hidden="false" customHeight="true" outlineLevel="0" collapsed="false">
      <c r="A18" s="7" t="n">
        <v>14</v>
      </c>
      <c r="B18" s="8"/>
      <c r="C18" s="8"/>
      <c r="D18" s="8"/>
      <c r="E18" s="8"/>
      <c r="F18" s="8"/>
      <c r="G18" s="11" t="n">
        <f aca="false">IF(F18&gt;0,E18/F18,0)</f>
        <v>0</v>
      </c>
      <c r="H18" s="8"/>
      <c r="I18" s="8"/>
      <c r="J18" s="8"/>
      <c r="K18" s="8"/>
      <c r="L18" s="8"/>
      <c r="M18" s="8"/>
      <c r="N18" s="8"/>
    </row>
    <row r="19" customFormat="false" ht="15" hidden="false" customHeight="true" outlineLevel="0" collapsed="false">
      <c r="A19" s="5" t="n">
        <v>15</v>
      </c>
      <c r="B19" s="6"/>
      <c r="C19" s="6"/>
      <c r="D19" s="6"/>
      <c r="E19" s="6"/>
      <c r="F19" s="6"/>
      <c r="G19" s="10" t="n">
        <f aca="false">IF(F19&gt;0,E19/F19,0)</f>
        <v>0</v>
      </c>
      <c r="H19" s="6"/>
      <c r="I19" s="6"/>
      <c r="J19" s="6"/>
      <c r="K19" s="6"/>
      <c r="L19" s="6"/>
      <c r="M19" s="6"/>
      <c r="N19" s="6"/>
    </row>
    <row r="20" customFormat="false" ht="15" hidden="false" customHeight="true" outlineLevel="0" collapsed="false">
      <c r="A20" s="7" t="n">
        <v>16</v>
      </c>
      <c r="B20" s="8"/>
      <c r="C20" s="8"/>
      <c r="D20" s="8"/>
      <c r="E20" s="8"/>
      <c r="F20" s="8"/>
      <c r="G20" s="11" t="n">
        <f aca="false">IF(F20&gt;0,E20/F20,0)</f>
        <v>0</v>
      </c>
      <c r="H20" s="8"/>
      <c r="I20" s="8"/>
      <c r="J20" s="8"/>
      <c r="K20" s="8"/>
      <c r="L20" s="8"/>
      <c r="M20" s="8"/>
      <c r="N20" s="8"/>
    </row>
    <row r="21" customFormat="false" ht="15" hidden="false" customHeight="true" outlineLevel="0" collapsed="false">
      <c r="A21" s="5" t="n">
        <v>17</v>
      </c>
      <c r="B21" s="6"/>
      <c r="C21" s="6"/>
      <c r="D21" s="6"/>
      <c r="E21" s="6"/>
      <c r="F21" s="6"/>
      <c r="G21" s="10" t="n">
        <f aca="false">IF(F21&gt;0,E21/F21,0)</f>
        <v>0</v>
      </c>
      <c r="H21" s="6"/>
      <c r="I21" s="6"/>
      <c r="J21" s="6"/>
      <c r="K21" s="6"/>
      <c r="L21" s="6"/>
      <c r="M21" s="6"/>
      <c r="N21" s="6"/>
    </row>
    <row r="22" customFormat="false" ht="15" hidden="false" customHeight="true" outlineLevel="0" collapsed="false">
      <c r="A22" s="7" t="n">
        <v>18</v>
      </c>
      <c r="B22" s="8"/>
      <c r="C22" s="8"/>
      <c r="D22" s="8"/>
      <c r="E22" s="8"/>
      <c r="F22" s="8"/>
      <c r="G22" s="11" t="n">
        <f aca="false">IF(F22&gt;0,E22/F22,0)</f>
        <v>0</v>
      </c>
      <c r="H22" s="8"/>
      <c r="I22" s="8"/>
      <c r="J22" s="8"/>
      <c r="K22" s="8"/>
      <c r="L22" s="8"/>
      <c r="M22" s="8"/>
      <c r="N22" s="8"/>
    </row>
    <row r="23" customFormat="false" ht="15" hidden="false" customHeight="true" outlineLevel="0" collapsed="false">
      <c r="A23" s="5" t="n">
        <v>19</v>
      </c>
      <c r="B23" s="6"/>
      <c r="C23" s="6"/>
      <c r="D23" s="6"/>
      <c r="E23" s="6"/>
      <c r="F23" s="6"/>
      <c r="G23" s="10" t="n">
        <f aca="false">IF(F23&gt;0,E23/F23,0)</f>
        <v>0</v>
      </c>
      <c r="H23" s="6"/>
      <c r="I23" s="6"/>
      <c r="J23" s="6"/>
      <c r="K23" s="6"/>
      <c r="L23" s="6"/>
      <c r="M23" s="6"/>
      <c r="N23" s="6"/>
    </row>
    <row r="24" customFormat="false" ht="15" hidden="false" customHeight="true" outlineLevel="0" collapsed="false">
      <c r="A24" s="7" t="n">
        <v>20</v>
      </c>
      <c r="B24" s="8"/>
      <c r="C24" s="8"/>
      <c r="D24" s="8"/>
      <c r="E24" s="8"/>
      <c r="F24" s="8"/>
      <c r="G24" s="11" t="n">
        <f aca="false">IF(F24&gt;0,E24/F24,0)</f>
        <v>0</v>
      </c>
      <c r="H24" s="8"/>
      <c r="I24" s="8"/>
      <c r="J24" s="8"/>
      <c r="K24" s="8"/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1B92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22"/>
    <col collapsed="false" customWidth="true" hidden="false" outlineLevel="0" max="7" min="7" style="1" width="24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0" min="10" style="1" width="22"/>
    <col collapsed="false" customWidth="true" hidden="false" outlineLevel="0" max="11" min="11" style="1" width="20"/>
    <col collapsed="false" customWidth="true" hidden="false" outlineLevel="0" max="12" min="12" style="1" width="24"/>
    <col collapsed="false" customWidth="true" hidden="false" outlineLevel="0" max="14" min="13" style="1" width="14"/>
  </cols>
  <sheetData>
    <row r="1" customFormat="false" ht="30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.75" hidden="false" customHeight="true" outlineLevel="0" collapsed="false">
      <c r="A2" s="3" t="s">
        <v>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3.25" hidden="false" customHeight="true" outlineLevel="0" collapsed="false">
      <c r="A4" s="12" t="s">
        <v>2</v>
      </c>
      <c r="B4" s="12" t="s">
        <v>3</v>
      </c>
      <c r="C4" s="12" t="s">
        <v>4</v>
      </c>
      <c r="D4" s="12" t="s">
        <v>5</v>
      </c>
      <c r="E4" s="12" t="s">
        <v>28</v>
      </c>
      <c r="F4" s="12" t="s">
        <v>29</v>
      </c>
      <c r="G4" s="12" t="s">
        <v>30</v>
      </c>
      <c r="H4" s="12" t="s">
        <v>21</v>
      </c>
      <c r="I4" s="12" t="s">
        <v>31</v>
      </c>
      <c r="J4" s="12" t="s">
        <v>32</v>
      </c>
      <c r="K4" s="12" t="s">
        <v>33</v>
      </c>
      <c r="L4" s="12" t="s">
        <v>34</v>
      </c>
      <c r="M4" s="12" t="s">
        <v>14</v>
      </c>
      <c r="N4" s="12" t="s">
        <v>15</v>
      </c>
    </row>
    <row r="5" customFormat="false" ht="15" hidden="false" customHeight="true" outlineLevel="0" collapsed="false">
      <c r="A5" s="5" t="n">
        <v>1</v>
      </c>
      <c r="B5" s="6"/>
      <c r="C5" s="6"/>
      <c r="D5" s="6"/>
      <c r="E5" s="6"/>
      <c r="F5" s="6"/>
      <c r="G5" s="13" t="n">
        <f aca="false">IF(F5&gt;0,E5/F5,0)</f>
        <v>0</v>
      </c>
      <c r="H5" s="6"/>
      <c r="I5" s="6"/>
      <c r="J5" s="6"/>
      <c r="K5" s="14" t="n">
        <f aca="false">IF(J5&gt;0,E5/J5*100,0)</f>
        <v>0</v>
      </c>
      <c r="L5" s="6"/>
      <c r="M5" s="6"/>
      <c r="N5" s="6"/>
    </row>
    <row r="6" customFormat="false" ht="15" hidden="false" customHeight="true" outlineLevel="0" collapsed="false">
      <c r="A6" s="7" t="n">
        <v>2</v>
      </c>
      <c r="B6" s="8"/>
      <c r="C6" s="8"/>
      <c r="D6" s="8"/>
      <c r="E6" s="8"/>
      <c r="F6" s="8"/>
      <c r="G6" s="15" t="n">
        <f aca="false">IF(F6&gt;0,E6/F6,0)</f>
        <v>0</v>
      </c>
      <c r="H6" s="8"/>
      <c r="I6" s="8"/>
      <c r="J6" s="8"/>
      <c r="K6" s="16" t="n">
        <f aca="false">IF(J6&gt;0,E6/J6*100,0)</f>
        <v>0</v>
      </c>
      <c r="L6" s="8"/>
      <c r="M6" s="8"/>
      <c r="N6" s="8"/>
    </row>
    <row r="7" customFormat="false" ht="15" hidden="false" customHeight="true" outlineLevel="0" collapsed="false">
      <c r="A7" s="5" t="n">
        <v>3</v>
      </c>
      <c r="B7" s="6"/>
      <c r="C7" s="6"/>
      <c r="D7" s="6"/>
      <c r="E7" s="6"/>
      <c r="F7" s="6"/>
      <c r="G7" s="13" t="n">
        <f aca="false">IF(F7&gt;0,E7/F7,0)</f>
        <v>0</v>
      </c>
      <c r="H7" s="6"/>
      <c r="I7" s="6"/>
      <c r="J7" s="6"/>
      <c r="K7" s="14" t="n">
        <f aca="false">IF(J7&gt;0,E7/J7*100,0)</f>
        <v>0</v>
      </c>
      <c r="L7" s="6"/>
      <c r="M7" s="6"/>
      <c r="N7" s="6"/>
    </row>
    <row r="8" customFormat="false" ht="15" hidden="false" customHeight="true" outlineLevel="0" collapsed="false">
      <c r="A8" s="7" t="n">
        <v>4</v>
      </c>
      <c r="B8" s="8"/>
      <c r="C8" s="8"/>
      <c r="D8" s="8"/>
      <c r="E8" s="8"/>
      <c r="F8" s="8"/>
      <c r="G8" s="15" t="n">
        <f aca="false">IF(F8&gt;0,E8/F8,0)</f>
        <v>0</v>
      </c>
      <c r="H8" s="8"/>
      <c r="I8" s="8"/>
      <c r="J8" s="8"/>
      <c r="K8" s="16" t="n">
        <f aca="false">IF(J8&gt;0,E8/J8*100,0)</f>
        <v>0</v>
      </c>
      <c r="L8" s="8"/>
      <c r="M8" s="8"/>
      <c r="N8" s="8"/>
    </row>
    <row r="9" customFormat="false" ht="15" hidden="false" customHeight="true" outlineLevel="0" collapsed="false">
      <c r="A9" s="5" t="n">
        <v>5</v>
      </c>
      <c r="B9" s="6"/>
      <c r="C9" s="6"/>
      <c r="D9" s="6"/>
      <c r="E9" s="6"/>
      <c r="F9" s="6"/>
      <c r="G9" s="13" t="n">
        <f aca="false">IF(F9&gt;0,E9/F9,0)</f>
        <v>0</v>
      </c>
      <c r="H9" s="6"/>
      <c r="I9" s="6"/>
      <c r="J9" s="6"/>
      <c r="K9" s="14" t="n">
        <f aca="false">IF(J9&gt;0,E9/J9*100,0)</f>
        <v>0</v>
      </c>
      <c r="L9" s="6"/>
      <c r="M9" s="6"/>
      <c r="N9" s="6"/>
    </row>
    <row r="10" customFormat="false" ht="15" hidden="false" customHeight="true" outlineLevel="0" collapsed="false">
      <c r="A10" s="7" t="n">
        <v>6</v>
      </c>
      <c r="B10" s="8"/>
      <c r="C10" s="8"/>
      <c r="D10" s="8"/>
      <c r="E10" s="8"/>
      <c r="F10" s="8"/>
      <c r="G10" s="15" t="n">
        <f aca="false">IF(F10&gt;0,E10/F10,0)</f>
        <v>0</v>
      </c>
      <c r="H10" s="8"/>
      <c r="I10" s="8"/>
      <c r="J10" s="8"/>
      <c r="K10" s="16" t="n">
        <f aca="false">IF(J10&gt;0,E10/J10*100,0)</f>
        <v>0</v>
      </c>
      <c r="L10" s="8"/>
      <c r="M10" s="8"/>
      <c r="N10" s="8"/>
    </row>
    <row r="11" customFormat="false" ht="15" hidden="false" customHeight="true" outlineLevel="0" collapsed="false">
      <c r="A11" s="5" t="n">
        <v>7</v>
      </c>
      <c r="B11" s="6"/>
      <c r="C11" s="6"/>
      <c r="D11" s="6"/>
      <c r="E11" s="6"/>
      <c r="F11" s="6"/>
      <c r="G11" s="13" t="n">
        <f aca="false">IF(F11&gt;0,E11/F11,0)</f>
        <v>0</v>
      </c>
      <c r="H11" s="6"/>
      <c r="I11" s="6"/>
      <c r="J11" s="6"/>
      <c r="K11" s="14" t="n">
        <f aca="false">IF(J11&gt;0,E11/J11*100,0)</f>
        <v>0</v>
      </c>
      <c r="L11" s="6"/>
      <c r="M11" s="6"/>
      <c r="N11" s="6"/>
    </row>
    <row r="12" customFormat="false" ht="15" hidden="false" customHeight="true" outlineLevel="0" collapsed="false">
      <c r="A12" s="7" t="n">
        <v>8</v>
      </c>
      <c r="B12" s="8"/>
      <c r="C12" s="8"/>
      <c r="D12" s="8"/>
      <c r="E12" s="8"/>
      <c r="F12" s="8"/>
      <c r="G12" s="15" t="n">
        <f aca="false">IF(F12&gt;0,E12/F12,0)</f>
        <v>0</v>
      </c>
      <c r="H12" s="8"/>
      <c r="I12" s="8"/>
      <c r="J12" s="8"/>
      <c r="K12" s="16" t="n">
        <f aca="false">IF(J12&gt;0,E12/J12*100,0)</f>
        <v>0</v>
      </c>
      <c r="L12" s="8"/>
      <c r="M12" s="8"/>
      <c r="N12" s="8"/>
    </row>
    <row r="13" customFormat="false" ht="15" hidden="false" customHeight="true" outlineLevel="0" collapsed="false">
      <c r="A13" s="5" t="n">
        <v>9</v>
      </c>
      <c r="B13" s="6"/>
      <c r="C13" s="6"/>
      <c r="D13" s="6"/>
      <c r="E13" s="6"/>
      <c r="F13" s="6"/>
      <c r="G13" s="13" t="n">
        <f aca="false">IF(F13&gt;0,E13/F13,0)</f>
        <v>0</v>
      </c>
      <c r="H13" s="6"/>
      <c r="I13" s="6"/>
      <c r="J13" s="6"/>
      <c r="K13" s="14" t="n">
        <f aca="false">IF(J13&gt;0,E13/J13*100,0)</f>
        <v>0</v>
      </c>
      <c r="L13" s="6"/>
      <c r="M13" s="6"/>
      <c r="N13" s="6"/>
    </row>
    <row r="14" customFormat="false" ht="15" hidden="false" customHeight="true" outlineLevel="0" collapsed="false">
      <c r="A14" s="7" t="n">
        <v>10</v>
      </c>
      <c r="B14" s="8"/>
      <c r="C14" s="8"/>
      <c r="D14" s="8"/>
      <c r="E14" s="8"/>
      <c r="F14" s="8"/>
      <c r="G14" s="15" t="n">
        <f aca="false">IF(F14&gt;0,E14/F14,0)</f>
        <v>0</v>
      </c>
      <c r="H14" s="8"/>
      <c r="I14" s="8"/>
      <c r="J14" s="8"/>
      <c r="K14" s="16" t="n">
        <f aca="false">IF(J14&gt;0,E14/J14*100,0)</f>
        <v>0</v>
      </c>
      <c r="L14" s="8"/>
      <c r="M14" s="8"/>
      <c r="N14" s="8"/>
    </row>
    <row r="15" customFormat="false" ht="15" hidden="false" customHeight="true" outlineLevel="0" collapsed="false">
      <c r="A15" s="5" t="n">
        <v>11</v>
      </c>
      <c r="B15" s="6"/>
      <c r="C15" s="6"/>
      <c r="D15" s="6"/>
      <c r="E15" s="6"/>
      <c r="F15" s="6"/>
      <c r="G15" s="13" t="n">
        <f aca="false">IF(F15&gt;0,E15/F15,0)</f>
        <v>0</v>
      </c>
      <c r="H15" s="6"/>
      <c r="I15" s="6"/>
      <c r="J15" s="6"/>
      <c r="K15" s="14" t="n">
        <f aca="false">IF(J15&gt;0,E15/J15*100,0)</f>
        <v>0</v>
      </c>
      <c r="L15" s="6"/>
      <c r="M15" s="6"/>
      <c r="N15" s="6"/>
    </row>
    <row r="16" customFormat="false" ht="15" hidden="false" customHeight="true" outlineLevel="0" collapsed="false">
      <c r="A16" s="7" t="n">
        <v>12</v>
      </c>
      <c r="B16" s="8"/>
      <c r="C16" s="8"/>
      <c r="D16" s="8"/>
      <c r="E16" s="8"/>
      <c r="F16" s="8"/>
      <c r="G16" s="15" t="n">
        <f aca="false">IF(F16&gt;0,E16/F16,0)</f>
        <v>0</v>
      </c>
      <c r="H16" s="8"/>
      <c r="I16" s="8"/>
      <c r="J16" s="8"/>
      <c r="K16" s="16" t="n">
        <f aca="false">IF(J16&gt;0,E16/J16*100,0)</f>
        <v>0</v>
      </c>
      <c r="L16" s="8"/>
      <c r="M16" s="8"/>
      <c r="N16" s="8"/>
    </row>
    <row r="17" customFormat="false" ht="15" hidden="false" customHeight="true" outlineLevel="0" collapsed="false">
      <c r="A17" s="5" t="n">
        <v>13</v>
      </c>
      <c r="B17" s="6"/>
      <c r="C17" s="6"/>
      <c r="D17" s="6"/>
      <c r="E17" s="6"/>
      <c r="F17" s="6"/>
      <c r="G17" s="13" t="n">
        <f aca="false">IF(F17&gt;0,E17/F17,0)</f>
        <v>0</v>
      </c>
      <c r="H17" s="6"/>
      <c r="I17" s="6"/>
      <c r="J17" s="6"/>
      <c r="K17" s="14" t="n">
        <f aca="false">IF(J17&gt;0,E17/J17*100,0)</f>
        <v>0</v>
      </c>
      <c r="L17" s="6"/>
      <c r="M17" s="6"/>
      <c r="N17" s="6"/>
    </row>
    <row r="18" customFormat="false" ht="15" hidden="false" customHeight="true" outlineLevel="0" collapsed="false">
      <c r="A18" s="7" t="n">
        <v>14</v>
      </c>
      <c r="B18" s="8"/>
      <c r="C18" s="8"/>
      <c r="D18" s="8"/>
      <c r="E18" s="8"/>
      <c r="F18" s="8"/>
      <c r="G18" s="15" t="n">
        <f aca="false">IF(F18&gt;0,E18/F18,0)</f>
        <v>0</v>
      </c>
      <c r="H18" s="8"/>
      <c r="I18" s="8"/>
      <c r="J18" s="8"/>
      <c r="K18" s="16" t="n">
        <f aca="false">IF(J18&gt;0,E18/J18*100,0)</f>
        <v>0</v>
      </c>
      <c r="L18" s="8"/>
      <c r="M18" s="8"/>
      <c r="N18" s="8"/>
    </row>
    <row r="19" customFormat="false" ht="15" hidden="false" customHeight="true" outlineLevel="0" collapsed="false">
      <c r="A19" s="5" t="n">
        <v>15</v>
      </c>
      <c r="B19" s="6"/>
      <c r="C19" s="6"/>
      <c r="D19" s="6"/>
      <c r="E19" s="6"/>
      <c r="F19" s="6"/>
      <c r="G19" s="13" t="n">
        <f aca="false">IF(F19&gt;0,E19/F19,0)</f>
        <v>0</v>
      </c>
      <c r="H19" s="6"/>
      <c r="I19" s="6"/>
      <c r="J19" s="6"/>
      <c r="K19" s="14" t="n">
        <f aca="false">IF(J19&gt;0,E19/J19*100,0)</f>
        <v>0</v>
      </c>
      <c r="L19" s="6"/>
      <c r="M19" s="6"/>
      <c r="N19" s="6"/>
    </row>
    <row r="20" customFormat="false" ht="15" hidden="false" customHeight="true" outlineLevel="0" collapsed="false">
      <c r="A20" s="7" t="n">
        <v>16</v>
      </c>
      <c r="B20" s="8"/>
      <c r="C20" s="8"/>
      <c r="D20" s="8"/>
      <c r="E20" s="8"/>
      <c r="F20" s="8"/>
      <c r="G20" s="15" t="n">
        <f aca="false">IF(F20&gt;0,E20/F20,0)</f>
        <v>0</v>
      </c>
      <c r="H20" s="8"/>
      <c r="I20" s="8"/>
      <c r="J20" s="8"/>
      <c r="K20" s="16" t="n">
        <f aca="false">IF(J20&gt;0,E20/J20*100,0)</f>
        <v>0</v>
      </c>
      <c r="L20" s="8"/>
      <c r="M20" s="8"/>
      <c r="N20" s="8"/>
    </row>
    <row r="21" customFormat="false" ht="15" hidden="false" customHeight="true" outlineLevel="0" collapsed="false">
      <c r="A21" s="5" t="n">
        <v>17</v>
      </c>
      <c r="B21" s="6"/>
      <c r="C21" s="6"/>
      <c r="D21" s="6"/>
      <c r="E21" s="6"/>
      <c r="F21" s="6"/>
      <c r="G21" s="13" t="n">
        <f aca="false">IF(F21&gt;0,E21/F21,0)</f>
        <v>0</v>
      </c>
      <c r="H21" s="6"/>
      <c r="I21" s="6"/>
      <c r="J21" s="6"/>
      <c r="K21" s="14" t="n">
        <f aca="false">IF(J21&gt;0,E21/J21*100,0)</f>
        <v>0</v>
      </c>
      <c r="L21" s="6"/>
      <c r="M21" s="6"/>
      <c r="N21" s="6"/>
    </row>
    <row r="22" customFormat="false" ht="15" hidden="false" customHeight="true" outlineLevel="0" collapsed="false">
      <c r="A22" s="7" t="n">
        <v>18</v>
      </c>
      <c r="B22" s="8"/>
      <c r="C22" s="8"/>
      <c r="D22" s="8"/>
      <c r="E22" s="8"/>
      <c r="F22" s="8"/>
      <c r="G22" s="15" t="n">
        <f aca="false">IF(F22&gt;0,E22/F22,0)</f>
        <v>0</v>
      </c>
      <c r="H22" s="8"/>
      <c r="I22" s="8"/>
      <c r="J22" s="8"/>
      <c r="K22" s="16" t="n">
        <f aca="false">IF(J22&gt;0,E22/J22*100,0)</f>
        <v>0</v>
      </c>
      <c r="L22" s="8"/>
      <c r="M22" s="8"/>
      <c r="N22" s="8"/>
    </row>
    <row r="23" customFormat="false" ht="15" hidden="false" customHeight="true" outlineLevel="0" collapsed="false">
      <c r="A23" s="5" t="n">
        <v>19</v>
      </c>
      <c r="B23" s="6"/>
      <c r="C23" s="6"/>
      <c r="D23" s="6"/>
      <c r="E23" s="6"/>
      <c r="F23" s="6"/>
      <c r="G23" s="13" t="n">
        <f aca="false">IF(F23&gt;0,E23/F23,0)</f>
        <v>0</v>
      </c>
      <c r="H23" s="6"/>
      <c r="I23" s="6"/>
      <c r="J23" s="6"/>
      <c r="K23" s="14" t="n">
        <f aca="false">IF(J23&gt;0,E23/J23*100,0)</f>
        <v>0</v>
      </c>
      <c r="L23" s="6"/>
      <c r="M23" s="6"/>
      <c r="N23" s="6"/>
    </row>
    <row r="24" customFormat="false" ht="15" hidden="false" customHeight="true" outlineLevel="0" collapsed="false">
      <c r="A24" s="7" t="n">
        <v>20</v>
      </c>
      <c r="B24" s="8"/>
      <c r="C24" s="8"/>
      <c r="D24" s="8"/>
      <c r="E24" s="8"/>
      <c r="F24" s="8"/>
      <c r="G24" s="15" t="n">
        <f aca="false">IF(F24&gt;0,E24/F24,0)</f>
        <v>0</v>
      </c>
      <c r="H24" s="8"/>
      <c r="I24" s="8"/>
      <c r="J24" s="8"/>
      <c r="K24" s="16" t="n">
        <f aca="false">IF(J24&gt;0,E24/J24*100,0)</f>
        <v>0</v>
      </c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12" min="5" style="1" width="22"/>
    <col collapsed="false" customWidth="true" hidden="false" outlineLevel="0" max="14" min="13" style="1" width="14"/>
  </cols>
  <sheetData>
    <row r="1" customFormat="false" ht="30" hidden="false" customHeight="true" outlineLevel="0" collapsed="false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.75" hidden="false" customHeight="true" outlineLevel="0" collapsed="false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3.25" hidden="false" customHeight="true" outlineLevel="0" collapsed="false">
      <c r="A4" s="17" t="s">
        <v>2</v>
      </c>
      <c r="B4" s="17" t="s">
        <v>3</v>
      </c>
      <c r="C4" s="17" t="s">
        <v>4</v>
      </c>
      <c r="D4" s="17" t="s">
        <v>5</v>
      </c>
      <c r="E4" s="17" t="s">
        <v>28</v>
      </c>
      <c r="F4" s="17" t="s">
        <v>37</v>
      </c>
      <c r="G4" s="17" t="s">
        <v>38</v>
      </c>
      <c r="H4" s="17" t="s">
        <v>21</v>
      </c>
      <c r="I4" s="17" t="s">
        <v>39</v>
      </c>
      <c r="J4" s="17" t="s">
        <v>40</v>
      </c>
      <c r="K4" s="17" t="s">
        <v>41</v>
      </c>
      <c r="L4" s="17" t="s">
        <v>42</v>
      </c>
      <c r="M4" s="17" t="s">
        <v>14</v>
      </c>
      <c r="N4" s="17" t="s">
        <v>15</v>
      </c>
    </row>
    <row r="5" customFormat="false" ht="15" hidden="false" customHeight="true" outlineLevel="0" collapsed="false">
      <c r="A5" s="5" t="n">
        <v>1</v>
      </c>
      <c r="B5" s="6"/>
      <c r="C5" s="6"/>
      <c r="D5" s="6"/>
      <c r="E5" s="6"/>
      <c r="F5" s="6"/>
      <c r="G5" s="13" t="n">
        <f aca="false">IF(F5&gt;0,E5/F5,0)</f>
        <v>0</v>
      </c>
      <c r="H5" s="6"/>
      <c r="I5" s="6"/>
      <c r="J5" s="6"/>
      <c r="K5" s="6"/>
      <c r="L5" s="6"/>
      <c r="M5" s="6"/>
      <c r="N5" s="6"/>
    </row>
    <row r="6" customFormat="false" ht="15" hidden="false" customHeight="true" outlineLevel="0" collapsed="false">
      <c r="A6" s="7" t="n">
        <v>2</v>
      </c>
      <c r="B6" s="8"/>
      <c r="C6" s="8"/>
      <c r="D6" s="8"/>
      <c r="E6" s="8"/>
      <c r="F6" s="8"/>
      <c r="G6" s="15" t="n">
        <f aca="false">IF(F6&gt;0,E6/F6,0)</f>
        <v>0</v>
      </c>
      <c r="H6" s="8"/>
      <c r="I6" s="8"/>
      <c r="J6" s="8"/>
      <c r="K6" s="8"/>
      <c r="L6" s="8"/>
      <c r="M6" s="8"/>
      <c r="N6" s="8"/>
    </row>
    <row r="7" customFormat="false" ht="15" hidden="false" customHeight="true" outlineLevel="0" collapsed="false">
      <c r="A7" s="5" t="n">
        <v>3</v>
      </c>
      <c r="B7" s="6"/>
      <c r="C7" s="6"/>
      <c r="D7" s="6"/>
      <c r="E7" s="6"/>
      <c r="F7" s="6"/>
      <c r="G7" s="13" t="n">
        <f aca="false">IF(F7&gt;0,E7/F7,0)</f>
        <v>0</v>
      </c>
      <c r="H7" s="6"/>
      <c r="I7" s="6"/>
      <c r="J7" s="6"/>
      <c r="K7" s="6"/>
      <c r="L7" s="6"/>
      <c r="M7" s="6"/>
      <c r="N7" s="6"/>
    </row>
    <row r="8" customFormat="false" ht="15" hidden="false" customHeight="true" outlineLevel="0" collapsed="false">
      <c r="A8" s="7" t="n">
        <v>4</v>
      </c>
      <c r="B8" s="8"/>
      <c r="C8" s="8"/>
      <c r="D8" s="8"/>
      <c r="E8" s="8"/>
      <c r="F8" s="8"/>
      <c r="G8" s="15" t="n">
        <f aca="false">IF(F8&gt;0,E8/F8,0)</f>
        <v>0</v>
      </c>
      <c r="H8" s="8"/>
      <c r="I8" s="8"/>
      <c r="J8" s="8"/>
      <c r="K8" s="8"/>
      <c r="L8" s="8"/>
      <c r="M8" s="8"/>
      <c r="N8" s="8"/>
    </row>
    <row r="9" customFormat="false" ht="15" hidden="false" customHeight="true" outlineLevel="0" collapsed="false">
      <c r="A9" s="5" t="n">
        <v>5</v>
      </c>
      <c r="B9" s="6"/>
      <c r="C9" s="6"/>
      <c r="D9" s="6"/>
      <c r="E9" s="6"/>
      <c r="F9" s="6"/>
      <c r="G9" s="13" t="n">
        <f aca="false">IF(F9&gt;0,E9/F9,0)</f>
        <v>0</v>
      </c>
      <c r="H9" s="6"/>
      <c r="I9" s="6"/>
      <c r="J9" s="6"/>
      <c r="K9" s="6"/>
      <c r="L9" s="6"/>
      <c r="M9" s="6"/>
      <c r="N9" s="6"/>
    </row>
    <row r="10" customFormat="false" ht="15" hidden="false" customHeight="true" outlineLevel="0" collapsed="false">
      <c r="A10" s="7" t="n">
        <v>6</v>
      </c>
      <c r="B10" s="8"/>
      <c r="C10" s="8"/>
      <c r="D10" s="8"/>
      <c r="E10" s="8"/>
      <c r="F10" s="8"/>
      <c r="G10" s="15" t="n">
        <f aca="false">IF(F10&gt;0,E10/F10,0)</f>
        <v>0</v>
      </c>
      <c r="H10" s="8"/>
      <c r="I10" s="8"/>
      <c r="J10" s="8"/>
      <c r="K10" s="8"/>
      <c r="L10" s="8"/>
      <c r="M10" s="8"/>
      <c r="N10" s="8"/>
    </row>
    <row r="11" customFormat="false" ht="15" hidden="false" customHeight="true" outlineLevel="0" collapsed="false">
      <c r="A11" s="5" t="n">
        <v>7</v>
      </c>
      <c r="B11" s="6"/>
      <c r="C11" s="6"/>
      <c r="D11" s="6"/>
      <c r="E11" s="6"/>
      <c r="F11" s="6"/>
      <c r="G11" s="13" t="n">
        <f aca="false">IF(F11&gt;0,E11/F11,0)</f>
        <v>0</v>
      </c>
      <c r="H11" s="6"/>
      <c r="I11" s="6"/>
      <c r="J11" s="6"/>
      <c r="K11" s="6"/>
      <c r="L11" s="6"/>
      <c r="M11" s="6"/>
      <c r="N11" s="6"/>
    </row>
    <row r="12" customFormat="false" ht="15" hidden="false" customHeight="true" outlineLevel="0" collapsed="false">
      <c r="A12" s="7" t="n">
        <v>8</v>
      </c>
      <c r="B12" s="8"/>
      <c r="C12" s="8"/>
      <c r="D12" s="8"/>
      <c r="E12" s="8"/>
      <c r="F12" s="8"/>
      <c r="G12" s="15" t="n">
        <f aca="false">IF(F12&gt;0,E12/F12,0)</f>
        <v>0</v>
      </c>
      <c r="H12" s="8"/>
      <c r="I12" s="8"/>
      <c r="J12" s="8"/>
      <c r="K12" s="8"/>
      <c r="L12" s="8"/>
      <c r="M12" s="8"/>
      <c r="N12" s="8"/>
    </row>
    <row r="13" customFormat="false" ht="15" hidden="false" customHeight="true" outlineLevel="0" collapsed="false">
      <c r="A13" s="5" t="n">
        <v>9</v>
      </c>
      <c r="B13" s="6"/>
      <c r="C13" s="6"/>
      <c r="D13" s="6"/>
      <c r="E13" s="6"/>
      <c r="F13" s="6"/>
      <c r="G13" s="13" t="n">
        <f aca="false">IF(F13&gt;0,E13/F13,0)</f>
        <v>0</v>
      </c>
      <c r="H13" s="6"/>
      <c r="I13" s="6"/>
      <c r="J13" s="6"/>
      <c r="K13" s="6"/>
      <c r="L13" s="6"/>
      <c r="M13" s="6"/>
      <c r="N13" s="6"/>
    </row>
    <row r="14" customFormat="false" ht="15" hidden="false" customHeight="true" outlineLevel="0" collapsed="false">
      <c r="A14" s="7" t="n">
        <v>10</v>
      </c>
      <c r="B14" s="8"/>
      <c r="C14" s="8"/>
      <c r="D14" s="8"/>
      <c r="E14" s="8"/>
      <c r="F14" s="8"/>
      <c r="G14" s="15" t="n">
        <f aca="false">IF(F14&gt;0,E14/F14,0)</f>
        <v>0</v>
      </c>
      <c r="H14" s="8"/>
      <c r="I14" s="8"/>
      <c r="J14" s="8"/>
      <c r="K14" s="8"/>
      <c r="L14" s="8"/>
      <c r="M14" s="8"/>
      <c r="N14" s="8"/>
    </row>
    <row r="15" customFormat="false" ht="15" hidden="false" customHeight="true" outlineLevel="0" collapsed="false">
      <c r="A15" s="5" t="n">
        <v>11</v>
      </c>
      <c r="B15" s="6"/>
      <c r="C15" s="6"/>
      <c r="D15" s="6"/>
      <c r="E15" s="6"/>
      <c r="F15" s="6"/>
      <c r="G15" s="13" t="n">
        <f aca="false">IF(F15&gt;0,E15/F15,0)</f>
        <v>0</v>
      </c>
      <c r="H15" s="6"/>
      <c r="I15" s="6"/>
      <c r="J15" s="6"/>
      <c r="K15" s="6"/>
      <c r="L15" s="6"/>
      <c r="M15" s="6"/>
      <c r="N15" s="6"/>
    </row>
    <row r="16" customFormat="false" ht="15" hidden="false" customHeight="true" outlineLevel="0" collapsed="false">
      <c r="A16" s="7" t="n">
        <v>12</v>
      </c>
      <c r="B16" s="8"/>
      <c r="C16" s="8"/>
      <c r="D16" s="8"/>
      <c r="E16" s="8"/>
      <c r="F16" s="8"/>
      <c r="G16" s="15" t="n">
        <f aca="false">IF(F16&gt;0,E16/F16,0)</f>
        <v>0</v>
      </c>
      <c r="H16" s="8"/>
      <c r="I16" s="8"/>
      <c r="J16" s="8"/>
      <c r="K16" s="8"/>
      <c r="L16" s="8"/>
      <c r="M16" s="8"/>
      <c r="N16" s="8"/>
    </row>
    <row r="17" customFormat="false" ht="15" hidden="false" customHeight="true" outlineLevel="0" collapsed="false">
      <c r="A17" s="5" t="n">
        <v>13</v>
      </c>
      <c r="B17" s="6"/>
      <c r="C17" s="6"/>
      <c r="D17" s="6"/>
      <c r="E17" s="6"/>
      <c r="F17" s="6"/>
      <c r="G17" s="13" t="n">
        <f aca="false">IF(F17&gt;0,E17/F17,0)</f>
        <v>0</v>
      </c>
      <c r="H17" s="6"/>
      <c r="I17" s="6"/>
      <c r="J17" s="6"/>
      <c r="K17" s="6"/>
      <c r="L17" s="6"/>
      <c r="M17" s="6"/>
      <c r="N17" s="6"/>
    </row>
    <row r="18" customFormat="false" ht="15" hidden="false" customHeight="true" outlineLevel="0" collapsed="false">
      <c r="A18" s="7" t="n">
        <v>14</v>
      </c>
      <c r="B18" s="8"/>
      <c r="C18" s="8"/>
      <c r="D18" s="8"/>
      <c r="E18" s="8"/>
      <c r="F18" s="8"/>
      <c r="G18" s="15" t="n">
        <f aca="false">IF(F18&gt;0,E18/F18,0)</f>
        <v>0</v>
      </c>
      <c r="H18" s="8"/>
      <c r="I18" s="8"/>
      <c r="J18" s="8"/>
      <c r="K18" s="8"/>
      <c r="L18" s="8"/>
      <c r="M18" s="8"/>
      <c r="N18" s="8"/>
    </row>
    <row r="19" customFormat="false" ht="15" hidden="false" customHeight="true" outlineLevel="0" collapsed="false">
      <c r="A19" s="5" t="n">
        <v>15</v>
      </c>
      <c r="B19" s="6"/>
      <c r="C19" s="6"/>
      <c r="D19" s="6"/>
      <c r="E19" s="6"/>
      <c r="F19" s="6"/>
      <c r="G19" s="13" t="n">
        <f aca="false">IF(F19&gt;0,E19/F19,0)</f>
        <v>0</v>
      </c>
      <c r="H19" s="6"/>
      <c r="I19" s="6"/>
      <c r="J19" s="6"/>
      <c r="K19" s="6"/>
      <c r="L19" s="6"/>
      <c r="M19" s="6"/>
      <c r="N19" s="6"/>
    </row>
    <row r="20" customFormat="false" ht="15" hidden="false" customHeight="true" outlineLevel="0" collapsed="false">
      <c r="A20" s="7" t="n">
        <v>16</v>
      </c>
      <c r="B20" s="8"/>
      <c r="C20" s="8"/>
      <c r="D20" s="8"/>
      <c r="E20" s="8"/>
      <c r="F20" s="8"/>
      <c r="G20" s="15" t="n">
        <f aca="false">IF(F20&gt;0,E20/F20,0)</f>
        <v>0</v>
      </c>
      <c r="H20" s="8"/>
      <c r="I20" s="8"/>
      <c r="J20" s="8"/>
      <c r="K20" s="8"/>
      <c r="L20" s="8"/>
      <c r="M20" s="8"/>
      <c r="N20" s="8"/>
    </row>
    <row r="21" customFormat="false" ht="15" hidden="false" customHeight="true" outlineLevel="0" collapsed="false">
      <c r="A21" s="5" t="n">
        <v>17</v>
      </c>
      <c r="B21" s="6"/>
      <c r="C21" s="6"/>
      <c r="D21" s="6"/>
      <c r="E21" s="6"/>
      <c r="F21" s="6"/>
      <c r="G21" s="13" t="n">
        <f aca="false">IF(F21&gt;0,E21/F21,0)</f>
        <v>0</v>
      </c>
      <c r="H21" s="6"/>
      <c r="I21" s="6"/>
      <c r="J21" s="6"/>
      <c r="K21" s="6"/>
      <c r="L21" s="6"/>
      <c r="M21" s="6"/>
      <c r="N21" s="6"/>
    </row>
    <row r="22" customFormat="false" ht="15" hidden="false" customHeight="true" outlineLevel="0" collapsed="false">
      <c r="A22" s="7" t="n">
        <v>18</v>
      </c>
      <c r="B22" s="8"/>
      <c r="C22" s="8"/>
      <c r="D22" s="8"/>
      <c r="E22" s="8"/>
      <c r="F22" s="8"/>
      <c r="G22" s="15" t="n">
        <f aca="false">IF(F22&gt;0,E22/F22,0)</f>
        <v>0</v>
      </c>
      <c r="H22" s="8"/>
      <c r="I22" s="8"/>
      <c r="J22" s="8"/>
      <c r="K22" s="8"/>
      <c r="L22" s="8"/>
      <c r="M22" s="8"/>
      <c r="N22" s="8"/>
    </row>
    <row r="23" customFormat="false" ht="15" hidden="false" customHeight="true" outlineLevel="0" collapsed="false">
      <c r="A23" s="5" t="n">
        <v>19</v>
      </c>
      <c r="B23" s="6"/>
      <c r="C23" s="6"/>
      <c r="D23" s="6"/>
      <c r="E23" s="6"/>
      <c r="F23" s="6"/>
      <c r="G23" s="13" t="n">
        <f aca="false">IF(F23&gt;0,E23/F23,0)</f>
        <v>0</v>
      </c>
      <c r="H23" s="6"/>
      <c r="I23" s="6"/>
      <c r="J23" s="6"/>
      <c r="K23" s="6"/>
      <c r="L23" s="6"/>
      <c r="M23" s="6"/>
      <c r="N23" s="6"/>
    </row>
    <row r="24" customFormat="false" ht="15" hidden="false" customHeight="true" outlineLevel="0" collapsed="false">
      <c r="A24" s="7" t="n">
        <v>20</v>
      </c>
      <c r="B24" s="8"/>
      <c r="C24" s="8"/>
      <c r="D24" s="8"/>
      <c r="E24" s="8"/>
      <c r="F24" s="8"/>
      <c r="G24" s="15" t="n">
        <f aca="false">IF(F24&gt;0,E24/F24,0)</f>
        <v>0</v>
      </c>
      <c r="H24" s="8"/>
      <c r="I24" s="8"/>
      <c r="J24" s="8"/>
      <c r="K24" s="8"/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28"/>
    <col collapsed="false" customWidth="true" hidden="false" outlineLevel="0" max="6" min="6" style="1" width="22"/>
    <col collapsed="false" customWidth="true" hidden="false" outlineLevel="0" max="7" min="7" style="1" width="26"/>
    <col collapsed="false" customWidth="true" hidden="false" outlineLevel="0" max="12" min="8" style="1" width="18"/>
    <col collapsed="false" customWidth="true" hidden="false" outlineLevel="0" max="14" min="13" style="1" width="14"/>
  </cols>
  <sheetData>
    <row r="1" customFormat="false" ht="30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.75" hidden="false" customHeight="true" outlineLevel="0" collapsed="false">
      <c r="A2" s="3" t="s">
        <v>44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3.25" hidden="false" customHeight="true" outlineLevel="0" collapsed="false">
      <c r="A4" s="18" t="s">
        <v>2</v>
      </c>
      <c r="B4" s="18" t="s">
        <v>3</v>
      </c>
      <c r="C4" s="18" t="s">
        <v>4</v>
      </c>
      <c r="D4" s="18" t="s">
        <v>5</v>
      </c>
      <c r="E4" s="18" t="s">
        <v>45</v>
      </c>
      <c r="F4" s="18" t="s">
        <v>37</v>
      </c>
      <c r="G4" s="18" t="s">
        <v>46</v>
      </c>
      <c r="H4" s="18" t="s">
        <v>47</v>
      </c>
      <c r="I4" s="18" t="s">
        <v>48</v>
      </c>
      <c r="J4" s="18" t="s">
        <v>49</v>
      </c>
      <c r="K4" s="18" t="s">
        <v>50</v>
      </c>
      <c r="L4" s="18" t="s">
        <v>51</v>
      </c>
      <c r="M4" s="18" t="s">
        <v>14</v>
      </c>
      <c r="N4" s="18" t="s">
        <v>15</v>
      </c>
    </row>
    <row r="5" customFormat="false" ht="15" hidden="false" customHeight="true" outlineLevel="0" collapsed="false">
      <c r="A5" s="5" t="n">
        <v>1</v>
      </c>
      <c r="B5" s="6"/>
      <c r="C5" s="6"/>
      <c r="D5" s="6"/>
      <c r="E5" s="6"/>
      <c r="F5" s="6"/>
      <c r="G5" s="19" t="n">
        <f aca="false">IF(F5&gt;0,E5/F5,0)</f>
        <v>0</v>
      </c>
      <c r="H5" s="6"/>
      <c r="I5" s="6"/>
      <c r="J5" s="6"/>
      <c r="K5" s="6"/>
      <c r="L5" s="6"/>
      <c r="M5" s="6"/>
      <c r="N5" s="6"/>
    </row>
    <row r="6" customFormat="false" ht="15" hidden="false" customHeight="true" outlineLevel="0" collapsed="false">
      <c r="A6" s="7" t="n">
        <v>2</v>
      </c>
      <c r="B6" s="8"/>
      <c r="C6" s="8"/>
      <c r="D6" s="8"/>
      <c r="E6" s="8"/>
      <c r="F6" s="8"/>
      <c r="G6" s="20" t="n">
        <f aca="false">IF(F6&gt;0,E6/F6,0)</f>
        <v>0</v>
      </c>
      <c r="H6" s="8"/>
      <c r="I6" s="8"/>
      <c r="J6" s="8"/>
      <c r="K6" s="8"/>
      <c r="L6" s="8"/>
      <c r="M6" s="8"/>
      <c r="N6" s="8"/>
    </row>
    <row r="7" customFormat="false" ht="15" hidden="false" customHeight="true" outlineLevel="0" collapsed="false">
      <c r="A7" s="5" t="n">
        <v>3</v>
      </c>
      <c r="B7" s="6"/>
      <c r="C7" s="6"/>
      <c r="D7" s="6"/>
      <c r="E7" s="6"/>
      <c r="F7" s="6"/>
      <c r="G7" s="19" t="n">
        <f aca="false">IF(F7&gt;0,E7/F7,0)</f>
        <v>0</v>
      </c>
      <c r="H7" s="6"/>
      <c r="I7" s="6"/>
      <c r="J7" s="6"/>
      <c r="K7" s="6"/>
      <c r="L7" s="6"/>
      <c r="M7" s="6"/>
      <c r="N7" s="6"/>
    </row>
    <row r="8" customFormat="false" ht="15" hidden="false" customHeight="true" outlineLevel="0" collapsed="false">
      <c r="A8" s="7" t="n">
        <v>4</v>
      </c>
      <c r="B8" s="8"/>
      <c r="C8" s="8"/>
      <c r="D8" s="8"/>
      <c r="E8" s="8"/>
      <c r="F8" s="8"/>
      <c r="G8" s="20" t="n">
        <f aca="false">IF(F8&gt;0,E8/F8,0)</f>
        <v>0</v>
      </c>
      <c r="H8" s="8"/>
      <c r="I8" s="8"/>
      <c r="J8" s="8"/>
      <c r="K8" s="8"/>
      <c r="L8" s="8"/>
      <c r="M8" s="8"/>
      <c r="N8" s="8"/>
    </row>
    <row r="9" customFormat="false" ht="15" hidden="false" customHeight="true" outlineLevel="0" collapsed="false">
      <c r="A9" s="5" t="n">
        <v>5</v>
      </c>
      <c r="B9" s="6"/>
      <c r="C9" s="6"/>
      <c r="D9" s="6"/>
      <c r="E9" s="6"/>
      <c r="F9" s="6"/>
      <c r="G9" s="19" t="n">
        <f aca="false">IF(F9&gt;0,E9/F9,0)</f>
        <v>0</v>
      </c>
      <c r="H9" s="6"/>
      <c r="I9" s="6"/>
      <c r="J9" s="6"/>
      <c r="K9" s="6"/>
      <c r="L9" s="6"/>
      <c r="M9" s="6"/>
      <c r="N9" s="6"/>
    </row>
    <row r="10" customFormat="false" ht="15" hidden="false" customHeight="true" outlineLevel="0" collapsed="false">
      <c r="A10" s="7" t="n">
        <v>6</v>
      </c>
      <c r="B10" s="8"/>
      <c r="C10" s="8"/>
      <c r="D10" s="8"/>
      <c r="E10" s="8"/>
      <c r="F10" s="8"/>
      <c r="G10" s="20" t="n">
        <f aca="false">IF(F10&gt;0,E10/F10,0)</f>
        <v>0</v>
      </c>
      <c r="H10" s="8"/>
      <c r="I10" s="8"/>
      <c r="J10" s="8"/>
      <c r="K10" s="8"/>
      <c r="L10" s="8"/>
      <c r="M10" s="8"/>
      <c r="N10" s="8"/>
    </row>
    <row r="11" customFormat="false" ht="15" hidden="false" customHeight="true" outlineLevel="0" collapsed="false">
      <c r="A11" s="5" t="n">
        <v>7</v>
      </c>
      <c r="B11" s="6"/>
      <c r="C11" s="6"/>
      <c r="D11" s="6"/>
      <c r="E11" s="6"/>
      <c r="F11" s="6"/>
      <c r="G11" s="19" t="n">
        <f aca="false">IF(F11&gt;0,E11/F11,0)</f>
        <v>0</v>
      </c>
      <c r="H11" s="6"/>
      <c r="I11" s="6"/>
      <c r="J11" s="6"/>
      <c r="K11" s="6"/>
      <c r="L11" s="6"/>
      <c r="M11" s="6"/>
      <c r="N11" s="6"/>
    </row>
    <row r="12" customFormat="false" ht="15" hidden="false" customHeight="true" outlineLevel="0" collapsed="false">
      <c r="A12" s="7" t="n">
        <v>8</v>
      </c>
      <c r="B12" s="8"/>
      <c r="C12" s="8"/>
      <c r="D12" s="8"/>
      <c r="E12" s="8"/>
      <c r="F12" s="8"/>
      <c r="G12" s="20" t="n">
        <f aca="false">IF(F12&gt;0,E12/F12,0)</f>
        <v>0</v>
      </c>
      <c r="H12" s="8"/>
      <c r="I12" s="8"/>
      <c r="J12" s="8"/>
      <c r="K12" s="8"/>
      <c r="L12" s="8"/>
      <c r="M12" s="8"/>
      <c r="N12" s="8"/>
    </row>
    <row r="13" customFormat="false" ht="15" hidden="false" customHeight="true" outlineLevel="0" collapsed="false">
      <c r="A13" s="5" t="n">
        <v>9</v>
      </c>
      <c r="B13" s="6"/>
      <c r="C13" s="6"/>
      <c r="D13" s="6"/>
      <c r="E13" s="6"/>
      <c r="F13" s="6"/>
      <c r="G13" s="19" t="n">
        <f aca="false">IF(F13&gt;0,E13/F13,0)</f>
        <v>0</v>
      </c>
      <c r="H13" s="6"/>
      <c r="I13" s="6"/>
      <c r="J13" s="6"/>
      <c r="K13" s="6"/>
      <c r="L13" s="6"/>
      <c r="M13" s="6"/>
      <c r="N13" s="6"/>
    </row>
    <row r="14" customFormat="false" ht="15" hidden="false" customHeight="true" outlineLevel="0" collapsed="false">
      <c r="A14" s="7" t="n">
        <v>10</v>
      </c>
      <c r="B14" s="8"/>
      <c r="C14" s="8"/>
      <c r="D14" s="8"/>
      <c r="E14" s="8"/>
      <c r="F14" s="8"/>
      <c r="G14" s="20" t="n">
        <f aca="false">IF(F14&gt;0,E14/F14,0)</f>
        <v>0</v>
      </c>
      <c r="H14" s="8"/>
      <c r="I14" s="8"/>
      <c r="J14" s="8"/>
      <c r="K14" s="8"/>
      <c r="L14" s="8"/>
      <c r="M14" s="8"/>
      <c r="N14" s="8"/>
    </row>
    <row r="15" customFormat="false" ht="15" hidden="false" customHeight="true" outlineLevel="0" collapsed="false">
      <c r="A15" s="5" t="n">
        <v>11</v>
      </c>
      <c r="B15" s="6"/>
      <c r="C15" s="6"/>
      <c r="D15" s="6"/>
      <c r="E15" s="6"/>
      <c r="F15" s="6"/>
      <c r="G15" s="19" t="n">
        <f aca="false">IF(F15&gt;0,E15/F15,0)</f>
        <v>0</v>
      </c>
      <c r="H15" s="6"/>
      <c r="I15" s="6"/>
      <c r="J15" s="6"/>
      <c r="K15" s="6"/>
      <c r="L15" s="6"/>
      <c r="M15" s="6"/>
      <c r="N15" s="6"/>
    </row>
    <row r="16" customFormat="false" ht="15" hidden="false" customHeight="true" outlineLevel="0" collapsed="false">
      <c r="A16" s="7" t="n">
        <v>12</v>
      </c>
      <c r="B16" s="8"/>
      <c r="C16" s="8"/>
      <c r="D16" s="8"/>
      <c r="E16" s="8"/>
      <c r="F16" s="8"/>
      <c r="G16" s="20" t="n">
        <f aca="false">IF(F16&gt;0,E16/F16,0)</f>
        <v>0</v>
      </c>
      <c r="H16" s="8"/>
      <c r="I16" s="8"/>
      <c r="J16" s="8"/>
      <c r="K16" s="8"/>
      <c r="L16" s="8"/>
      <c r="M16" s="8"/>
      <c r="N16" s="8"/>
    </row>
    <row r="17" customFormat="false" ht="15" hidden="false" customHeight="true" outlineLevel="0" collapsed="false">
      <c r="A17" s="5" t="n">
        <v>13</v>
      </c>
      <c r="B17" s="6"/>
      <c r="C17" s="6"/>
      <c r="D17" s="6"/>
      <c r="E17" s="6"/>
      <c r="F17" s="6"/>
      <c r="G17" s="19" t="n">
        <f aca="false">IF(F17&gt;0,E17/F17,0)</f>
        <v>0</v>
      </c>
      <c r="H17" s="6"/>
      <c r="I17" s="6"/>
      <c r="J17" s="6"/>
      <c r="K17" s="6"/>
      <c r="L17" s="6"/>
      <c r="M17" s="6"/>
      <c r="N17" s="6"/>
    </row>
    <row r="18" customFormat="false" ht="15" hidden="false" customHeight="true" outlineLevel="0" collapsed="false">
      <c r="A18" s="7" t="n">
        <v>14</v>
      </c>
      <c r="B18" s="8"/>
      <c r="C18" s="8"/>
      <c r="D18" s="8"/>
      <c r="E18" s="8"/>
      <c r="F18" s="8"/>
      <c r="G18" s="20" t="n">
        <f aca="false">IF(F18&gt;0,E18/F18,0)</f>
        <v>0</v>
      </c>
      <c r="H18" s="8"/>
      <c r="I18" s="8"/>
      <c r="J18" s="8"/>
      <c r="K18" s="8"/>
      <c r="L18" s="8"/>
      <c r="M18" s="8"/>
      <c r="N18" s="8"/>
    </row>
    <row r="19" customFormat="false" ht="15" hidden="false" customHeight="true" outlineLevel="0" collapsed="false">
      <c r="A19" s="5" t="n">
        <v>15</v>
      </c>
      <c r="B19" s="6"/>
      <c r="C19" s="6"/>
      <c r="D19" s="6"/>
      <c r="E19" s="6"/>
      <c r="F19" s="6"/>
      <c r="G19" s="19" t="n">
        <f aca="false">IF(F19&gt;0,E19/F19,0)</f>
        <v>0</v>
      </c>
      <c r="H19" s="6"/>
      <c r="I19" s="6"/>
      <c r="J19" s="6"/>
      <c r="K19" s="6"/>
      <c r="L19" s="6"/>
      <c r="M19" s="6"/>
      <c r="N19" s="6"/>
    </row>
    <row r="20" customFormat="false" ht="15" hidden="false" customHeight="true" outlineLevel="0" collapsed="false">
      <c r="A20" s="7" t="n">
        <v>16</v>
      </c>
      <c r="B20" s="8"/>
      <c r="C20" s="8"/>
      <c r="D20" s="8"/>
      <c r="E20" s="8"/>
      <c r="F20" s="8"/>
      <c r="G20" s="20" t="n">
        <f aca="false">IF(F20&gt;0,E20/F20,0)</f>
        <v>0</v>
      </c>
      <c r="H20" s="8"/>
      <c r="I20" s="8"/>
      <c r="J20" s="8"/>
      <c r="K20" s="8"/>
      <c r="L20" s="8"/>
      <c r="M20" s="8"/>
      <c r="N20" s="8"/>
    </row>
    <row r="21" customFormat="false" ht="15" hidden="false" customHeight="true" outlineLevel="0" collapsed="false">
      <c r="A21" s="5" t="n">
        <v>17</v>
      </c>
      <c r="B21" s="6"/>
      <c r="C21" s="6"/>
      <c r="D21" s="6"/>
      <c r="E21" s="6"/>
      <c r="F21" s="6"/>
      <c r="G21" s="19" t="n">
        <f aca="false">IF(F21&gt;0,E21/F21,0)</f>
        <v>0</v>
      </c>
      <c r="H21" s="6"/>
      <c r="I21" s="6"/>
      <c r="J21" s="6"/>
      <c r="K21" s="6"/>
      <c r="L21" s="6"/>
      <c r="M21" s="6"/>
      <c r="N21" s="6"/>
    </row>
    <row r="22" customFormat="false" ht="15" hidden="false" customHeight="true" outlineLevel="0" collapsed="false">
      <c r="A22" s="7" t="n">
        <v>18</v>
      </c>
      <c r="B22" s="8"/>
      <c r="C22" s="8"/>
      <c r="D22" s="8"/>
      <c r="E22" s="8"/>
      <c r="F22" s="8"/>
      <c r="G22" s="20" t="n">
        <f aca="false">IF(F22&gt;0,E22/F22,0)</f>
        <v>0</v>
      </c>
      <c r="H22" s="8"/>
      <c r="I22" s="8"/>
      <c r="J22" s="8"/>
      <c r="K22" s="8"/>
      <c r="L22" s="8"/>
      <c r="M22" s="8"/>
      <c r="N22" s="8"/>
    </row>
    <row r="23" customFormat="false" ht="15" hidden="false" customHeight="true" outlineLevel="0" collapsed="false">
      <c r="A23" s="5" t="n">
        <v>19</v>
      </c>
      <c r="B23" s="6"/>
      <c r="C23" s="6"/>
      <c r="D23" s="6"/>
      <c r="E23" s="6"/>
      <c r="F23" s="6"/>
      <c r="G23" s="19" t="n">
        <f aca="false">IF(F23&gt;0,E23/F23,0)</f>
        <v>0</v>
      </c>
      <c r="H23" s="6"/>
      <c r="I23" s="6"/>
      <c r="J23" s="6"/>
      <c r="K23" s="6"/>
      <c r="L23" s="6"/>
      <c r="M23" s="6"/>
      <c r="N23" s="6"/>
    </row>
    <row r="24" customFormat="false" ht="15" hidden="false" customHeight="true" outlineLevel="0" collapsed="false">
      <c r="A24" s="7" t="n">
        <v>20</v>
      </c>
      <c r="B24" s="8"/>
      <c r="C24" s="8"/>
      <c r="D24" s="8"/>
      <c r="E24" s="8"/>
      <c r="F24" s="8"/>
      <c r="G24" s="20" t="n">
        <f aca="false">IF(F24&gt;0,E24/F24,0)</f>
        <v>0</v>
      </c>
      <c r="H24" s="8"/>
      <c r="I24" s="8"/>
      <c r="J24" s="8"/>
      <c r="K24" s="8"/>
      <c r="L24" s="8"/>
      <c r="M24" s="8"/>
      <c r="N24" s="8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3593"/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9" min="5" style="1" width="24"/>
    <col collapsed="false" customWidth="true" hidden="false" outlineLevel="0" max="10" min="10" style="1" width="22"/>
    <col collapsed="false" customWidth="true" hidden="false" outlineLevel="0" max="12" min="11" style="1" width="24"/>
    <col collapsed="false" customWidth="true" hidden="false" outlineLevel="0" max="13" min="13" style="1" width="22"/>
    <col collapsed="false" customWidth="true" hidden="false" outlineLevel="0" max="15" min="14" style="1" width="24"/>
    <col collapsed="false" customWidth="true" hidden="false" outlineLevel="0" max="16" min="16" style="1" width="14"/>
  </cols>
  <sheetData>
    <row r="1" customFormat="false" ht="30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4.75" hidden="false" customHeight="true" outlineLevel="0" collapsed="false">
      <c r="A2" s="3" t="s">
        <v>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23.25" hidden="false" customHeight="true" outlineLevel="0" collapsed="false">
      <c r="A4" s="21" t="s">
        <v>2</v>
      </c>
      <c r="B4" s="21" t="s">
        <v>3</v>
      </c>
      <c r="C4" s="21" t="s">
        <v>4</v>
      </c>
      <c r="D4" s="21" t="s">
        <v>5</v>
      </c>
      <c r="E4" s="21" t="s">
        <v>54</v>
      </c>
      <c r="F4" s="21" t="s">
        <v>55</v>
      </c>
      <c r="G4" s="21" t="s">
        <v>56</v>
      </c>
      <c r="H4" s="21" t="s">
        <v>57</v>
      </c>
      <c r="I4" s="21" t="s">
        <v>58</v>
      </c>
      <c r="J4" s="21" t="s">
        <v>59</v>
      </c>
      <c r="K4" s="21" t="s">
        <v>60</v>
      </c>
      <c r="L4" s="21" t="s">
        <v>61</v>
      </c>
      <c r="M4" s="21" t="s">
        <v>62</v>
      </c>
      <c r="N4" s="21" t="s">
        <v>63</v>
      </c>
      <c r="O4" s="21" t="s">
        <v>64</v>
      </c>
      <c r="P4" s="21" t="s">
        <v>15</v>
      </c>
    </row>
    <row r="5" customFormat="false" ht="15" hidden="false" customHeight="true" outlineLevel="0" collapsed="false">
      <c r="A5" s="5" t="n">
        <v>1</v>
      </c>
      <c r="B5" s="6"/>
      <c r="C5" s="6"/>
      <c r="D5" s="6"/>
      <c r="E5" s="6"/>
      <c r="F5" s="6"/>
      <c r="G5" s="6"/>
      <c r="H5" s="6"/>
      <c r="I5" s="6"/>
      <c r="J5" s="10" t="n">
        <f aca="false">E5*0.15</f>
        <v>0</v>
      </c>
      <c r="K5" s="10" t="n">
        <f aca="false">F5*0.045</f>
        <v>0</v>
      </c>
      <c r="L5" s="10" t="n">
        <f aca="false">G5*0.0225</f>
        <v>0</v>
      </c>
      <c r="M5" s="10" t="n">
        <f aca="false">H5*0.06</f>
        <v>0</v>
      </c>
      <c r="N5" s="10" t="n">
        <f aca="false">I5*0.0225</f>
        <v>0</v>
      </c>
      <c r="O5" s="10" t="n">
        <f aca="false">J5+K5+L5+M5+N5</f>
        <v>0</v>
      </c>
      <c r="P5" s="6"/>
    </row>
    <row r="6" customFormat="false" ht="15" hidden="false" customHeight="tru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11" t="n">
        <f aca="false">E6*0.15</f>
        <v>0</v>
      </c>
      <c r="K6" s="11" t="n">
        <f aca="false">F6*0.045</f>
        <v>0</v>
      </c>
      <c r="L6" s="11" t="n">
        <f aca="false">G6*0.0225</f>
        <v>0</v>
      </c>
      <c r="M6" s="11" t="n">
        <f aca="false">H6*0.06</f>
        <v>0</v>
      </c>
      <c r="N6" s="11" t="n">
        <f aca="false">I6*0.0225</f>
        <v>0</v>
      </c>
      <c r="O6" s="11" t="n">
        <f aca="false">J6+K6+L6+M6+N6</f>
        <v>0</v>
      </c>
      <c r="P6" s="8"/>
    </row>
    <row r="7" customFormat="false" ht="15" hidden="false" customHeight="true" outlineLevel="0" collapsed="false">
      <c r="A7" s="5" t="n">
        <v>3</v>
      </c>
      <c r="B7" s="6"/>
      <c r="C7" s="6"/>
      <c r="D7" s="6"/>
      <c r="E7" s="6"/>
      <c r="F7" s="6"/>
      <c r="G7" s="6"/>
      <c r="H7" s="6"/>
      <c r="I7" s="6"/>
      <c r="J7" s="10" t="n">
        <f aca="false">E7*0.15</f>
        <v>0</v>
      </c>
      <c r="K7" s="10" t="n">
        <f aca="false">F7*0.045</f>
        <v>0</v>
      </c>
      <c r="L7" s="10" t="n">
        <f aca="false">G7*0.0225</f>
        <v>0</v>
      </c>
      <c r="M7" s="10" t="n">
        <f aca="false">H7*0.06</f>
        <v>0</v>
      </c>
      <c r="N7" s="10" t="n">
        <f aca="false">I7*0.0225</f>
        <v>0</v>
      </c>
      <c r="O7" s="10" t="n">
        <f aca="false">J7+K7+L7+M7+N7</f>
        <v>0</v>
      </c>
      <c r="P7" s="6"/>
    </row>
    <row r="8" customFormat="false" ht="15" hidden="false" customHeight="tru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11" t="n">
        <f aca="false">E8*0.15</f>
        <v>0</v>
      </c>
      <c r="K8" s="11" t="n">
        <f aca="false">F8*0.045</f>
        <v>0</v>
      </c>
      <c r="L8" s="11" t="n">
        <f aca="false">G8*0.0225</f>
        <v>0</v>
      </c>
      <c r="M8" s="11" t="n">
        <f aca="false">H8*0.06</f>
        <v>0</v>
      </c>
      <c r="N8" s="11" t="n">
        <f aca="false">I8*0.0225</f>
        <v>0</v>
      </c>
      <c r="O8" s="11" t="n">
        <f aca="false">J8+K8+L8+M8+N8</f>
        <v>0</v>
      </c>
      <c r="P8" s="8"/>
    </row>
    <row r="9" customFormat="false" ht="15" hidden="false" customHeight="true" outlineLevel="0" collapsed="false">
      <c r="A9" s="5" t="n">
        <v>5</v>
      </c>
      <c r="B9" s="6"/>
      <c r="C9" s="6"/>
      <c r="D9" s="6"/>
      <c r="E9" s="6"/>
      <c r="F9" s="6"/>
      <c r="G9" s="6"/>
      <c r="H9" s="6"/>
      <c r="I9" s="6"/>
      <c r="J9" s="10" t="n">
        <f aca="false">E9*0.15</f>
        <v>0</v>
      </c>
      <c r="K9" s="10" t="n">
        <f aca="false">F9*0.045</f>
        <v>0</v>
      </c>
      <c r="L9" s="10" t="n">
        <f aca="false">G9*0.0225</f>
        <v>0</v>
      </c>
      <c r="M9" s="10" t="n">
        <f aca="false">H9*0.06</f>
        <v>0</v>
      </c>
      <c r="N9" s="10" t="n">
        <f aca="false">I9*0.0225</f>
        <v>0</v>
      </c>
      <c r="O9" s="10" t="n">
        <f aca="false">J9+K9+L9+M9+N9</f>
        <v>0</v>
      </c>
      <c r="P9" s="6"/>
    </row>
    <row r="10" customFormat="false" ht="15" hidden="false" customHeight="tru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11" t="n">
        <f aca="false">E10*0.15</f>
        <v>0</v>
      </c>
      <c r="K10" s="11" t="n">
        <f aca="false">F10*0.045</f>
        <v>0</v>
      </c>
      <c r="L10" s="11" t="n">
        <f aca="false">G10*0.0225</f>
        <v>0</v>
      </c>
      <c r="M10" s="11" t="n">
        <f aca="false">H10*0.06</f>
        <v>0</v>
      </c>
      <c r="N10" s="11" t="n">
        <f aca="false">I10*0.0225</f>
        <v>0</v>
      </c>
      <c r="O10" s="11" t="n">
        <f aca="false">J10+K10+L10+M10+N10</f>
        <v>0</v>
      </c>
      <c r="P10" s="8"/>
    </row>
    <row r="11" customFormat="false" ht="15" hidden="false" customHeight="true" outlineLevel="0" collapsed="false">
      <c r="A11" s="5" t="n">
        <v>7</v>
      </c>
      <c r="B11" s="6"/>
      <c r="C11" s="6"/>
      <c r="D11" s="6"/>
      <c r="E11" s="6"/>
      <c r="F11" s="6"/>
      <c r="G11" s="6"/>
      <c r="H11" s="6"/>
      <c r="I11" s="6"/>
      <c r="J11" s="10" t="n">
        <f aca="false">E11*0.15</f>
        <v>0</v>
      </c>
      <c r="K11" s="10" t="n">
        <f aca="false">F11*0.045</f>
        <v>0</v>
      </c>
      <c r="L11" s="10" t="n">
        <f aca="false">G11*0.0225</f>
        <v>0</v>
      </c>
      <c r="M11" s="10" t="n">
        <f aca="false">H11*0.06</f>
        <v>0</v>
      </c>
      <c r="N11" s="10" t="n">
        <f aca="false">I11*0.0225</f>
        <v>0</v>
      </c>
      <c r="O11" s="10" t="n">
        <f aca="false">J11+K11+L11+M11+N11</f>
        <v>0</v>
      </c>
      <c r="P11" s="6"/>
    </row>
    <row r="12" customFormat="false" ht="15" hidden="false" customHeight="tru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11" t="n">
        <f aca="false">E12*0.15</f>
        <v>0</v>
      </c>
      <c r="K12" s="11" t="n">
        <f aca="false">F12*0.045</f>
        <v>0</v>
      </c>
      <c r="L12" s="11" t="n">
        <f aca="false">G12*0.0225</f>
        <v>0</v>
      </c>
      <c r="M12" s="11" t="n">
        <f aca="false">H12*0.06</f>
        <v>0</v>
      </c>
      <c r="N12" s="11" t="n">
        <f aca="false">I12*0.0225</f>
        <v>0</v>
      </c>
      <c r="O12" s="11" t="n">
        <f aca="false">J12+K12+L12+M12+N12</f>
        <v>0</v>
      </c>
      <c r="P12" s="8"/>
    </row>
    <row r="13" customFormat="false" ht="15" hidden="false" customHeight="true" outlineLevel="0" collapsed="false">
      <c r="A13" s="5" t="n">
        <v>9</v>
      </c>
      <c r="B13" s="6"/>
      <c r="C13" s="6"/>
      <c r="D13" s="6"/>
      <c r="E13" s="6"/>
      <c r="F13" s="6"/>
      <c r="G13" s="6"/>
      <c r="H13" s="6"/>
      <c r="I13" s="6"/>
      <c r="J13" s="10" t="n">
        <f aca="false">E13*0.15</f>
        <v>0</v>
      </c>
      <c r="K13" s="10" t="n">
        <f aca="false">F13*0.045</f>
        <v>0</v>
      </c>
      <c r="L13" s="10" t="n">
        <f aca="false">G13*0.0225</f>
        <v>0</v>
      </c>
      <c r="M13" s="10" t="n">
        <f aca="false">H13*0.06</f>
        <v>0</v>
      </c>
      <c r="N13" s="10" t="n">
        <f aca="false">I13*0.0225</f>
        <v>0</v>
      </c>
      <c r="O13" s="10" t="n">
        <f aca="false">J13+K13+L13+M13+N13</f>
        <v>0</v>
      </c>
      <c r="P13" s="6"/>
    </row>
    <row r="14" customFormat="false" ht="15" hidden="false" customHeight="tru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11" t="n">
        <f aca="false">E14*0.15</f>
        <v>0</v>
      </c>
      <c r="K14" s="11" t="n">
        <f aca="false">F14*0.045</f>
        <v>0</v>
      </c>
      <c r="L14" s="11" t="n">
        <f aca="false">G14*0.0225</f>
        <v>0</v>
      </c>
      <c r="M14" s="11" t="n">
        <f aca="false">H14*0.06</f>
        <v>0</v>
      </c>
      <c r="N14" s="11" t="n">
        <f aca="false">I14*0.0225</f>
        <v>0</v>
      </c>
      <c r="O14" s="11" t="n">
        <f aca="false">J14+K14+L14+M14+N14</f>
        <v>0</v>
      </c>
      <c r="P14" s="8"/>
    </row>
    <row r="15" customFormat="false" ht="15" hidden="false" customHeight="true" outlineLevel="0" collapsed="false">
      <c r="A15" s="5" t="n">
        <v>11</v>
      </c>
      <c r="B15" s="6"/>
      <c r="C15" s="6"/>
      <c r="D15" s="6"/>
      <c r="E15" s="6"/>
      <c r="F15" s="6"/>
      <c r="G15" s="6"/>
      <c r="H15" s="6"/>
      <c r="I15" s="6"/>
      <c r="J15" s="10" t="n">
        <f aca="false">E15*0.15</f>
        <v>0</v>
      </c>
      <c r="K15" s="10" t="n">
        <f aca="false">F15*0.045</f>
        <v>0</v>
      </c>
      <c r="L15" s="10" t="n">
        <f aca="false">G15*0.0225</f>
        <v>0</v>
      </c>
      <c r="M15" s="10" t="n">
        <f aca="false">H15*0.06</f>
        <v>0</v>
      </c>
      <c r="N15" s="10" t="n">
        <f aca="false">I15*0.0225</f>
        <v>0</v>
      </c>
      <c r="O15" s="10" t="n">
        <f aca="false">J15+K15+L15+M15+N15</f>
        <v>0</v>
      </c>
      <c r="P15" s="6"/>
    </row>
    <row r="16" customFormat="false" ht="15" hidden="false" customHeight="tru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11" t="n">
        <f aca="false">E16*0.15</f>
        <v>0</v>
      </c>
      <c r="K16" s="11" t="n">
        <f aca="false">F16*0.045</f>
        <v>0</v>
      </c>
      <c r="L16" s="11" t="n">
        <f aca="false">G16*0.0225</f>
        <v>0</v>
      </c>
      <c r="M16" s="11" t="n">
        <f aca="false">H16*0.06</f>
        <v>0</v>
      </c>
      <c r="N16" s="11" t="n">
        <f aca="false">I16*0.0225</f>
        <v>0</v>
      </c>
      <c r="O16" s="11" t="n">
        <f aca="false">J16+K16+L16+M16+N16</f>
        <v>0</v>
      </c>
      <c r="P16" s="8"/>
    </row>
    <row r="17" customFormat="false" ht="15" hidden="false" customHeight="true" outlineLevel="0" collapsed="false">
      <c r="A17" s="5" t="n">
        <v>13</v>
      </c>
      <c r="B17" s="6"/>
      <c r="C17" s="6"/>
      <c r="D17" s="6"/>
      <c r="E17" s="6"/>
      <c r="F17" s="6"/>
      <c r="G17" s="6"/>
      <c r="H17" s="6"/>
      <c r="I17" s="6"/>
      <c r="J17" s="10" t="n">
        <f aca="false">E17*0.15</f>
        <v>0</v>
      </c>
      <c r="K17" s="10" t="n">
        <f aca="false">F17*0.045</f>
        <v>0</v>
      </c>
      <c r="L17" s="10" t="n">
        <f aca="false">G17*0.0225</f>
        <v>0</v>
      </c>
      <c r="M17" s="10" t="n">
        <f aca="false">H17*0.06</f>
        <v>0</v>
      </c>
      <c r="N17" s="10" t="n">
        <f aca="false">I17*0.0225</f>
        <v>0</v>
      </c>
      <c r="O17" s="10" t="n">
        <f aca="false">J17+K17+L17+M17+N17</f>
        <v>0</v>
      </c>
      <c r="P17" s="6"/>
    </row>
    <row r="18" customFormat="false" ht="15" hidden="false" customHeight="tru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11" t="n">
        <f aca="false">E18*0.15</f>
        <v>0</v>
      </c>
      <c r="K18" s="11" t="n">
        <f aca="false">F18*0.045</f>
        <v>0</v>
      </c>
      <c r="L18" s="11" t="n">
        <f aca="false">G18*0.0225</f>
        <v>0</v>
      </c>
      <c r="M18" s="11" t="n">
        <f aca="false">H18*0.06</f>
        <v>0</v>
      </c>
      <c r="N18" s="11" t="n">
        <f aca="false">I18*0.0225</f>
        <v>0</v>
      </c>
      <c r="O18" s="11" t="n">
        <f aca="false">J18+K18+L18+M18+N18</f>
        <v>0</v>
      </c>
      <c r="P18" s="8"/>
    </row>
    <row r="19" customFormat="false" ht="15" hidden="false" customHeight="true" outlineLevel="0" collapsed="false">
      <c r="A19" s="5" t="n">
        <v>15</v>
      </c>
      <c r="B19" s="6"/>
      <c r="C19" s="6"/>
      <c r="D19" s="6"/>
      <c r="E19" s="6"/>
      <c r="F19" s="6"/>
      <c r="G19" s="6"/>
      <c r="H19" s="6"/>
      <c r="I19" s="6"/>
      <c r="J19" s="10" t="n">
        <f aca="false">E19*0.15</f>
        <v>0</v>
      </c>
      <c r="K19" s="10" t="n">
        <f aca="false">F19*0.045</f>
        <v>0</v>
      </c>
      <c r="L19" s="10" t="n">
        <f aca="false">G19*0.0225</f>
        <v>0</v>
      </c>
      <c r="M19" s="10" t="n">
        <f aca="false">H19*0.06</f>
        <v>0</v>
      </c>
      <c r="N19" s="10" t="n">
        <f aca="false">I19*0.0225</f>
        <v>0</v>
      </c>
      <c r="O19" s="10" t="n">
        <f aca="false">J19+K19+L19+M19+N19</f>
        <v>0</v>
      </c>
      <c r="P19" s="6"/>
    </row>
    <row r="20" customFormat="false" ht="15" hidden="false" customHeight="tru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11" t="n">
        <f aca="false">E20*0.15</f>
        <v>0</v>
      </c>
      <c r="K20" s="11" t="n">
        <f aca="false">F20*0.045</f>
        <v>0</v>
      </c>
      <c r="L20" s="11" t="n">
        <f aca="false">G20*0.0225</f>
        <v>0</v>
      </c>
      <c r="M20" s="11" t="n">
        <f aca="false">H20*0.06</f>
        <v>0</v>
      </c>
      <c r="N20" s="11" t="n">
        <f aca="false">I20*0.0225</f>
        <v>0</v>
      </c>
      <c r="O20" s="11" t="n">
        <f aca="false">J20+K20+L20+M20+N20</f>
        <v>0</v>
      </c>
      <c r="P20" s="8"/>
    </row>
    <row r="21" customFormat="false" ht="15" hidden="false" customHeight="true" outlineLevel="0" collapsed="false">
      <c r="A21" s="5" t="n">
        <v>17</v>
      </c>
      <c r="B21" s="6"/>
      <c r="C21" s="6"/>
      <c r="D21" s="6"/>
      <c r="E21" s="6"/>
      <c r="F21" s="6"/>
      <c r="G21" s="6"/>
      <c r="H21" s="6"/>
      <c r="I21" s="6"/>
      <c r="J21" s="10" t="n">
        <f aca="false">E21*0.15</f>
        <v>0</v>
      </c>
      <c r="K21" s="10" t="n">
        <f aca="false">F21*0.045</f>
        <v>0</v>
      </c>
      <c r="L21" s="10" t="n">
        <f aca="false">G21*0.0225</f>
        <v>0</v>
      </c>
      <c r="M21" s="10" t="n">
        <f aca="false">H21*0.06</f>
        <v>0</v>
      </c>
      <c r="N21" s="10" t="n">
        <f aca="false">I21*0.0225</f>
        <v>0</v>
      </c>
      <c r="O21" s="10" t="n">
        <f aca="false">J21+K21+L21+M21+N21</f>
        <v>0</v>
      </c>
      <c r="P21" s="6"/>
    </row>
    <row r="22" customFormat="false" ht="15" hidden="false" customHeight="tru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11" t="n">
        <f aca="false">E22*0.15</f>
        <v>0</v>
      </c>
      <c r="K22" s="11" t="n">
        <f aca="false">F22*0.045</f>
        <v>0</v>
      </c>
      <c r="L22" s="11" t="n">
        <f aca="false">G22*0.0225</f>
        <v>0</v>
      </c>
      <c r="M22" s="11" t="n">
        <f aca="false">H22*0.06</f>
        <v>0</v>
      </c>
      <c r="N22" s="11" t="n">
        <f aca="false">I22*0.0225</f>
        <v>0</v>
      </c>
      <c r="O22" s="11" t="n">
        <f aca="false">J22+K22+L22+M22+N22</f>
        <v>0</v>
      </c>
      <c r="P22" s="8"/>
    </row>
    <row r="23" customFormat="false" ht="15" hidden="false" customHeight="true" outlineLevel="0" collapsed="false">
      <c r="A23" s="5" t="n">
        <v>19</v>
      </c>
      <c r="B23" s="6"/>
      <c r="C23" s="6"/>
      <c r="D23" s="6"/>
      <c r="E23" s="6"/>
      <c r="F23" s="6"/>
      <c r="G23" s="6"/>
      <c r="H23" s="6"/>
      <c r="I23" s="6"/>
      <c r="J23" s="10" t="n">
        <f aca="false">E23*0.15</f>
        <v>0</v>
      </c>
      <c r="K23" s="10" t="n">
        <f aca="false">F23*0.045</f>
        <v>0</v>
      </c>
      <c r="L23" s="10" t="n">
        <f aca="false">G23*0.0225</f>
        <v>0</v>
      </c>
      <c r="M23" s="10" t="n">
        <f aca="false">H23*0.06</f>
        <v>0</v>
      </c>
      <c r="N23" s="10" t="n">
        <f aca="false">I23*0.0225</f>
        <v>0</v>
      </c>
      <c r="O23" s="10" t="n">
        <f aca="false">J23+K23+L23+M23+N23</f>
        <v>0</v>
      </c>
      <c r="P23" s="6"/>
    </row>
    <row r="24" customFormat="false" ht="15" hidden="false" customHeight="tru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11" t="n">
        <f aca="false">E24*0.15</f>
        <v>0</v>
      </c>
      <c r="K24" s="11" t="n">
        <f aca="false">F24*0.045</f>
        <v>0</v>
      </c>
      <c r="L24" s="11" t="n">
        <f aca="false">G24*0.0225</f>
        <v>0</v>
      </c>
      <c r="M24" s="11" t="n">
        <f aca="false">H24*0.06</f>
        <v>0</v>
      </c>
      <c r="N24" s="11" t="n">
        <f aca="false">I24*0.0225</f>
        <v>0</v>
      </c>
      <c r="O24" s="11" t="n">
        <f aca="false">J24+K24+L24+M24+N24</f>
        <v>0</v>
      </c>
      <c r="P2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12" min="4" style="1" width="14"/>
    <col collapsed="false" customWidth="true" hidden="false" outlineLevel="0" max="13" min="13" style="1" width="16"/>
    <col collapsed="false" customWidth="true" hidden="false" outlineLevel="0" max="14" min="14" style="1" width="20"/>
    <col collapsed="false" customWidth="true" hidden="false" outlineLevel="0" max="16" min="15" style="1" width="14"/>
  </cols>
  <sheetData>
    <row r="1" customFormat="false" ht="30" hidden="false" customHeight="true" outlineLevel="0" collapsed="false">
      <c r="A1" s="2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4.75" hidden="false" customHeight="true" outlineLevel="0" collapsed="false">
      <c r="A2" s="3" t="s">
        <v>66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15" hidden="false" customHeight="true" outlineLevel="0" collapsed="false">
      <c r="A4" s="22" t="s">
        <v>2</v>
      </c>
      <c r="B4" s="22" t="s">
        <v>3</v>
      </c>
      <c r="C4" s="22" t="s">
        <v>67</v>
      </c>
      <c r="D4" s="22" t="s">
        <v>68</v>
      </c>
      <c r="E4" s="22" t="s">
        <v>69</v>
      </c>
      <c r="F4" s="22" t="s">
        <v>70</v>
      </c>
      <c r="G4" s="22" t="s">
        <v>71</v>
      </c>
      <c r="H4" s="22" t="s">
        <v>72</v>
      </c>
      <c r="I4" s="22" t="s">
        <v>73</v>
      </c>
      <c r="J4" s="22" t="s">
        <v>74</v>
      </c>
      <c r="K4" s="22" t="s">
        <v>75</v>
      </c>
      <c r="L4" s="22" t="s">
        <v>76</v>
      </c>
      <c r="M4" s="22" t="s">
        <v>77</v>
      </c>
      <c r="N4" s="22" t="s">
        <v>78</v>
      </c>
      <c r="O4" s="22" t="s">
        <v>14</v>
      </c>
      <c r="P4" s="22" t="s">
        <v>15</v>
      </c>
    </row>
    <row r="5" customFormat="false" ht="15" hidden="false" customHeight="true" outlineLevel="0" collapsed="false">
      <c r="A5" s="5" t="n">
        <v>1</v>
      </c>
      <c r="B5" s="6"/>
      <c r="C5" s="23" t="s">
        <v>79</v>
      </c>
      <c r="D5" s="6"/>
      <c r="E5" s="6"/>
      <c r="F5" s="6"/>
      <c r="G5" s="6"/>
      <c r="H5" s="6"/>
      <c r="I5" s="24" t="n">
        <f aca="false">H5-D5</f>
        <v>0</v>
      </c>
      <c r="J5" s="24" t="n">
        <f aca="false">IF(COUNTA(D5:H5)&gt;0,AVERAGE(D5:H5),0)</f>
        <v>0</v>
      </c>
      <c r="K5" s="24" t="n">
        <f aca="false">MAX(D5:H5)</f>
        <v>0</v>
      </c>
      <c r="L5" s="24" t="n">
        <f aca="false">MIN(D5:H5)</f>
        <v>0</v>
      </c>
      <c r="M5" s="6"/>
      <c r="N5" s="6"/>
      <c r="O5" s="6"/>
      <c r="P5" s="6"/>
    </row>
    <row r="6" customFormat="false" ht="15" hidden="false" customHeight="true" outlineLevel="0" collapsed="false">
      <c r="A6" s="7" t="n">
        <v>2</v>
      </c>
      <c r="B6" s="8"/>
      <c r="C6" s="25" t="s">
        <v>80</v>
      </c>
      <c r="D6" s="8"/>
      <c r="E6" s="8"/>
      <c r="F6" s="8"/>
      <c r="G6" s="8"/>
      <c r="H6" s="8"/>
      <c r="I6" s="26" t="n">
        <f aca="false">H6-D6</f>
        <v>0</v>
      </c>
      <c r="J6" s="26" t="n">
        <f aca="false">IF(COUNTA(D6:H6)&gt;0,AVERAGE(D6:H6),0)</f>
        <v>0</v>
      </c>
      <c r="K6" s="26" t="n">
        <f aca="false">MAX(D6:H6)</f>
        <v>0</v>
      </c>
      <c r="L6" s="26" t="n">
        <f aca="false">MIN(D6:H6)</f>
        <v>0</v>
      </c>
      <c r="M6" s="8"/>
      <c r="N6" s="8"/>
      <c r="O6" s="8"/>
      <c r="P6" s="8"/>
    </row>
    <row r="7" customFormat="false" ht="23.25" hidden="false" customHeight="true" outlineLevel="0" collapsed="false">
      <c r="A7" s="5" t="n">
        <v>3</v>
      </c>
      <c r="B7" s="6"/>
      <c r="C7" s="23" t="s">
        <v>81</v>
      </c>
      <c r="D7" s="6"/>
      <c r="E7" s="6"/>
      <c r="F7" s="6"/>
      <c r="G7" s="6"/>
      <c r="H7" s="6"/>
      <c r="I7" s="24" t="n">
        <f aca="false">H7-D7</f>
        <v>0</v>
      </c>
      <c r="J7" s="24" t="n">
        <f aca="false">IF(COUNTA(D7:H7)&gt;0,AVERAGE(D7:H7),0)</f>
        <v>0</v>
      </c>
      <c r="K7" s="24" t="n">
        <f aca="false">MAX(D7:H7)</f>
        <v>0</v>
      </c>
      <c r="L7" s="24" t="n">
        <f aca="false">MIN(D7:H7)</f>
        <v>0</v>
      </c>
      <c r="M7" s="6"/>
      <c r="N7" s="6"/>
      <c r="O7" s="6"/>
      <c r="P7" s="6"/>
    </row>
    <row r="8" customFormat="false" ht="15" hidden="false" customHeight="true" outlineLevel="0" collapsed="false">
      <c r="A8" s="7" t="n">
        <v>4</v>
      </c>
      <c r="B8" s="8"/>
      <c r="C8" s="25" t="s">
        <v>82</v>
      </c>
      <c r="D8" s="8"/>
      <c r="E8" s="8"/>
      <c r="F8" s="8"/>
      <c r="G8" s="8"/>
      <c r="H8" s="8"/>
      <c r="I8" s="26" t="n">
        <f aca="false">H8-D8</f>
        <v>0</v>
      </c>
      <c r="J8" s="26" t="n">
        <f aca="false">IF(COUNTA(D8:H8)&gt;0,AVERAGE(D8:H8),0)</f>
        <v>0</v>
      </c>
      <c r="K8" s="26" t="n">
        <f aca="false">MAX(D8:H8)</f>
        <v>0</v>
      </c>
      <c r="L8" s="26" t="n">
        <f aca="false">MIN(D8:H8)</f>
        <v>0</v>
      </c>
      <c r="M8" s="8"/>
      <c r="N8" s="8"/>
      <c r="O8" s="8"/>
      <c r="P8" s="8"/>
    </row>
    <row r="9" customFormat="false" ht="15" hidden="false" customHeight="true" outlineLevel="0" collapsed="false">
      <c r="A9" s="5" t="n">
        <v>5</v>
      </c>
      <c r="B9" s="6"/>
      <c r="C9" s="23" t="s">
        <v>83</v>
      </c>
      <c r="D9" s="6"/>
      <c r="E9" s="6"/>
      <c r="F9" s="6"/>
      <c r="G9" s="6"/>
      <c r="H9" s="6"/>
      <c r="I9" s="24" t="n">
        <f aca="false">H9-D9</f>
        <v>0</v>
      </c>
      <c r="J9" s="24" t="n">
        <f aca="false">IF(COUNTA(D9:H9)&gt;0,AVERAGE(D9:H9),0)</f>
        <v>0</v>
      </c>
      <c r="K9" s="24" t="n">
        <f aca="false">MAX(D9:H9)</f>
        <v>0</v>
      </c>
      <c r="L9" s="24" t="n">
        <f aca="false">MIN(D9:H9)</f>
        <v>0</v>
      </c>
      <c r="M9" s="6"/>
      <c r="N9" s="6"/>
      <c r="O9" s="6"/>
      <c r="P9" s="6"/>
    </row>
    <row r="10" customFormat="false" ht="23.25" hidden="false" customHeight="true" outlineLevel="0" collapsed="false">
      <c r="A10" s="7" t="n">
        <v>6</v>
      </c>
      <c r="B10" s="8"/>
      <c r="C10" s="25" t="s">
        <v>84</v>
      </c>
      <c r="D10" s="8"/>
      <c r="E10" s="8"/>
      <c r="F10" s="8"/>
      <c r="G10" s="8"/>
      <c r="H10" s="8"/>
      <c r="I10" s="26" t="n">
        <f aca="false">H10-D10</f>
        <v>0</v>
      </c>
      <c r="J10" s="26" t="n">
        <f aca="false">IF(COUNTA(D10:H10)&gt;0,AVERAGE(D10:H10),0)</f>
        <v>0</v>
      </c>
      <c r="K10" s="26" t="n">
        <f aca="false">MAX(D10:H10)</f>
        <v>0</v>
      </c>
      <c r="L10" s="26" t="n">
        <f aca="false">MIN(D10:H10)</f>
        <v>0</v>
      </c>
      <c r="M10" s="8"/>
      <c r="N10" s="8"/>
      <c r="O10" s="8"/>
      <c r="P10" s="8"/>
    </row>
    <row r="11" customFormat="false" ht="15" hidden="false" customHeight="true" outlineLevel="0" collapsed="false">
      <c r="A11" s="5" t="n">
        <v>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customFormat="false" ht="15" hidden="false" customHeight="true" outlineLevel="0" collapsed="false">
      <c r="A12" s="7" t="n">
        <v>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true" outlineLevel="0" collapsed="false">
      <c r="A13" s="5" t="n">
        <v>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customFormat="false" ht="15" hidden="false" customHeight="true" outlineLevel="0" collapsed="false">
      <c r="A14" s="7" t="n">
        <v>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28"/>
    <col collapsed="false" customWidth="true" hidden="false" outlineLevel="0" max="4" min="4" style="1" width="34"/>
    <col collapsed="false" customWidth="true" hidden="false" outlineLevel="0" max="5" min="5" style="1" width="24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2" min="11" style="1" width="14"/>
  </cols>
  <sheetData>
    <row r="1" customFormat="false" ht="30" hidden="false" customHeight="true" outlineLevel="0" collapsed="false">
      <c r="A1" s="2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.75" hidden="false" customHeight="true" outlineLevel="0" collapsed="false">
      <c r="A2" s="3" t="s">
        <v>86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5" hidden="false" customHeight="true" outlineLevel="0" collapsed="false">
      <c r="A4" s="27" t="s">
        <v>2</v>
      </c>
      <c r="B4" s="27" t="s">
        <v>87</v>
      </c>
      <c r="C4" s="27" t="s">
        <v>88</v>
      </c>
      <c r="D4" s="27" t="s">
        <v>89</v>
      </c>
      <c r="E4" s="27" t="s">
        <v>90</v>
      </c>
      <c r="F4" s="27" t="s">
        <v>91</v>
      </c>
      <c r="G4" s="27" t="s">
        <v>92</v>
      </c>
      <c r="H4" s="27" t="s">
        <v>93</v>
      </c>
      <c r="I4" s="27" t="s">
        <v>94</v>
      </c>
      <c r="J4" s="27" t="s">
        <v>95</v>
      </c>
      <c r="K4" s="27" t="s">
        <v>96</v>
      </c>
      <c r="L4" s="27" t="s">
        <v>15</v>
      </c>
    </row>
    <row r="5" customFormat="false" ht="34.5" hidden="false" customHeight="true" outlineLevel="0" collapsed="false">
      <c r="A5" s="5" t="n">
        <v>1</v>
      </c>
      <c r="B5" s="28" t="s">
        <v>79</v>
      </c>
      <c r="C5" s="29" t="s">
        <v>97</v>
      </c>
      <c r="D5" s="29" t="s">
        <v>98</v>
      </c>
      <c r="E5" s="5" t="s">
        <v>99</v>
      </c>
      <c r="F5" s="6"/>
      <c r="G5" s="6"/>
      <c r="H5" s="6"/>
      <c r="I5" s="6"/>
      <c r="J5" s="6"/>
      <c r="K5" s="6"/>
      <c r="L5" s="6"/>
    </row>
    <row r="6" customFormat="false" ht="34.5" hidden="false" customHeight="true" outlineLevel="0" collapsed="false">
      <c r="A6" s="7" t="n">
        <v>2</v>
      </c>
      <c r="B6" s="30" t="s">
        <v>79</v>
      </c>
      <c r="C6" s="31" t="s">
        <v>100</v>
      </c>
      <c r="D6" s="31" t="s">
        <v>101</v>
      </c>
      <c r="E6" s="7" t="s">
        <v>102</v>
      </c>
      <c r="F6" s="8"/>
      <c r="G6" s="8"/>
      <c r="H6" s="8"/>
      <c r="I6" s="8"/>
      <c r="J6" s="8"/>
      <c r="K6" s="8"/>
      <c r="L6" s="8"/>
    </row>
    <row r="7" customFormat="false" ht="34.5" hidden="false" customHeight="true" outlineLevel="0" collapsed="false">
      <c r="A7" s="5" t="n">
        <v>3</v>
      </c>
      <c r="B7" s="28" t="s">
        <v>103</v>
      </c>
      <c r="C7" s="29" t="s">
        <v>104</v>
      </c>
      <c r="D7" s="29" t="s">
        <v>105</v>
      </c>
      <c r="E7" s="5" t="s">
        <v>106</v>
      </c>
      <c r="F7" s="6"/>
      <c r="G7" s="6"/>
      <c r="H7" s="6"/>
      <c r="I7" s="6"/>
      <c r="J7" s="6"/>
      <c r="K7" s="6"/>
      <c r="L7" s="6"/>
    </row>
    <row r="8" customFormat="false" ht="23.25" hidden="false" customHeight="true" outlineLevel="0" collapsed="false">
      <c r="A8" s="7" t="n">
        <v>4</v>
      </c>
      <c r="B8" s="30" t="s">
        <v>103</v>
      </c>
      <c r="C8" s="31" t="s">
        <v>107</v>
      </c>
      <c r="D8" s="31" t="s">
        <v>108</v>
      </c>
      <c r="E8" s="7" t="s">
        <v>109</v>
      </c>
      <c r="F8" s="8"/>
      <c r="G8" s="8"/>
      <c r="H8" s="8"/>
      <c r="I8" s="8"/>
      <c r="J8" s="8"/>
      <c r="K8" s="8"/>
      <c r="L8" s="8"/>
    </row>
    <row r="9" customFormat="false" ht="34.5" hidden="false" customHeight="true" outlineLevel="0" collapsed="false">
      <c r="A9" s="5" t="n">
        <v>5</v>
      </c>
      <c r="B9" s="28" t="s">
        <v>110</v>
      </c>
      <c r="C9" s="29" t="s">
        <v>111</v>
      </c>
      <c r="D9" s="29" t="s">
        <v>112</v>
      </c>
      <c r="E9" s="5" t="s">
        <v>113</v>
      </c>
      <c r="F9" s="6"/>
      <c r="G9" s="6"/>
      <c r="H9" s="6"/>
      <c r="I9" s="6"/>
      <c r="J9" s="6"/>
      <c r="K9" s="6"/>
      <c r="L9" s="6"/>
    </row>
    <row r="10" customFormat="false" ht="23.25" hidden="false" customHeight="true" outlineLevel="0" collapsed="false">
      <c r="A10" s="7" t="n">
        <v>6</v>
      </c>
      <c r="B10" s="30" t="s">
        <v>110</v>
      </c>
      <c r="C10" s="31" t="s">
        <v>114</v>
      </c>
      <c r="D10" s="31" t="s">
        <v>115</v>
      </c>
      <c r="E10" s="7" t="s">
        <v>116</v>
      </c>
      <c r="F10" s="8"/>
      <c r="G10" s="8"/>
      <c r="H10" s="8"/>
      <c r="I10" s="8"/>
      <c r="J10" s="8"/>
      <c r="K10" s="8"/>
      <c r="L10" s="8"/>
    </row>
    <row r="11" customFormat="false" ht="34.5" hidden="false" customHeight="true" outlineLevel="0" collapsed="false">
      <c r="A11" s="5" t="n">
        <v>7</v>
      </c>
      <c r="B11" s="28" t="s">
        <v>117</v>
      </c>
      <c r="C11" s="29" t="s">
        <v>118</v>
      </c>
      <c r="D11" s="29" t="s">
        <v>119</v>
      </c>
      <c r="E11" s="5" t="s">
        <v>120</v>
      </c>
      <c r="F11" s="6"/>
      <c r="G11" s="6"/>
      <c r="H11" s="6"/>
      <c r="I11" s="6"/>
      <c r="J11" s="6"/>
      <c r="K11" s="6"/>
      <c r="L11" s="6"/>
    </row>
    <row r="12" customFormat="false" ht="23.25" hidden="false" customHeight="true" outlineLevel="0" collapsed="false">
      <c r="A12" s="7" t="n">
        <v>8</v>
      </c>
      <c r="B12" s="30" t="s">
        <v>117</v>
      </c>
      <c r="C12" s="31" t="s">
        <v>121</v>
      </c>
      <c r="D12" s="31" t="s">
        <v>122</v>
      </c>
      <c r="E12" s="7" t="s">
        <v>123</v>
      </c>
      <c r="F12" s="8"/>
      <c r="G12" s="8"/>
      <c r="H12" s="8"/>
      <c r="I12" s="8"/>
      <c r="J12" s="8"/>
      <c r="K12" s="8"/>
      <c r="L12" s="8"/>
    </row>
    <row r="13" customFormat="false" ht="34.5" hidden="false" customHeight="true" outlineLevel="0" collapsed="false">
      <c r="A13" s="5" t="n">
        <v>9</v>
      </c>
      <c r="B13" s="28" t="s">
        <v>124</v>
      </c>
      <c r="C13" s="29" t="s">
        <v>125</v>
      </c>
      <c r="D13" s="29" t="s">
        <v>126</v>
      </c>
      <c r="E13" s="5" t="s">
        <v>127</v>
      </c>
      <c r="F13" s="6"/>
      <c r="G13" s="6"/>
      <c r="H13" s="6"/>
      <c r="I13" s="6"/>
      <c r="J13" s="6"/>
      <c r="K13" s="6"/>
      <c r="L13" s="6"/>
    </row>
    <row r="14" customFormat="false" ht="23.25" hidden="false" customHeight="true" outlineLevel="0" collapsed="false">
      <c r="A14" s="7" t="n">
        <v>10</v>
      </c>
      <c r="B14" s="30" t="s">
        <v>124</v>
      </c>
      <c r="C14" s="31" t="s">
        <v>128</v>
      </c>
      <c r="D14" s="31" t="s">
        <v>129</v>
      </c>
      <c r="E14" s="7" t="s">
        <v>130</v>
      </c>
      <c r="F14" s="8"/>
      <c r="G14" s="8"/>
      <c r="H14" s="8"/>
      <c r="I14" s="8"/>
      <c r="J14" s="8"/>
      <c r="K14" s="8"/>
      <c r="L14" s="8"/>
    </row>
    <row r="15" customFormat="false" ht="23.25" hidden="false" customHeight="true" outlineLevel="0" collapsed="false">
      <c r="A15" s="5" t="n">
        <v>11</v>
      </c>
      <c r="B15" s="28" t="s">
        <v>131</v>
      </c>
      <c r="C15" s="29" t="s">
        <v>132</v>
      </c>
      <c r="D15" s="29" t="s">
        <v>133</v>
      </c>
      <c r="E15" s="5" t="s">
        <v>134</v>
      </c>
      <c r="F15" s="6"/>
      <c r="G15" s="6"/>
      <c r="H15" s="6"/>
      <c r="I15" s="6"/>
      <c r="J15" s="6"/>
      <c r="K15" s="6"/>
      <c r="L15" s="6"/>
    </row>
    <row r="16" customFormat="false" ht="34.5" hidden="false" customHeight="true" outlineLevel="0" collapsed="false">
      <c r="A16" s="7" t="n">
        <v>12</v>
      </c>
      <c r="B16" s="30" t="s">
        <v>131</v>
      </c>
      <c r="C16" s="31" t="s">
        <v>135</v>
      </c>
      <c r="D16" s="31" t="s">
        <v>136</v>
      </c>
      <c r="E16" s="7" t="s">
        <v>137</v>
      </c>
      <c r="F16" s="8"/>
      <c r="G16" s="8"/>
      <c r="H16" s="8"/>
      <c r="I16" s="8"/>
      <c r="J16" s="8"/>
      <c r="K16" s="8"/>
      <c r="L16" s="8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0"/>
    <col collapsed="false" customWidth="true" hidden="false" outlineLevel="0" max="4" min="4" style="1" width="48"/>
    <col collapsed="false" customWidth="true" hidden="false" outlineLevel="0" max="5" min="5" style="1" width="28"/>
    <col collapsed="false" customWidth="true" hidden="false" outlineLevel="0" max="6" min="6" style="1" width="14"/>
  </cols>
  <sheetData>
    <row r="1" customFormat="false" ht="30" hidden="false" customHeight="true" outlineLevel="0" collapsed="false">
      <c r="A1" s="2" t="s">
        <v>138</v>
      </c>
      <c r="B1" s="2"/>
      <c r="C1" s="2"/>
      <c r="D1" s="2"/>
      <c r="E1" s="2"/>
      <c r="F1" s="2"/>
    </row>
    <row r="3" customFormat="false" ht="24.75" hidden="false" customHeight="true" outlineLevel="0" collapsed="false">
      <c r="A3" s="3" t="s">
        <v>139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140</v>
      </c>
      <c r="B4" s="4" t="s">
        <v>141</v>
      </c>
      <c r="C4" s="4" t="s">
        <v>142</v>
      </c>
      <c r="D4" s="4" t="s">
        <v>143</v>
      </c>
      <c r="E4" s="4" t="s">
        <v>144</v>
      </c>
      <c r="F4" s="4" t="s">
        <v>145</v>
      </c>
    </row>
    <row r="5" customFormat="false" ht="45.75" hidden="false" customHeight="true" outlineLevel="0" collapsed="false">
      <c r="A5" s="32" t="n">
        <v>1</v>
      </c>
      <c r="B5" s="33" t="s">
        <v>146</v>
      </c>
      <c r="C5" s="33" t="s">
        <v>147</v>
      </c>
      <c r="D5" s="33" t="s">
        <v>148</v>
      </c>
      <c r="E5" s="33" t="s">
        <v>149</v>
      </c>
      <c r="F5" s="33" t="s">
        <v>150</v>
      </c>
    </row>
    <row r="6" customFormat="false" ht="45.75" hidden="false" customHeight="true" outlineLevel="0" collapsed="false">
      <c r="A6" s="32" t="n">
        <v>2</v>
      </c>
      <c r="B6" s="33" t="s">
        <v>20</v>
      </c>
      <c r="C6" s="33" t="s">
        <v>151</v>
      </c>
      <c r="D6" s="33" t="s">
        <v>152</v>
      </c>
      <c r="E6" s="33" t="s">
        <v>153</v>
      </c>
      <c r="F6" s="33" t="s">
        <v>150</v>
      </c>
    </row>
    <row r="7" customFormat="false" ht="45.75" hidden="false" customHeight="true" outlineLevel="0" collapsed="false">
      <c r="A7" s="32" t="n">
        <v>3</v>
      </c>
      <c r="B7" s="33" t="s">
        <v>154</v>
      </c>
      <c r="C7" s="33" t="s">
        <v>155</v>
      </c>
      <c r="D7" s="33" t="s">
        <v>156</v>
      </c>
      <c r="E7" s="33" t="s">
        <v>157</v>
      </c>
      <c r="F7" s="33" t="s">
        <v>150</v>
      </c>
    </row>
    <row r="8" customFormat="false" ht="34.5" hidden="false" customHeight="true" outlineLevel="0" collapsed="false">
      <c r="A8" s="32" t="n">
        <v>4</v>
      </c>
      <c r="B8" s="33" t="s">
        <v>158</v>
      </c>
      <c r="C8" s="33" t="s">
        <v>159</v>
      </c>
      <c r="D8" s="33" t="s">
        <v>160</v>
      </c>
      <c r="E8" s="33" t="s">
        <v>161</v>
      </c>
      <c r="F8" s="33" t="s">
        <v>150</v>
      </c>
    </row>
    <row r="9" customFormat="false" ht="45.75" hidden="false" customHeight="true" outlineLevel="0" collapsed="false">
      <c r="A9" s="32" t="n">
        <v>5</v>
      </c>
      <c r="B9" s="33" t="s">
        <v>162</v>
      </c>
      <c r="C9" s="33" t="s">
        <v>155</v>
      </c>
      <c r="D9" s="33" t="s">
        <v>163</v>
      </c>
      <c r="E9" s="33" t="s">
        <v>164</v>
      </c>
      <c r="F9" s="33" t="s">
        <v>150</v>
      </c>
    </row>
    <row r="10" customFormat="false" ht="45.75" hidden="false" customHeight="true" outlineLevel="0" collapsed="false">
      <c r="A10" s="32" t="s">
        <v>165</v>
      </c>
      <c r="B10" s="33" t="s">
        <v>166</v>
      </c>
      <c r="C10" s="33" t="s">
        <v>167</v>
      </c>
      <c r="D10" s="33" t="s">
        <v>168</v>
      </c>
      <c r="E10" s="33" t="s">
        <v>169</v>
      </c>
      <c r="F10" s="33" t="s">
        <v>150</v>
      </c>
    </row>
    <row r="13" customFormat="false" ht="24.75" hidden="false" customHeight="true" outlineLevel="0" collapsed="false">
      <c r="A13" s="3" t="s">
        <v>170</v>
      </c>
      <c r="B13" s="3"/>
      <c r="C13" s="3"/>
      <c r="D13" s="3"/>
      <c r="E13" s="3"/>
      <c r="F13" s="3"/>
    </row>
    <row r="14" customFormat="false" ht="15" hidden="false" customHeight="true" outlineLevel="0" collapsed="false">
      <c r="A14" s="34" t="s">
        <v>171</v>
      </c>
      <c r="B14" s="34"/>
      <c r="C14" s="34"/>
      <c r="D14" s="34"/>
      <c r="E14" s="34"/>
      <c r="F14" s="34"/>
    </row>
    <row r="15" customFormat="false" ht="15" hidden="false" customHeight="true" outlineLevel="0" collapsed="false">
      <c r="A15" s="34" t="s">
        <v>172</v>
      </c>
      <c r="B15" s="34"/>
      <c r="C15" s="34"/>
      <c r="D15" s="34"/>
      <c r="E15" s="34"/>
      <c r="F15" s="34"/>
    </row>
    <row r="16" customFormat="false" ht="23.25" hidden="false" customHeight="true" outlineLevel="0" collapsed="false">
      <c r="A16" s="34" t="s">
        <v>173</v>
      </c>
      <c r="B16" s="34"/>
      <c r="C16" s="34"/>
      <c r="D16" s="34"/>
      <c r="E16" s="34"/>
      <c r="F16" s="34"/>
    </row>
    <row r="17" customFormat="false" ht="23.25" hidden="false" customHeight="true" outlineLevel="0" collapsed="false">
      <c r="A17" s="34" t="s">
        <v>174</v>
      </c>
      <c r="B17" s="34"/>
      <c r="C17" s="34"/>
      <c r="D17" s="34"/>
      <c r="E17" s="34"/>
      <c r="F17" s="34"/>
    </row>
    <row r="18" customFormat="false" ht="23.25" hidden="false" customHeight="true" outlineLevel="0" collapsed="false">
      <c r="A18" s="34" t="s">
        <v>175</v>
      </c>
      <c r="B18" s="34"/>
      <c r="C18" s="34"/>
      <c r="D18" s="34"/>
      <c r="E18" s="34"/>
      <c r="F18" s="34"/>
    </row>
    <row r="19" customFormat="false" ht="15" hidden="false" customHeight="true" outlineLevel="0" collapsed="false">
      <c r="A19" s="34" t="s">
        <v>176</v>
      </c>
      <c r="B19" s="34"/>
      <c r="C19" s="34"/>
      <c r="D19" s="34"/>
      <c r="E19" s="34"/>
      <c r="F19" s="34"/>
    </row>
    <row r="20" customFormat="false" ht="23.25" hidden="false" customHeight="true" outlineLevel="0" collapsed="false">
      <c r="A20" s="34" t="s">
        <v>177</v>
      </c>
      <c r="B20" s="34"/>
      <c r="C20" s="34"/>
      <c r="D20" s="34"/>
      <c r="E20" s="34"/>
      <c r="F20" s="34"/>
    </row>
    <row r="21" customFormat="false" ht="15" hidden="false" customHeight="true" outlineLevel="0" collapsed="false">
      <c r="A21" s="34" t="s">
        <v>178</v>
      </c>
      <c r="B21" s="34"/>
      <c r="C21" s="34"/>
      <c r="D21" s="34"/>
      <c r="E21" s="34"/>
      <c r="F21" s="34"/>
    </row>
    <row r="22" customFormat="false" ht="15" hidden="false" customHeight="true" outlineLevel="0" collapsed="false">
      <c r="A22" s="34" t="s">
        <v>179</v>
      </c>
      <c r="B22" s="34"/>
      <c r="C22" s="34"/>
      <c r="D22" s="34"/>
      <c r="E22" s="34"/>
      <c r="F22" s="34"/>
    </row>
    <row r="23" customFormat="false" ht="15" hidden="false" customHeight="true" outlineLevel="0" collapsed="false">
      <c r="A23" s="34" t="s">
        <v>180</v>
      </c>
      <c r="B23" s="34"/>
      <c r="C23" s="34"/>
      <c r="D23" s="34"/>
      <c r="E23" s="34"/>
      <c r="F23" s="34"/>
    </row>
    <row r="24" customFormat="false" ht="15" hidden="false" customHeight="true" outlineLevel="0" collapsed="false">
      <c r="A24" s="34" t="s">
        <v>181</v>
      </c>
      <c r="B24" s="34"/>
      <c r="C24" s="34"/>
      <c r="D24" s="34"/>
      <c r="E24" s="34"/>
      <c r="F24" s="34"/>
    </row>
    <row r="25" customFormat="false" ht="15" hidden="false" customHeight="true" outlineLevel="0" collapsed="false">
      <c r="A25" s="34" t="s">
        <v>182</v>
      </c>
      <c r="B25" s="34"/>
      <c r="C25" s="34"/>
      <c r="D25" s="34"/>
      <c r="E25" s="34"/>
      <c r="F25" s="34"/>
    </row>
    <row r="26" customFormat="false" ht="23.25" hidden="false" customHeight="true" outlineLevel="0" collapsed="false">
      <c r="A26" s="34" t="s">
        <v>183</v>
      </c>
      <c r="B26" s="34"/>
      <c r="C26" s="34"/>
      <c r="D26" s="34"/>
      <c r="E26" s="34"/>
      <c r="F26" s="34"/>
    </row>
    <row r="27" customFormat="false" ht="15" hidden="false" customHeight="true" outlineLevel="0" collapsed="false">
      <c r="A27" s="34" t="s">
        <v>184</v>
      </c>
      <c r="B27" s="34"/>
      <c r="C27" s="34"/>
      <c r="D27" s="34"/>
      <c r="E27" s="34"/>
      <c r="F27" s="34"/>
    </row>
    <row r="29" customFormat="false" ht="24.75" hidden="false" customHeight="true" outlineLevel="0" collapsed="false">
      <c r="A29" s="3" t="s">
        <v>185</v>
      </c>
      <c r="B29" s="3"/>
      <c r="C29" s="3"/>
      <c r="D29" s="3"/>
      <c r="E29" s="3"/>
      <c r="F29" s="3"/>
    </row>
    <row r="30" customFormat="false" ht="23.25" hidden="false" customHeight="true" outlineLevel="0" collapsed="false">
      <c r="A30" s="34" t="s">
        <v>186</v>
      </c>
      <c r="B30" s="34"/>
      <c r="C30" s="34"/>
      <c r="D30" s="34"/>
      <c r="E30" s="34"/>
      <c r="F30" s="34"/>
    </row>
    <row r="31" customFormat="false" ht="15" hidden="false" customHeight="true" outlineLevel="0" collapsed="false">
      <c r="A31" s="34" t="s">
        <v>187</v>
      </c>
      <c r="B31" s="34"/>
      <c r="C31" s="34"/>
      <c r="D31" s="34"/>
      <c r="E31" s="34"/>
      <c r="F31" s="34"/>
    </row>
    <row r="32" customFormat="false" ht="15" hidden="false" customHeight="true" outlineLevel="0" collapsed="false">
      <c r="A32" s="34" t="s">
        <v>188</v>
      </c>
      <c r="B32" s="34"/>
      <c r="C32" s="34"/>
      <c r="D32" s="34"/>
      <c r="E32" s="34"/>
      <c r="F32" s="34"/>
    </row>
    <row r="33" customFormat="false" ht="15" hidden="false" customHeight="true" outlineLevel="0" collapsed="false">
      <c r="A33" s="34" t="s">
        <v>189</v>
      </c>
      <c r="B33" s="34"/>
      <c r="C33" s="34"/>
      <c r="D33" s="34"/>
      <c r="E33" s="34"/>
      <c r="F33" s="34"/>
    </row>
    <row r="34" customFormat="false" ht="15" hidden="false" customHeight="true" outlineLevel="0" collapsed="false">
      <c r="A34" s="34" t="s">
        <v>190</v>
      </c>
      <c r="B34" s="34"/>
      <c r="C34" s="34"/>
      <c r="D34" s="34"/>
      <c r="E34" s="34"/>
      <c r="F34" s="34"/>
    </row>
    <row r="35" customFormat="false" ht="15" hidden="false" customHeight="true" outlineLevel="0" collapsed="false">
      <c r="A35" s="34" t="s">
        <v>191</v>
      </c>
      <c r="B35" s="34"/>
      <c r="C35" s="34"/>
      <c r="D35" s="34"/>
      <c r="E35" s="34"/>
      <c r="F35" s="34"/>
    </row>
  </sheetData>
  <mergeCells count="24">
    <mergeCell ref="A1:F1"/>
    <mergeCell ref="A3:F3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9:F29"/>
    <mergeCell ref="A30:F30"/>
    <mergeCell ref="A31:F31"/>
    <mergeCell ref="A32:F32"/>
    <mergeCell ref="A33:F33"/>
    <mergeCell ref="A34:F34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2026-04-13T12:10:37Z</dcterms:created>
  <dc:creator>openpyxl</dc:creator>
  <dc:description/>
  <dc:language>en-US</dc:language>
  <cp:lastModifiedBy/>
  <dcterms:modified xsi:type="dcterms:W3CDTF">2026-04-13T12:10:54Z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