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Doctorates Awarded" sheetId="2" state="visible" r:id="rId4"/>
    <sheet name="2. Academic Staff FTE" sheetId="3" state="visible" r:id="rId5"/>
    <sheet name="3. Ratio Calculation" sheetId="4" state="visible" r:id="rId6"/>
    <sheet name="4. Dept-Level Ratios" sheetId="5" state="visible" r:id="rId7"/>
    <sheet name="5. YoY Trend" sheetId="6" state="visible" r:id="rId8"/>
    <sheet name="6. PhD Pipeline" sheetId="7" state="visible" r:id="rId9"/>
    <sheet name="7. Action Plan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<sst xmlns="http://schemas.openxmlformats.org/spreadsheetml/2006/main" count="314" uniqueCount="257">
  <si>
    <t xml:space="preserve">THE WUR — Teaching (29.5%) → Doctorates Awarded-to-Academic Staff Ratio (5.5%)</t>
  </si>
  <si>
    <t xml:space="preserve">Measures Doctoral Productivity &amp; Supervision Capacity | Higher Ratio = Stronger Research-Led Teaching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</si>
  <si>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</si>
  <si>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</si>
  <si>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</si>
  <si>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</si>
  <si>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Doctorates Awarded-to-Staff Ratio</t>
  </si>
  <si>
    <t xml:space="preserve">Number of doctoral degrees (PhD) conferred in the most recent academic year, divided by academic staff FTE. Computed as: Doctorates Awarded (annual) ÷ Academic Staff FTE. Higher ratio = more productive doctoral supervision ecosystem. Signals that the institution's faculty are actively supervising and graduating PhD students, which enriches the overall teaching environment.</t>
  </si>
  <si>
    <t xml:space="preserve">5.5% of WUR</t>
  </si>
  <si>
    <t xml:space="preserve">Doctorates Awarded (Numerator)</t>
  </si>
  <si>
    <t xml:space="preserve">Count of doctoral degrees conferred (not enrolled — AWARDED/COMPLETED) in the most recent academic year or averaged over 3 years. Includes: PhD degrees, professional doctorates (EdD, DBA, MD-PhD) if thesis-based, and equivalent research doctorates. Excludes: honorary doctorates, MPhil/MRes, and degrees conferred but not yet formally gazetted.</t>
  </si>
  <si>
    <t xml:space="preserve">Numerator</t>
  </si>
  <si>
    <t xml:space="preserve">Academic Staff FTE (Denominator)</t>
  </si>
  <si>
    <t xml:space="preserve">Same THE-compliant definition used in Staff-to-Student Ratio: full-time equivalent academic &amp; research staff with teaching duties. Professors, associate professors, assistant professors, lecturers, research fellows WITH teaching. Excludes: admin, technical, support staff, research-only staff, visiting faculty below threshold.</t>
  </si>
  <si>
    <t xml:space="preserve">Denominator</t>
  </si>
  <si>
    <t xml:space="preserve">Scoring Logic</t>
  </si>
  <si>
    <t xml:space="preserve">THE normalizes the raw ratio using z-scoring across all ranked universities. Higher ratio = higher z-score = better rank. Research-intensive universities with large, efficient doctoral programmes relative to faculty size score highest. This indicator rewards both SCALE (many doctorates) and EFFICIENCY (relative to staff size).</t>
  </si>
  <si>
    <t xml:space="preserve">Normalization</t>
  </si>
  <si>
    <t xml:space="preserve">Context: Teaching Pillar</t>
  </si>
  <si>
    <t xml:space="preserve">Teaching (29.5%) = Teaching Reputation (15%) + Staff-to-Student Ratio (4.5%) + Doctorates Awarded per Staff (5.5%) + Doctorate-to-Bachelor's Ratio (2%) + Institutional Income (2.5%). At 5.5%, this is the SECOND-LARGEST sub-indicator in Teaching after reputation. Difficulty: 🟡 Moderate (1–3 years) — depends on PhD completion pipeline.</t>
  </si>
  <si>
    <t xml:space="preserve">5.5% of 29.5%</t>
  </si>
  <si>
    <t xml:space="preserve">Improvement Strategies (from Strategic Roadmap)</t>
  </si>
  <si>
    <t xml:space="preserve">• Increase PhD completions — focus on reducing time-to-completion and attrition.</t>
  </si>
  <si>
    <t xml:space="preserve">• Strengthen supervisor training, doctoral review boards, and progress monitoring.</t>
  </si>
  <si>
    <t xml:space="preserve">• Establish seed funding for PhD support (stipends, conference travel, lab access).</t>
  </si>
  <si>
    <t xml:space="preserve">• Set up Centres of Excellence (CoEs) to attract and accelerate doctoral research.</t>
  </si>
  <si>
    <t xml:space="preserve">• Implement structured doctoral programmes with milestones and annual progress reviews.</t>
  </si>
  <si>
    <t xml:space="preserve">• Partner with industry for co-funded PhDs to increase capacity without full university funding.</t>
  </si>
  <si>
    <t xml:space="preserve">• Recruit postdoctoral fellows to assist with PhD supervision (increases throughput without new faculty).</t>
  </si>
  <si>
    <t xml:space="preserve">• Improve research infrastructure (labs, libraries, HPC) to reduce PhD duration.</t>
  </si>
  <si>
    <t xml:space="preserve">• Difficulty: 🟡 Moderate (1–3 years). Depends on PhD pipeline; completions lag enrolment by 3–5 years.</t>
  </si>
  <si>
    <t xml:space="preserve">Doctorates Awarded — Annual Count by Discipline &amp; Type</t>
  </si>
  <si>
    <t xml:space="preserve">PhD degrees CONFERRED (not enrolled) in academic year | Includes professional doctorates if thesis-based</t>
  </si>
  <si>
    <t xml:space="preserve">S.No.</t>
  </si>
  <si>
    <t xml:space="preserve">University Name</t>
  </si>
  <si>
    <t xml:space="preserve">Country</t>
  </si>
  <si>
    <t xml:space="preserve">PhD Awarded (Science/Engg)</t>
  </si>
  <si>
    <t xml:space="preserve">PhD Awarded (Arts/Humanities/SS)</t>
  </si>
  <si>
    <t xml:space="preserve">PhD Awarded (Health/Medical)</t>
  </si>
  <si>
    <t xml:space="preserve">PhD Awarded (Other Disciplines)</t>
  </si>
  <si>
    <t xml:space="preserve">Professional Doctorates (EdD/DBA/MD-PhD)</t>
  </si>
  <si>
    <t xml:space="preserve">Total Doctorates Awarded</t>
  </si>
  <si>
    <t xml:space="preserve">Reporting Year</t>
  </si>
  <si>
    <t xml:space="preserve">5-Year Doctoral Award History (Per University)</t>
  </si>
  <si>
    <t xml:space="preserve">Year 1 Awards</t>
  </si>
  <si>
    <t xml:space="preserve">Year 2 Awards</t>
  </si>
  <si>
    <t xml:space="preserve">Year 3 Awards</t>
  </si>
  <si>
    <t xml:space="preserve">Year 4 Awards</t>
  </si>
  <si>
    <t xml:space="preserve">Year 5 Awards (Current)</t>
  </si>
  <si>
    <t xml:space="preserve">5-Year Total</t>
  </si>
  <si>
    <t xml:space="preserve">3-Year Average</t>
  </si>
  <si>
    <t xml:space="preserve">Department-Level Doctoral Awards (Per University, Current Year)</t>
  </si>
  <si>
    <t xml:space="preserve">Department / School</t>
  </si>
  <si>
    <t xml:space="preserve">Faculty / College</t>
  </si>
  <si>
    <t xml:space="preserve">PhD Awards (Year)</t>
  </si>
  <si>
    <t xml:space="preserve">Prof. Doctorates</t>
  </si>
  <si>
    <t xml:space="preserve">Total Awards</t>
  </si>
  <si>
    <t xml:space="preserve">PhD Students Currently Enrolled</t>
  </si>
  <si>
    <t xml:space="preserve">Expected Awards Next Year</t>
  </si>
  <si>
    <t xml:space="preserve">Completion Rate (%)</t>
  </si>
  <si>
    <t xml:space="preserve">Academic Staff — Full-Time Equivalent (FTE) | Same Definition as Staff-to-Student Ratio</t>
  </si>
  <si>
    <t xml:space="preserve">THE-compliant: professors, assoc/asst professors, lecturers, research fellows with teaching | Excludes admin/support/research-only</t>
  </si>
  <si>
    <t xml:space="preserve">Professors (FTE)</t>
  </si>
  <si>
    <t xml:space="preserve">Associate Prof. (FTE)</t>
  </si>
  <si>
    <t xml:space="preserve">Assistant Prof. (FTE)</t>
  </si>
  <si>
    <t xml:space="preserve">Lecturers (FTE)</t>
  </si>
  <si>
    <t xml:space="preserve">Research Fellows (Teaching) FTE</t>
  </si>
  <si>
    <t xml:space="preserve">Other Teaching Staff FTE</t>
  </si>
  <si>
    <t xml:space="preserve">Total Academic Staff FTE</t>
  </si>
  <si>
    <t xml:space="preserve">Department-Level Academic Staff FTE</t>
  </si>
  <si>
    <t xml:space="preserve">Professors</t>
  </si>
  <si>
    <t xml:space="preserve">Assoc. Prof</t>
  </si>
  <si>
    <t xml:space="preserve">Asst. Prof</t>
  </si>
  <si>
    <t xml:space="preserve">Lecturers</t>
  </si>
  <si>
    <t xml:space="preserve">Res. Fellows (Teaching)</t>
  </si>
  <si>
    <t xml:space="preserve">Other</t>
  </si>
  <si>
    <t xml:space="preserve">Total FTE</t>
  </si>
  <si>
    <t xml:space="preserve">Doctorates Awarded-to-Staff Ratio — Calculation &amp; Scoring</t>
  </si>
  <si>
    <t xml:space="preserve">Ratio = Doctorates Awarded ÷ Academic Staff FTE | Higher = better | Z-scored across all universities</t>
  </si>
  <si>
    <t xml:space="preserve">Doctorates Awarded (Annual)</t>
  </si>
  <si>
    <t xml:space="preserve">Academic Staff FTE</t>
  </si>
  <si>
    <t xml:space="preserve">Doctorates-per-Staff Ratio</t>
  </si>
  <si>
    <t xml:space="preserve">Z-Score</t>
  </si>
  <si>
    <t xml:space="preserve">Normalized Score (0–100)</t>
  </si>
  <si>
    <t xml:space="preserve">Summary Statistics</t>
  </si>
  <si>
    <t xml:space="preserve">Average Ratio</t>
  </si>
  <si>
    <t xml:space="preserve">Highest (Best)</t>
  </si>
  <si>
    <t xml:space="preserve">Lowest</t>
  </si>
  <si>
    <t xml:space="preserve">Median</t>
  </si>
  <si>
    <t xml:space="preserve">Total Doctorates (All Universities)</t>
  </si>
  <si>
    <t xml:space="preserve">Department-Level Doctorates-per-Staff Ratios</t>
  </si>
  <si>
    <t xml:space="preserve">Identifies departments with strongest/weakest doctoral productivity per faculty member</t>
  </si>
  <si>
    <t xml:space="preserve">Staff FTE</t>
  </si>
  <si>
    <t xml:space="preserve">Ratio (Awards/Staff)</t>
  </si>
  <si>
    <t xml:space="preserve">Target Ratio</t>
  </si>
  <si>
    <t xml:space="preserve">Gap to Target</t>
  </si>
  <si>
    <t xml:space="preserve">Priority</t>
  </si>
  <si>
    <t xml:space="preserve">Doctorates-per-Staff Ratio — 5-Year Trend</t>
  </si>
  <si>
    <t xml:space="preserve">Demonstrates sustained improvement in doctoral productivity</t>
  </si>
  <si>
    <t xml:space="preserve">Year 1 Ratio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</si>
  <si>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</si>
  <si>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</si>
  <si>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</si>
  <si>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</si>
  <si>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Change</t>
  </si>
  <si>
    <t xml:space="preserve">Growth Rate (%)</t>
  </si>
  <si>
    <t xml:space="preserve">Trend</t>
  </si>
  <si>
    <t xml:space="preserve">PhD Completion Pipeline — From Enrolment to Award</t>
  </si>
  <si>
    <t xml:space="preserve">Tracks pipeline: currently enrolled → expected completions → actual awards | Identifies bottlenecks</t>
  </si>
  <si>
    <t xml:space="preserve">PhD Currently Enrolled (FTE)</t>
  </si>
  <si>
    <t xml:space="preserve">Expected Completions (Next 1yr)</t>
  </si>
  <si>
    <t xml:space="preserve">Expected Completions (Next 2yr)</t>
  </si>
  <si>
    <t xml:space="preserve">Actual Awards (Current Year)</t>
  </si>
  <si>
    <t xml:space="preserve">Avg Time-to-Completion (Months)</t>
  </si>
  <si>
    <t xml:space="preserve">PhD Completion Bottleneck Analysis</t>
  </si>
  <si>
    <t xml:space="preserve">Bottleneck / Risk Factor</t>
  </si>
  <si>
    <t xml:space="preserve">Severity (High/Med/Low)</t>
  </si>
  <si>
    <t xml:space="preserve">Departments Most Affected</t>
  </si>
  <si>
    <t xml:space="preserve">Root Cause</t>
  </si>
  <si>
    <t xml:space="preserve">Mitigation Action</t>
  </si>
  <si>
    <t xml:space="preserve">Status (Addressed/IP/Open)</t>
  </si>
  <si>
    <t xml:space="preserve">Timeline</t>
  </si>
  <si>
    <t xml:space="preserve">Owner</t>
  </si>
  <si>
    <t xml:space="preserve">University</t>
  </si>
  <si>
    <t xml:space="preserve">Insufficient supervisor availability (high student:supervisor ratio)</t>
  </si>
  <si>
    <t xml:space="preserve">Weak research infrastructure delaying experiments / data collection</t>
  </si>
  <si>
    <t xml:space="preserve">Funding gaps — students taking longer due to lack of stipends</t>
  </si>
  <si>
    <t xml:space="preserve">Poor progress monitoring — students drifting without milestones</t>
  </si>
  <si>
    <t xml:space="preserve">External employment — part-time PhD students prioritizing jobs</t>
  </si>
  <si>
    <t xml:space="preserve">Thesis examination delays — external examiner scheduling</t>
  </si>
  <si>
    <t xml:space="preserve">Ethics approval delays for research involving human subjects / animals</t>
  </si>
  <si>
    <t xml:space="preserve">Publication requirement delays — journal review timelines</t>
  </si>
  <si>
    <t xml:space="preserve">Inadequate writing / methodological skills among candidates</t>
  </si>
  <si>
    <t xml:space="preserve">Supervisor relocation / retirement during candidature</t>
  </si>
  <si>
    <t xml:space="preserve">Doctoral Productivity Improvement — Strategic Action Plan</t>
  </si>
  <si>
    <t xml:space="preserve">3-Year Roadmap actions to increase doctorates awarded per staff | Phase 1 → Phase 3</t>
  </si>
  <si>
    <t xml:space="preserve">Action Item</t>
  </si>
  <si>
    <t xml:space="preserve">Phase</t>
  </si>
  <si>
    <t xml:space="preserve">Status</t>
  </si>
  <si>
    <t xml:space="preserve">Target Date</t>
  </si>
  <si>
    <t xml:space="preserve">Remarks</t>
  </si>
  <si>
    <t xml:space="preserve">Audit current PhD pipeline: enrolled, expected completions, bottlenecks</t>
  </si>
  <si>
    <t xml:space="preserve">1 (0–6mo)</t>
  </si>
  <si>
    <t xml:space="preserve">Implement structured doctoral programmes with annual milestone reviews</t>
  </si>
  <si>
    <t xml:space="preserve">Provide seed funding for PhD stipends, lab consumables, conference travel</t>
  </si>
  <si>
    <t xml:space="preserve">Train supervisors on effective PhD supervision and timely completion</t>
  </si>
  <si>
    <t xml:space="preserve">Establish doctoral review boards for annual progress assessment</t>
  </si>
  <si>
    <t xml:space="preserve">Set up Centres of Excellence attracting high-quality PhD candidates</t>
  </si>
  <si>
    <t xml:space="preserve">2 (6–18mo)</t>
  </si>
  <si>
    <t xml:space="preserve">Partner with industry for co-funded PhD studentships</t>
  </si>
  <si>
    <t xml:space="preserve">Recruit postdoctoral fellows to assist with PhD supervision</t>
  </si>
  <si>
    <t xml:space="preserve">Reduce average time-to-completion by 6–12 months through structured support</t>
  </si>
  <si>
    <t xml:space="preserve">Establish writing workshops and methodological skills bootcamps for PhD students</t>
  </si>
  <si>
    <t xml:space="preserve">Streamline thesis examination process (panel of approved examiners, timeline targets)</t>
  </si>
  <si>
    <t xml:space="preserve">Launch international collaborative PhD programmes</t>
  </si>
  <si>
    <t xml:space="preserve">Grow annual doctoral awards by 25–40% from Year 1 baseline</t>
  </si>
  <si>
    <t xml:space="preserve">3 (18–36mo)</t>
  </si>
  <si>
    <t xml:space="preserve">Achieve completion rate &gt;70% for enrolled cohorts</t>
  </si>
  <si>
    <t xml:space="preserve">Target avg time-to-completion &lt;48 months for full-time PhD</t>
  </si>
  <si>
    <t xml:space="preserve">Embed doctoral productivity targets in departmental KPIs</t>
  </si>
  <si>
    <t xml:space="preserve">Progress Summary</t>
  </si>
  <si>
    <t xml:space="preserve">Actions Completed</t>
  </si>
  <si>
    <t xml:space="preserve">In Progress</t>
  </si>
  <si>
    <t xml:space="preserve">Benchmarking — Doctorates Awarded per Staff</t>
  </si>
  <si>
    <t xml:space="preserve">University / Benchmark</t>
  </si>
  <si>
    <t xml:space="preserve">Doctorates Awarded</t>
  </si>
  <si>
    <t xml:space="preserve">Ratio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</si>
  <si>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</si>
  <si>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</si>
  <si>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</si>
  <si>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</si>
  <si>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</si>
  <si>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</si>
  <si>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</si>
  <si>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</si>
  <si>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</si>
  <si>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</si>
  <si>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Research-Intensive Benchmark</t>
  </si>
  <si>
    <t xml:space="preserve">~0.4–0.8 ratio</t>
  </si>
  <si>
    <t xml:space="preserve">Doctorates-per-Staff — Risk Assessment &amp; Mitigation</t>
  </si>
  <si>
    <t xml:space="preserve">Risk</t>
  </si>
  <si>
    <t xml:space="preserve">Level</t>
  </si>
  <si>
    <t xml:space="preserve">Impact</t>
  </si>
  <si>
    <t xml:space="preserve">Mitigation</t>
  </si>
  <si>
    <t xml:space="preserve">Low PhD completion rates</t>
  </si>
  <si>
    <t xml:space="preserve">🟡 Medium</t>
  </si>
  <si>
    <t xml:space="preserve">Fewer awards despite enrolment; ratio stagnates</t>
  </si>
  <si>
    <t xml:space="preserve">Structured programmes, milestone reviews, stipends, supervisor training</t>
  </si>
  <si>
    <t xml:space="preserve">High PhD attrition / dropout</t>
  </si>
  <si>
    <t xml:space="preserve">Enrolled students leave before completion</t>
  </si>
  <si>
    <t xml:space="preserve">Financial support, mentoring, wellness, progress tracking</t>
  </si>
  <si>
    <t xml:space="preserve">Long time-to-completion (&gt;5 years)</t>
  </si>
  <si>
    <t xml:space="preserve">Awards delayed; ratio lower than potential</t>
  </si>
  <si>
    <t xml:space="preserve">Structured timeline, writing support, examiner panel pre-approval</t>
  </si>
  <si>
    <t xml:space="preserve">Insufficient supervisors for PhD load</t>
  </si>
  <si>
    <t xml:space="preserve">Supervision bottleneck limits completions</t>
  </si>
  <si>
    <t xml:space="preserve">Recruit faculty with PhD supervision experience; postdoc support</t>
  </si>
  <si>
    <t xml:space="preserve">Counting honorary doctorates</t>
  </si>
  <si>
    <t xml:space="preserve">🔴 High</t>
  </si>
  <si>
    <t xml:space="preserve">Inflated numerator; audit penalty</t>
  </si>
  <si>
    <t xml:space="preserve">Strictly count only earned research doctorates; separate honorary register</t>
  </si>
  <si>
    <t xml:space="preserve">Counting MPhil / MRes as doctoral</t>
  </si>
  <si>
    <t xml:space="preserve">Inflated numerator; non-compliant</t>
  </si>
  <si>
    <t xml:space="preserve">Only PhD and equivalent research doctorates; verify degree classification</t>
  </si>
  <si>
    <t xml:space="preserve">Staff FTE inconsistency with SSR</t>
  </si>
  <si>
    <t xml:space="preserve">Different staff FTE used across indicators; audit flag</t>
  </si>
  <si>
    <t xml:space="preserve">Use SAME Academic Staff FTE for both SSR (4.5%) and this ratio (5.5%)</t>
  </si>
  <si>
    <t xml:space="preserve">Budget constraints for PhD support</t>
  </si>
  <si>
    <t xml:space="preserve">Cannot offer stipends/travel; low intake</t>
  </si>
  <si>
    <t xml:space="preserve">Government fellowships, industry co-funded PhDs, CSR, phased investment</t>
  </si>
  <si>
    <t xml:space="preserve">Doctorates Awarded per Staff — Data Quality &amp; Audit Checklist</t>
  </si>
  <si>
    <t xml:space="preserve">Validation checks for this indicator (5.5%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</si>
  <si>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</si>
  <si>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</si>
  <si>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</si>
  <si>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</si>
  <si>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</si>
  <si>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Doctorate definition</t>
  </si>
  <si>
    <t xml:space="preserve">Only earned research doctorates counted: PhD, professional doctorates (thesis-based). Honorary doctorates excluded</t>
  </si>
  <si>
    <t xml:space="preserve">Professional doctorate verification</t>
  </si>
  <si>
    <t xml:space="preserve">EdD/DBA/MD-PhD included only if programme involves original research thesis/dissertation</t>
  </si>
  <si>
    <t xml:space="preserve">MPhil / MRes exclusion</t>
  </si>
  <si>
    <t xml:space="preserve">MPhil and MRes degrees NOT counted as doctorates unless formally classified as doctoral by the awarding body</t>
  </si>
  <si>
    <t xml:space="preserve">Award vs enrolment distinction</t>
  </si>
  <si>
    <t xml:space="preserve">Count is degrees CONFERRED (awarded), not students currently enrolled in PhD programmes</t>
  </si>
  <si>
    <t xml:space="preserve">Reporting year consistency</t>
  </si>
  <si>
    <t xml:space="preserve">Award count covers the same academic year as other indicators in the submission</t>
  </si>
  <si>
    <t xml:space="preserve">3-year average option</t>
  </si>
  <si>
    <t xml:space="preserve">If THE allows 3-year average (check cycle guidelines), method documented and consistently applied</t>
  </si>
  <si>
    <t xml:space="preserve">Academic Staff FTE consistency</t>
  </si>
  <si>
    <t xml:space="preserve">SAME Academic Staff FTE used for this ratio AND Staff-to-Student Ratio (4.5%); values must match exactly</t>
  </si>
  <si>
    <t xml:space="preserve">Staff FTE THE-compliant</t>
  </si>
  <si>
    <t xml:space="preserve">FTE follows THE definition: teaching academics only; research-only, admin, technical excluded</t>
  </si>
  <si>
    <t xml:space="preserve">Registrar data cross-reference</t>
  </si>
  <si>
    <t xml:space="preserve">Doctorate awards verified against official graduation records / gazette notifications</t>
  </si>
  <si>
    <t xml:space="preserve">Department-level reconciliation</t>
  </si>
  <si>
    <t xml:space="preserve">Sum of department-level awards equals university-level total</t>
  </si>
  <si>
    <t xml:space="preserve">5-year trend plausibility</t>
  </si>
  <si>
    <t xml:space="preserve">Year-on-year changes reviewed; anomalous jumps (&gt;30%) documented with explanation</t>
  </si>
  <si>
    <t xml:space="preserve">Pipeline consistency check</t>
  </si>
  <si>
    <t xml:space="preserve">Awards ≤ enrolled PhD students (cannot award more than are enrolled)</t>
  </si>
  <si>
    <t xml:space="preserve">Completion rate cross-check</t>
  </si>
  <si>
    <t xml:space="preserve">Completion rate (awards/enrolled) consistent with historical patterns</t>
  </si>
  <si>
    <t xml:space="preserve">Ratio calculation verification</t>
  </si>
  <si>
    <t xml:space="preserve">Doctorates ÷ Staff FTE verified independently by 2 reviewers</t>
  </si>
  <si>
    <t xml:space="preserve">Z-score direction check</t>
  </si>
  <si>
    <t xml:space="preserve">Higher ratio = higher z-score confirmed (direct scaling, not inverted)</t>
  </si>
  <si>
    <t xml:space="preserve">Outlier detection</t>
  </si>
  <si>
    <t xml:space="preserve">Universities with ratio &gt;3 SD from mean flagged for verification</t>
  </si>
  <si>
    <t xml:space="preserve">THE Portal field mapping</t>
  </si>
  <si>
    <t xml:space="preserve">Award count and Staff FTE correctly mapped to THE submission fields</t>
  </si>
  <si>
    <t xml:space="preserve">Cross-indicator consistency</t>
  </si>
  <si>
    <t xml:space="preserve">PhD data consistent between this ratio (5.5%) and Doctorate-to-Bachelor's ratio (2%)</t>
  </si>
  <si>
    <t xml:space="preserve">Audit trail documentation</t>
  </si>
  <si>
    <t xml:space="preserve">Source documents (graduation lists, registrar reports) archived for THE audit</t>
  </si>
  <si>
    <t xml:space="preserve">Reproducibility test</t>
  </si>
  <si>
    <t xml:space="preserve">Ratio independently reproducible from registrar + HR records within ±2%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</si>
</sst>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"/>
    <numFmt numFmtId="167" formatCode="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3F51B5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1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  <row r="20" customFormat="false" ht="15" hidden="false" customHeight="true" outlineLevel="0" collapsed="false">
      <c r="A20" s="13" t="s">
        <v>30</v>
      </c>
      <c r="B20" s="13"/>
      <c r="C20" s="13"/>
      <c r="D20" s="13"/>
    </row>
  </sheetData>
  <mergeCells count="12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32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35.05" hidden="false" customHeight="false" outlineLevel="0" collapsed="false">
      <c r="A3" s="16" t="s">
        <v>33</v>
      </c>
      <c r="B3" s="16" t="s">
        <v>34</v>
      </c>
      <c r="C3" s="16" t="s">
        <v>35</v>
      </c>
      <c r="D3" s="16" t="s">
        <v>36</v>
      </c>
      <c r="E3" s="16" t="s">
        <v>37</v>
      </c>
      <c r="F3" s="16" t="s">
        <v>38</v>
      </c>
      <c r="G3" s="16" t="s">
        <v>39</v>
      </c>
      <c r="H3" s="16" t="s">
        <v>40</v>
      </c>
      <c r="I3" s="16" t="s">
        <v>41</v>
      </c>
      <c r="J3" s="16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SUM(D4:H4)</f>
        <v>0</v>
      </c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4" t="n">
        <f aca="false">SUM(D5:H5)</f>
        <v>0</v>
      </c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SUM(D6:H6)</f>
        <v>0</v>
      </c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4" t="n">
        <f aca="false">SUM(D7:H7)</f>
        <v>0</v>
      </c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SUM(D8:H8)</f>
        <v>0</v>
      </c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4" t="n">
        <f aca="false">SUM(D9:H9)</f>
        <v>0</v>
      </c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SUM(D10:H10)</f>
        <v>0</v>
      </c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4" t="n">
        <f aca="false">SUM(D11:H11)</f>
        <v>0</v>
      </c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SUM(D12:H12)</f>
        <v>0</v>
      </c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4" t="n">
        <f aca="false">SUM(D13:H13)</f>
        <v>0</v>
      </c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SUM(D14:H14)</f>
        <v>0</v>
      </c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4" t="n">
        <f aca="false">SUM(D15:H15)</f>
        <v>0</v>
      </c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SUM(D16:H16)</f>
        <v>0</v>
      </c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4" t="n">
        <f aca="false">SUM(D17:H17)</f>
        <v>0</v>
      </c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SUM(D18:H18)</f>
        <v>0</v>
      </c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4" t="n">
        <f aca="false">SUM(D19:H19)</f>
        <v>0</v>
      </c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SUM(D20:H20)</f>
        <v>0</v>
      </c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4" t="n">
        <f aca="false">SUM(D21:H21)</f>
        <v>0</v>
      </c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SUM(D22:H22)</f>
        <v>0</v>
      </c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4" t="n">
        <f aca="false">SUM(D23:H23)</f>
        <v>0</v>
      </c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SUM(D24:H24)</f>
        <v>0</v>
      </c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4" t="n">
        <f aca="false">SUM(D25:H25)</f>
        <v>0</v>
      </c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SUM(D26:H26)</f>
        <v>0</v>
      </c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4" t="n">
        <f aca="false">SUM(D27:H27)</f>
        <v>0</v>
      </c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SUM(D28:H28)</f>
        <v>0</v>
      </c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4" t="n">
        <f aca="false">SUM(D29:H29)</f>
        <v>0</v>
      </c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SUM(D30:H30)</f>
        <v>0</v>
      </c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4" t="n">
        <f aca="false">SUM(D31:H31)</f>
        <v>0</v>
      </c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SUM(D32:H32)</f>
        <v>0</v>
      </c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4" t="n">
        <f aca="false">SUM(D33:H33)</f>
        <v>0</v>
      </c>
      <c r="J33" s="18"/>
    </row>
    <row r="35" customFormat="false" ht="25.5" hidden="false" customHeight="true" outlineLevel="0" collapsed="false">
      <c r="A35" s="19" t="s">
        <v>43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23.85" hidden="false" customHeight="false" outlineLevel="0" collapsed="false">
      <c r="A36" s="20" t="s">
        <v>33</v>
      </c>
      <c r="B36" s="20" t="s">
        <v>34</v>
      </c>
      <c r="C36" s="20" t="s">
        <v>35</v>
      </c>
      <c r="D36" s="20" t="s">
        <v>44</v>
      </c>
      <c r="E36" s="20" t="s">
        <v>45</v>
      </c>
      <c r="F36" s="20" t="s">
        <v>46</v>
      </c>
      <c r="G36" s="20" t="s">
        <v>47</v>
      </c>
      <c r="H36" s="20" t="s">
        <v>48</v>
      </c>
      <c r="I36" s="20" t="s">
        <v>49</v>
      </c>
      <c r="J36" s="20" t="s">
        <v>50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7" t="n">
        <f aca="false">SUM(D37:H37)</f>
        <v>0</v>
      </c>
      <c r="J37" s="21" t="n">
        <f aca="false">IF(COUNT(F37:H37)&gt;0,AVERAGE(F37:H37),0)</f>
        <v>0</v>
      </c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1" t="n">
        <f aca="false">SUM(D38:H38)</f>
        <v>0</v>
      </c>
      <c r="J38" s="22" t="n">
        <f aca="false">IF(COUNT(F38:H38)&gt;0,AVERAGE(F38:H38),0)</f>
        <v>0</v>
      </c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7" t="n">
        <f aca="false">SUM(D39:H39)</f>
        <v>0</v>
      </c>
      <c r="J39" s="21" t="n">
        <f aca="false">IF(COUNT(F39:H39)&gt;0,AVERAGE(F39:H39),0)</f>
        <v>0</v>
      </c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1" t="n">
        <f aca="false">SUM(D40:H40)</f>
        <v>0</v>
      </c>
      <c r="J40" s="22" t="n">
        <f aca="false">IF(COUNT(F40:H40)&gt;0,AVERAGE(F40:H40),0)</f>
        <v>0</v>
      </c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7" t="n">
        <f aca="false">SUM(D41:H41)</f>
        <v>0</v>
      </c>
      <c r="J41" s="21" t="n">
        <f aca="false">IF(COUNT(F41:H41)&gt;0,AVERAGE(F41:H41),0)</f>
        <v>0</v>
      </c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1" t="n">
        <f aca="false">SUM(D42:H42)</f>
        <v>0</v>
      </c>
      <c r="J42" s="22" t="n">
        <f aca="false">IF(COUNT(F42:H42)&gt;0,AVERAGE(F42:H42),0)</f>
        <v>0</v>
      </c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7" t="n">
        <f aca="false">SUM(D43:H43)</f>
        <v>0</v>
      </c>
      <c r="J43" s="21" t="n">
        <f aca="false">IF(COUNT(F43:H43)&gt;0,AVERAGE(F43:H43),0)</f>
        <v>0</v>
      </c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1" t="n">
        <f aca="false">SUM(D44:H44)</f>
        <v>0</v>
      </c>
      <c r="J44" s="22" t="n">
        <f aca="false">IF(COUNT(F44:H44)&gt;0,AVERAGE(F44:H44),0)</f>
        <v>0</v>
      </c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7" t="n">
        <f aca="false">SUM(D45:H45)</f>
        <v>0</v>
      </c>
      <c r="J45" s="21" t="n">
        <f aca="false">IF(COUNT(F45:H45)&gt;0,AVERAGE(F45:H45),0)</f>
        <v>0</v>
      </c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1" t="n">
        <f aca="false">SUM(D46:H46)</f>
        <v>0</v>
      </c>
      <c r="J46" s="22" t="n">
        <f aca="false">IF(COUNT(F46:H46)&gt;0,AVERAGE(F46:H46),0)</f>
        <v>0</v>
      </c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7" t="n">
        <f aca="false">SUM(D47:H47)</f>
        <v>0</v>
      </c>
      <c r="J47" s="21" t="n">
        <f aca="false">IF(COUNT(F47:H47)&gt;0,AVERAGE(F47:H47),0)</f>
        <v>0</v>
      </c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1" t="n">
        <f aca="false">SUM(D48:H48)</f>
        <v>0</v>
      </c>
      <c r="J48" s="22" t="n">
        <f aca="false">IF(COUNT(F48:H48)&gt;0,AVERAGE(F48:H48),0)</f>
        <v>0</v>
      </c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7" t="n">
        <f aca="false">SUM(D49:H49)</f>
        <v>0</v>
      </c>
      <c r="J49" s="21" t="n">
        <f aca="false">IF(COUNT(F49:H49)&gt;0,AVERAGE(F49:H49),0)</f>
        <v>0</v>
      </c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1" t="n">
        <f aca="false">SUM(D50:H50)</f>
        <v>0</v>
      </c>
      <c r="J50" s="22" t="n">
        <f aca="false">IF(COUNT(F50:H50)&gt;0,AVERAGE(F50:H50),0)</f>
        <v>0</v>
      </c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7" t="n">
        <f aca="false">SUM(D51:H51)</f>
        <v>0</v>
      </c>
      <c r="J51" s="21" t="n">
        <f aca="false">IF(COUNT(F51:H51)&gt;0,AVERAGE(F51:H51),0)</f>
        <v>0</v>
      </c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1" t="n">
        <f aca="false">SUM(D52:H52)</f>
        <v>0</v>
      </c>
      <c r="J52" s="22" t="n">
        <f aca="false">IF(COUNT(F52:H52)&gt;0,AVERAGE(F52:H52),0)</f>
        <v>0</v>
      </c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7" t="n">
        <f aca="false">SUM(D53:H53)</f>
        <v>0</v>
      </c>
      <c r="J53" s="21" t="n">
        <f aca="false">IF(COUNT(F53:H53)&gt;0,AVERAGE(F53:H53),0)</f>
        <v>0</v>
      </c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1" t="n">
        <f aca="false">SUM(D54:H54)</f>
        <v>0</v>
      </c>
      <c r="J54" s="22" t="n">
        <f aca="false">IF(COUNT(F54:H54)&gt;0,AVERAGE(F54:H54),0)</f>
        <v>0</v>
      </c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7" t="n">
        <f aca="false">SUM(D55:H55)</f>
        <v>0</v>
      </c>
      <c r="J55" s="21" t="n">
        <f aca="false">IF(COUNT(F55:H55)&gt;0,AVERAGE(F55:H55),0)</f>
        <v>0</v>
      </c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1" t="n">
        <f aca="false">SUM(D56:H56)</f>
        <v>0</v>
      </c>
      <c r="J56" s="22" t="n">
        <f aca="false">IF(COUNT(F56:H56)&gt;0,AVERAGE(F56:H56),0)</f>
        <v>0</v>
      </c>
    </row>
    <row r="59" customFormat="false" ht="25.5" hidden="false" customHeight="true" outlineLevel="0" collapsed="false">
      <c r="A59" s="23" t="s">
        <v>51</v>
      </c>
      <c r="B59" s="23"/>
      <c r="C59" s="23"/>
      <c r="D59" s="23"/>
      <c r="E59" s="23"/>
      <c r="F59" s="23"/>
      <c r="G59" s="23"/>
      <c r="H59" s="23"/>
      <c r="I59" s="23"/>
      <c r="J59" s="23"/>
    </row>
    <row r="60" customFormat="false" ht="23.85" hidden="false" customHeight="false" outlineLevel="0" collapsed="false">
      <c r="A60" s="24" t="s">
        <v>33</v>
      </c>
      <c r="B60" s="24" t="s">
        <v>52</v>
      </c>
      <c r="C60" s="24" t="s">
        <v>53</v>
      </c>
      <c r="D60" s="24" t="s">
        <v>54</v>
      </c>
      <c r="E60" s="24" t="s">
        <v>55</v>
      </c>
      <c r="F60" s="24" t="s">
        <v>56</v>
      </c>
      <c r="G60" s="24" t="s">
        <v>57</v>
      </c>
      <c r="H60" s="24" t="s">
        <v>58</v>
      </c>
      <c r="I60" s="24" t="s">
        <v>59</v>
      </c>
      <c r="J60" s="24" t="s">
        <v>34</v>
      </c>
    </row>
    <row r="61" customFormat="false" ht="15" hidden="false" customHeight="false" outlineLevel="0" collapsed="false">
      <c r="A61" s="4" t="n">
        <v>1</v>
      </c>
      <c r="B61" s="18"/>
      <c r="C61" s="18"/>
      <c r="D61" s="18"/>
      <c r="E61" s="18"/>
      <c r="F61" s="7" t="n">
        <f aca="false">D61+E61</f>
        <v>0</v>
      </c>
      <c r="G61" s="18"/>
      <c r="H61" s="18"/>
      <c r="I61" s="25" t="n">
        <f aca="false">IF(G61&gt;0,F61/G61*100,0)</f>
        <v>0</v>
      </c>
      <c r="J61" s="18"/>
    </row>
    <row r="62" customFormat="false" ht="15" hidden="false" customHeight="false" outlineLevel="0" collapsed="false">
      <c r="A62" s="8" t="n">
        <v>2</v>
      </c>
      <c r="B62" s="17"/>
      <c r="C62" s="17"/>
      <c r="D62" s="17"/>
      <c r="E62" s="17"/>
      <c r="F62" s="11" t="n">
        <f aca="false">D62+E62</f>
        <v>0</v>
      </c>
      <c r="G62" s="17"/>
      <c r="H62" s="17"/>
      <c r="I62" s="26" t="n">
        <f aca="false">IF(G62&gt;0,F62/G62*100,0)</f>
        <v>0</v>
      </c>
      <c r="J62" s="17"/>
    </row>
    <row r="63" customFormat="false" ht="15" hidden="false" customHeight="false" outlineLevel="0" collapsed="false">
      <c r="A63" s="4" t="n">
        <v>3</v>
      </c>
      <c r="B63" s="18"/>
      <c r="C63" s="18"/>
      <c r="D63" s="18"/>
      <c r="E63" s="18"/>
      <c r="F63" s="7" t="n">
        <f aca="false">D63+E63</f>
        <v>0</v>
      </c>
      <c r="G63" s="18"/>
      <c r="H63" s="18"/>
      <c r="I63" s="25" t="n">
        <f aca="false">IF(G63&gt;0,F63/G63*100,0)</f>
        <v>0</v>
      </c>
      <c r="J63" s="18"/>
    </row>
    <row r="64" customFormat="false" ht="15" hidden="false" customHeight="false" outlineLevel="0" collapsed="false">
      <c r="A64" s="8" t="n">
        <v>4</v>
      </c>
      <c r="B64" s="17"/>
      <c r="C64" s="17"/>
      <c r="D64" s="17"/>
      <c r="E64" s="17"/>
      <c r="F64" s="11" t="n">
        <f aca="false">D64+E64</f>
        <v>0</v>
      </c>
      <c r="G64" s="17"/>
      <c r="H64" s="17"/>
      <c r="I64" s="26" t="n">
        <f aca="false">IF(G64&gt;0,F64/G64*100,0)</f>
        <v>0</v>
      </c>
      <c r="J64" s="17"/>
    </row>
    <row r="65" customFormat="false" ht="15" hidden="false" customHeight="false" outlineLevel="0" collapsed="false">
      <c r="A65" s="4" t="n">
        <v>5</v>
      </c>
      <c r="B65" s="18"/>
      <c r="C65" s="18"/>
      <c r="D65" s="18"/>
      <c r="E65" s="18"/>
      <c r="F65" s="7" t="n">
        <f aca="false">D65+E65</f>
        <v>0</v>
      </c>
      <c r="G65" s="18"/>
      <c r="H65" s="18"/>
      <c r="I65" s="25" t="n">
        <f aca="false">IF(G65&gt;0,F65/G65*100,0)</f>
        <v>0</v>
      </c>
      <c r="J65" s="18"/>
    </row>
    <row r="66" customFormat="false" ht="15" hidden="false" customHeight="false" outlineLevel="0" collapsed="false">
      <c r="A66" s="8" t="n">
        <v>6</v>
      </c>
      <c r="B66" s="17"/>
      <c r="C66" s="17"/>
      <c r="D66" s="17"/>
      <c r="E66" s="17"/>
      <c r="F66" s="11" t="n">
        <f aca="false">D66+E66</f>
        <v>0</v>
      </c>
      <c r="G66" s="17"/>
      <c r="H66" s="17"/>
      <c r="I66" s="26" t="n">
        <f aca="false">IF(G66&gt;0,F66/G66*100,0)</f>
        <v>0</v>
      </c>
      <c r="J66" s="17"/>
    </row>
    <row r="67" customFormat="false" ht="15" hidden="false" customHeight="false" outlineLevel="0" collapsed="false">
      <c r="A67" s="4" t="n">
        <v>7</v>
      </c>
      <c r="B67" s="18"/>
      <c r="C67" s="18"/>
      <c r="D67" s="18"/>
      <c r="E67" s="18"/>
      <c r="F67" s="7" t="n">
        <f aca="false">D67+E67</f>
        <v>0</v>
      </c>
      <c r="G67" s="18"/>
      <c r="H67" s="18"/>
      <c r="I67" s="25" t="n">
        <f aca="false">IF(G67&gt;0,F67/G67*100,0)</f>
        <v>0</v>
      </c>
      <c r="J67" s="18"/>
    </row>
    <row r="68" customFormat="false" ht="15" hidden="false" customHeight="false" outlineLevel="0" collapsed="false">
      <c r="A68" s="8" t="n">
        <v>8</v>
      </c>
      <c r="B68" s="17"/>
      <c r="C68" s="17"/>
      <c r="D68" s="17"/>
      <c r="E68" s="17"/>
      <c r="F68" s="11" t="n">
        <f aca="false">D68+E68</f>
        <v>0</v>
      </c>
      <c r="G68" s="17"/>
      <c r="H68" s="17"/>
      <c r="I68" s="26" t="n">
        <f aca="false">IF(G68&gt;0,F68/G68*100,0)</f>
        <v>0</v>
      </c>
      <c r="J68" s="17"/>
    </row>
    <row r="69" customFormat="false" ht="15" hidden="false" customHeight="false" outlineLevel="0" collapsed="false">
      <c r="A69" s="4" t="n">
        <v>9</v>
      </c>
      <c r="B69" s="18"/>
      <c r="C69" s="18"/>
      <c r="D69" s="18"/>
      <c r="E69" s="18"/>
      <c r="F69" s="7" t="n">
        <f aca="false">D69+E69</f>
        <v>0</v>
      </c>
      <c r="G69" s="18"/>
      <c r="H69" s="18"/>
      <c r="I69" s="25" t="n">
        <f aca="false">IF(G69&gt;0,F69/G69*100,0)</f>
        <v>0</v>
      </c>
      <c r="J69" s="18"/>
    </row>
    <row r="70" customFormat="false" ht="15" hidden="false" customHeight="false" outlineLevel="0" collapsed="false">
      <c r="A70" s="8" t="n">
        <v>10</v>
      </c>
      <c r="B70" s="17"/>
      <c r="C70" s="17"/>
      <c r="D70" s="17"/>
      <c r="E70" s="17"/>
      <c r="F70" s="11" t="n">
        <f aca="false">D70+E70</f>
        <v>0</v>
      </c>
      <c r="G70" s="17"/>
      <c r="H70" s="17"/>
      <c r="I70" s="26" t="n">
        <f aca="false">IF(G70&gt;0,F70/G70*100,0)</f>
        <v>0</v>
      </c>
      <c r="J70" s="17"/>
    </row>
    <row r="71" customFormat="false" ht="15" hidden="false" customHeight="false" outlineLevel="0" collapsed="false">
      <c r="A71" s="4" t="n">
        <v>11</v>
      </c>
      <c r="B71" s="18"/>
      <c r="C71" s="18"/>
      <c r="D71" s="18"/>
      <c r="E71" s="18"/>
      <c r="F71" s="7" t="n">
        <f aca="false">D71+E71</f>
        <v>0</v>
      </c>
      <c r="G71" s="18"/>
      <c r="H71" s="18"/>
      <c r="I71" s="25" t="n">
        <f aca="false">IF(G71&gt;0,F71/G71*100,0)</f>
        <v>0</v>
      </c>
      <c r="J71" s="18"/>
    </row>
    <row r="72" customFormat="false" ht="15" hidden="false" customHeight="false" outlineLevel="0" collapsed="false">
      <c r="A72" s="8" t="n">
        <v>12</v>
      </c>
      <c r="B72" s="17"/>
      <c r="C72" s="17"/>
      <c r="D72" s="17"/>
      <c r="E72" s="17"/>
      <c r="F72" s="11" t="n">
        <f aca="false">D72+E72</f>
        <v>0</v>
      </c>
      <c r="G72" s="17"/>
      <c r="H72" s="17"/>
      <c r="I72" s="26" t="n">
        <f aca="false">IF(G72&gt;0,F72/G72*100,0)</f>
        <v>0</v>
      </c>
      <c r="J72" s="17"/>
    </row>
    <row r="73" customFormat="false" ht="15" hidden="false" customHeight="false" outlineLevel="0" collapsed="false">
      <c r="A73" s="4" t="n">
        <v>13</v>
      </c>
      <c r="B73" s="18"/>
      <c r="C73" s="18"/>
      <c r="D73" s="18"/>
      <c r="E73" s="18"/>
      <c r="F73" s="7" t="n">
        <f aca="false">D73+E73</f>
        <v>0</v>
      </c>
      <c r="G73" s="18"/>
      <c r="H73" s="18"/>
      <c r="I73" s="25" t="n">
        <f aca="false">IF(G73&gt;0,F73/G73*100,0)</f>
        <v>0</v>
      </c>
      <c r="J73" s="18"/>
    </row>
    <row r="74" customFormat="false" ht="15" hidden="false" customHeight="false" outlineLevel="0" collapsed="false">
      <c r="A74" s="8" t="n">
        <v>14</v>
      </c>
      <c r="B74" s="17"/>
      <c r="C74" s="17"/>
      <c r="D74" s="17"/>
      <c r="E74" s="17"/>
      <c r="F74" s="11" t="n">
        <f aca="false">D74+E74</f>
        <v>0</v>
      </c>
      <c r="G74" s="17"/>
      <c r="H74" s="17"/>
      <c r="I74" s="26" t="n">
        <f aca="false">IF(G74&gt;0,F74/G74*100,0)</f>
        <v>0</v>
      </c>
      <c r="J74" s="17"/>
    </row>
    <row r="75" customFormat="false" ht="15" hidden="false" customHeight="false" outlineLevel="0" collapsed="false">
      <c r="A75" s="4" t="n">
        <v>15</v>
      </c>
      <c r="B75" s="18"/>
      <c r="C75" s="18"/>
      <c r="D75" s="18"/>
      <c r="E75" s="18"/>
      <c r="F75" s="7" t="n">
        <f aca="false">D75+E75</f>
        <v>0</v>
      </c>
      <c r="G75" s="18"/>
      <c r="H75" s="18"/>
      <c r="I75" s="25" t="n">
        <f aca="false">IF(G75&gt;0,F75/G75*100,0)</f>
        <v>0</v>
      </c>
      <c r="J75" s="18"/>
    </row>
    <row r="76" customFormat="false" ht="15" hidden="false" customHeight="false" outlineLevel="0" collapsed="false">
      <c r="A76" s="8" t="n">
        <v>16</v>
      </c>
      <c r="B76" s="17"/>
      <c r="C76" s="17"/>
      <c r="D76" s="17"/>
      <c r="E76" s="17"/>
      <c r="F76" s="11" t="n">
        <f aca="false">D76+E76</f>
        <v>0</v>
      </c>
      <c r="G76" s="17"/>
      <c r="H76" s="17"/>
      <c r="I76" s="26" t="n">
        <f aca="false">IF(G76&gt;0,F76/G76*100,0)</f>
        <v>0</v>
      </c>
      <c r="J76" s="17"/>
    </row>
    <row r="77" customFormat="false" ht="15" hidden="false" customHeight="false" outlineLevel="0" collapsed="false">
      <c r="A77" s="4" t="n">
        <v>17</v>
      </c>
      <c r="B77" s="18"/>
      <c r="C77" s="18"/>
      <c r="D77" s="18"/>
      <c r="E77" s="18"/>
      <c r="F77" s="7" t="n">
        <f aca="false">D77+E77</f>
        <v>0</v>
      </c>
      <c r="G77" s="18"/>
      <c r="H77" s="18"/>
      <c r="I77" s="25" t="n">
        <f aca="false">IF(G77&gt;0,F77/G77*100,0)</f>
        <v>0</v>
      </c>
      <c r="J77" s="18"/>
    </row>
    <row r="78" customFormat="false" ht="15" hidden="false" customHeight="false" outlineLevel="0" collapsed="false">
      <c r="A78" s="8" t="n">
        <v>18</v>
      </c>
      <c r="B78" s="17"/>
      <c r="C78" s="17"/>
      <c r="D78" s="17"/>
      <c r="E78" s="17"/>
      <c r="F78" s="11" t="n">
        <f aca="false">D78+E78</f>
        <v>0</v>
      </c>
      <c r="G78" s="17"/>
      <c r="H78" s="17"/>
      <c r="I78" s="26" t="n">
        <f aca="false">IF(G78&gt;0,F78/G78*100,0)</f>
        <v>0</v>
      </c>
      <c r="J78" s="17"/>
    </row>
    <row r="79" customFormat="false" ht="15" hidden="false" customHeight="false" outlineLevel="0" collapsed="false">
      <c r="A79" s="4" t="n">
        <v>19</v>
      </c>
      <c r="B79" s="18"/>
      <c r="C79" s="18"/>
      <c r="D79" s="18"/>
      <c r="E79" s="18"/>
      <c r="F79" s="7" t="n">
        <f aca="false">D79+E79</f>
        <v>0</v>
      </c>
      <c r="G79" s="18"/>
      <c r="H79" s="18"/>
      <c r="I79" s="25" t="n">
        <f aca="false">IF(G79&gt;0,F79/G79*100,0)</f>
        <v>0</v>
      </c>
      <c r="J79" s="18"/>
    </row>
    <row r="80" customFormat="false" ht="15" hidden="false" customHeight="false" outlineLevel="0" collapsed="false">
      <c r="A80" s="8" t="n">
        <v>20</v>
      </c>
      <c r="B80" s="17"/>
      <c r="C80" s="17"/>
      <c r="D80" s="17"/>
      <c r="E80" s="17"/>
      <c r="F80" s="11" t="n">
        <f aca="false">D80+E80</f>
        <v>0</v>
      </c>
      <c r="G80" s="17"/>
      <c r="H80" s="17"/>
      <c r="I80" s="26" t="n">
        <f aca="false">IF(G80&gt;0,F80/G80*100,0)</f>
        <v>0</v>
      </c>
      <c r="J80" s="17"/>
    </row>
    <row r="81" customFormat="false" ht="15" hidden="false" customHeight="false" outlineLevel="0" collapsed="false">
      <c r="A81" s="4" t="n">
        <v>21</v>
      </c>
      <c r="B81" s="18"/>
      <c r="C81" s="18"/>
      <c r="D81" s="18"/>
      <c r="E81" s="18"/>
      <c r="F81" s="7" t="n">
        <f aca="false">D81+E81</f>
        <v>0</v>
      </c>
      <c r="G81" s="18"/>
      <c r="H81" s="18"/>
      <c r="I81" s="25" t="n">
        <f aca="false">IF(G81&gt;0,F81/G81*100,0)</f>
        <v>0</v>
      </c>
      <c r="J81" s="18"/>
    </row>
    <row r="82" customFormat="false" ht="15" hidden="false" customHeight="false" outlineLevel="0" collapsed="false">
      <c r="A82" s="8" t="n">
        <v>22</v>
      </c>
      <c r="B82" s="17"/>
      <c r="C82" s="17"/>
      <c r="D82" s="17"/>
      <c r="E82" s="17"/>
      <c r="F82" s="11" t="n">
        <f aca="false">D82+E82</f>
        <v>0</v>
      </c>
      <c r="G82" s="17"/>
      <c r="H82" s="17"/>
      <c r="I82" s="26" t="n">
        <f aca="false">IF(G82&gt;0,F82/G82*100,0)</f>
        <v>0</v>
      </c>
      <c r="J82" s="17"/>
    </row>
    <row r="83" customFormat="false" ht="15" hidden="false" customHeight="false" outlineLevel="0" collapsed="false">
      <c r="A83" s="4" t="n">
        <v>23</v>
      </c>
      <c r="B83" s="18"/>
      <c r="C83" s="18"/>
      <c r="D83" s="18"/>
      <c r="E83" s="18"/>
      <c r="F83" s="7" t="n">
        <f aca="false">D83+E83</f>
        <v>0</v>
      </c>
      <c r="G83" s="18"/>
      <c r="H83" s="18"/>
      <c r="I83" s="25" t="n">
        <f aca="false">IF(G83&gt;0,F83/G83*100,0)</f>
        <v>0</v>
      </c>
      <c r="J83" s="18"/>
    </row>
    <row r="84" customFormat="false" ht="15" hidden="false" customHeight="false" outlineLevel="0" collapsed="false">
      <c r="A84" s="8" t="n">
        <v>24</v>
      </c>
      <c r="B84" s="17"/>
      <c r="C84" s="17"/>
      <c r="D84" s="17"/>
      <c r="E84" s="17"/>
      <c r="F84" s="11" t="n">
        <f aca="false">D84+E84</f>
        <v>0</v>
      </c>
      <c r="G84" s="17"/>
      <c r="H84" s="17"/>
      <c r="I84" s="26" t="n">
        <f aca="false">IF(G84&gt;0,F84/G84*100,0)</f>
        <v>0</v>
      </c>
      <c r="J84" s="17"/>
    </row>
    <row r="85" customFormat="false" ht="15" hidden="false" customHeight="false" outlineLevel="0" collapsed="false">
      <c r="A85" s="4" t="n">
        <v>25</v>
      </c>
      <c r="B85" s="18"/>
      <c r="C85" s="18"/>
      <c r="D85" s="18"/>
      <c r="E85" s="18"/>
      <c r="F85" s="7" t="n">
        <f aca="false">D85+E85</f>
        <v>0</v>
      </c>
      <c r="G85" s="18"/>
      <c r="H85" s="18"/>
      <c r="I85" s="25" t="n">
        <f aca="false">IF(G85&gt;0,F85/G85*100,0)</f>
        <v>0</v>
      </c>
      <c r="J85" s="18"/>
    </row>
    <row r="86" customFormat="false" ht="15" hidden="false" customHeight="false" outlineLevel="0" collapsed="false">
      <c r="A86" s="8" t="n">
        <v>26</v>
      </c>
      <c r="B86" s="17"/>
      <c r="C86" s="17"/>
      <c r="D86" s="17"/>
      <c r="E86" s="17"/>
      <c r="F86" s="11" t="n">
        <f aca="false">D86+E86</f>
        <v>0</v>
      </c>
      <c r="G86" s="17"/>
      <c r="H86" s="17"/>
      <c r="I86" s="26" t="n">
        <f aca="false">IF(G86&gt;0,F86/G86*100,0)</f>
        <v>0</v>
      </c>
      <c r="J86" s="17"/>
    </row>
    <row r="87" customFormat="false" ht="15" hidden="false" customHeight="false" outlineLevel="0" collapsed="false">
      <c r="A87" s="4" t="n">
        <v>27</v>
      </c>
      <c r="B87" s="18"/>
      <c r="C87" s="18"/>
      <c r="D87" s="18"/>
      <c r="E87" s="18"/>
      <c r="F87" s="7" t="n">
        <f aca="false">D87+E87</f>
        <v>0</v>
      </c>
      <c r="G87" s="18"/>
      <c r="H87" s="18"/>
      <c r="I87" s="25" t="n">
        <f aca="false">IF(G87&gt;0,F87/G87*100,0)</f>
        <v>0</v>
      </c>
      <c r="J87" s="18"/>
    </row>
    <row r="88" customFormat="false" ht="15" hidden="false" customHeight="false" outlineLevel="0" collapsed="false">
      <c r="A88" s="8" t="n">
        <v>28</v>
      </c>
      <c r="B88" s="17"/>
      <c r="C88" s="17"/>
      <c r="D88" s="17"/>
      <c r="E88" s="17"/>
      <c r="F88" s="11" t="n">
        <f aca="false">D88+E88</f>
        <v>0</v>
      </c>
      <c r="G88" s="17"/>
      <c r="H88" s="17"/>
      <c r="I88" s="26" t="n">
        <f aca="false">IF(G88&gt;0,F88/G88*100,0)</f>
        <v>0</v>
      </c>
      <c r="J88" s="17"/>
    </row>
    <row r="89" customFormat="false" ht="15" hidden="false" customHeight="false" outlineLevel="0" collapsed="false">
      <c r="A89" s="4" t="n">
        <v>29</v>
      </c>
      <c r="B89" s="18"/>
      <c r="C89" s="18"/>
      <c r="D89" s="18"/>
      <c r="E89" s="18"/>
      <c r="F89" s="7" t="n">
        <f aca="false">D89+E89</f>
        <v>0</v>
      </c>
      <c r="G89" s="18"/>
      <c r="H89" s="18"/>
      <c r="I89" s="25" t="n">
        <f aca="false">IF(G89&gt;0,F89/G89*100,0)</f>
        <v>0</v>
      </c>
      <c r="J89" s="18"/>
    </row>
    <row r="90" customFormat="false" ht="15" hidden="false" customHeight="false" outlineLevel="0" collapsed="false">
      <c r="A90" s="8" t="n">
        <v>30</v>
      </c>
      <c r="B90" s="17"/>
      <c r="C90" s="17"/>
      <c r="D90" s="17"/>
      <c r="E90" s="17"/>
      <c r="F90" s="11" t="n">
        <f aca="false">D90+E90</f>
        <v>0</v>
      </c>
      <c r="G90" s="17"/>
      <c r="H90" s="17"/>
      <c r="I90" s="26" t="n">
        <f aca="false">IF(G90&gt;0,F90/G90*100,0)</f>
        <v>0</v>
      </c>
      <c r="J90" s="17"/>
    </row>
    <row r="91" customFormat="false" ht="15" hidden="false" customHeight="false" outlineLevel="0" collapsed="false">
      <c r="A91" s="4" t="n">
        <v>31</v>
      </c>
      <c r="B91" s="18"/>
      <c r="C91" s="18"/>
      <c r="D91" s="18"/>
      <c r="E91" s="18"/>
      <c r="F91" s="7" t="n">
        <f aca="false">D91+E91</f>
        <v>0</v>
      </c>
      <c r="G91" s="18"/>
      <c r="H91" s="18"/>
      <c r="I91" s="25" t="n">
        <f aca="false">IF(G91&gt;0,F91/G91*100,0)</f>
        <v>0</v>
      </c>
      <c r="J91" s="18"/>
    </row>
    <row r="92" customFormat="false" ht="15" hidden="false" customHeight="false" outlineLevel="0" collapsed="false">
      <c r="A92" s="8" t="n">
        <v>32</v>
      </c>
      <c r="B92" s="17"/>
      <c r="C92" s="17"/>
      <c r="D92" s="17"/>
      <c r="E92" s="17"/>
      <c r="F92" s="11" t="n">
        <f aca="false">D92+E92</f>
        <v>0</v>
      </c>
      <c r="G92" s="17"/>
      <c r="H92" s="17"/>
      <c r="I92" s="26" t="n">
        <f aca="false">IF(G92&gt;0,F92/G92*100,0)</f>
        <v>0</v>
      </c>
      <c r="J92" s="17"/>
    </row>
    <row r="93" customFormat="false" ht="15" hidden="false" customHeight="false" outlineLevel="0" collapsed="false">
      <c r="A93" s="4" t="n">
        <v>33</v>
      </c>
      <c r="B93" s="18"/>
      <c r="C93" s="18"/>
      <c r="D93" s="18"/>
      <c r="E93" s="18"/>
      <c r="F93" s="7" t="n">
        <f aca="false">D93+E93</f>
        <v>0</v>
      </c>
      <c r="G93" s="18"/>
      <c r="H93" s="18"/>
      <c r="I93" s="25" t="n">
        <f aca="false">IF(G93&gt;0,F93/G93*100,0)</f>
        <v>0</v>
      </c>
      <c r="J93" s="18"/>
    </row>
    <row r="94" customFormat="false" ht="15" hidden="false" customHeight="false" outlineLevel="0" collapsed="false">
      <c r="A94" s="8" t="n">
        <v>34</v>
      </c>
      <c r="B94" s="17"/>
      <c r="C94" s="17"/>
      <c r="D94" s="17"/>
      <c r="E94" s="17"/>
      <c r="F94" s="11" t="n">
        <f aca="false">D94+E94</f>
        <v>0</v>
      </c>
      <c r="G94" s="17"/>
      <c r="H94" s="17"/>
      <c r="I94" s="26" t="n">
        <f aca="false">IF(G94&gt;0,F94/G94*100,0)</f>
        <v>0</v>
      </c>
      <c r="J94" s="17"/>
    </row>
    <row r="95" customFormat="false" ht="15" hidden="false" customHeight="false" outlineLevel="0" collapsed="false">
      <c r="A95" s="4" t="n">
        <v>35</v>
      </c>
      <c r="B95" s="18"/>
      <c r="C95" s="18"/>
      <c r="D95" s="18"/>
      <c r="E95" s="18"/>
      <c r="F95" s="7" t="n">
        <f aca="false">D95+E95</f>
        <v>0</v>
      </c>
      <c r="G95" s="18"/>
      <c r="H95" s="18"/>
      <c r="I95" s="25" t="n">
        <f aca="false">IF(G95&gt;0,F95/G95*100,0)</f>
        <v>0</v>
      </c>
      <c r="J95" s="18"/>
    </row>
    <row r="96" customFormat="false" ht="15" hidden="false" customHeight="false" outlineLevel="0" collapsed="false">
      <c r="A96" s="8" t="n">
        <v>36</v>
      </c>
      <c r="B96" s="17"/>
      <c r="C96" s="17"/>
      <c r="D96" s="17"/>
      <c r="E96" s="17"/>
      <c r="F96" s="11" t="n">
        <f aca="false">D96+E96</f>
        <v>0</v>
      </c>
      <c r="G96" s="17"/>
      <c r="H96" s="17"/>
      <c r="I96" s="26" t="n">
        <f aca="false">IF(G96&gt;0,F96/G96*100,0)</f>
        <v>0</v>
      </c>
      <c r="J96" s="17"/>
    </row>
    <row r="97" customFormat="false" ht="15" hidden="false" customHeight="false" outlineLevel="0" collapsed="false">
      <c r="A97" s="4" t="n">
        <v>37</v>
      </c>
      <c r="B97" s="18"/>
      <c r="C97" s="18"/>
      <c r="D97" s="18"/>
      <c r="E97" s="18"/>
      <c r="F97" s="7" t="n">
        <f aca="false">D97+E97</f>
        <v>0</v>
      </c>
      <c r="G97" s="18"/>
      <c r="H97" s="18"/>
      <c r="I97" s="25" t="n">
        <f aca="false">IF(G97&gt;0,F97/G97*100,0)</f>
        <v>0</v>
      </c>
      <c r="J97" s="18"/>
    </row>
    <row r="98" customFormat="false" ht="15" hidden="false" customHeight="false" outlineLevel="0" collapsed="false">
      <c r="A98" s="8" t="n">
        <v>38</v>
      </c>
      <c r="B98" s="17"/>
      <c r="C98" s="17"/>
      <c r="D98" s="17"/>
      <c r="E98" s="17"/>
      <c r="F98" s="11" t="n">
        <f aca="false">D98+E98</f>
        <v>0</v>
      </c>
      <c r="G98" s="17"/>
      <c r="H98" s="17"/>
      <c r="I98" s="26" t="n">
        <f aca="false">IF(G98&gt;0,F98/G98*100,0)</f>
        <v>0</v>
      </c>
      <c r="J98" s="17"/>
    </row>
    <row r="99" customFormat="false" ht="15" hidden="false" customHeight="false" outlineLevel="0" collapsed="false">
      <c r="A99" s="4" t="n">
        <v>39</v>
      </c>
      <c r="B99" s="18"/>
      <c r="C99" s="18"/>
      <c r="D99" s="18"/>
      <c r="E99" s="18"/>
      <c r="F99" s="7" t="n">
        <f aca="false">D99+E99</f>
        <v>0</v>
      </c>
      <c r="G99" s="18"/>
      <c r="H99" s="18"/>
      <c r="I99" s="25" t="n">
        <f aca="false">IF(G99&gt;0,F99/G99*100,0)</f>
        <v>0</v>
      </c>
      <c r="J99" s="18"/>
    </row>
    <row r="100" customFormat="false" ht="15" hidden="false" customHeight="false" outlineLevel="0" collapsed="false">
      <c r="A100" s="8" t="n">
        <v>40</v>
      </c>
      <c r="B100" s="17"/>
      <c r="C100" s="17"/>
      <c r="D100" s="17"/>
      <c r="E100" s="17"/>
      <c r="F100" s="11" t="n">
        <f aca="false">D100+E100</f>
        <v>0</v>
      </c>
      <c r="G100" s="17"/>
      <c r="H100" s="17"/>
      <c r="I100" s="26" t="n">
        <f aca="false">IF(G100&gt;0,F100/G100*100,0)</f>
        <v>0</v>
      </c>
      <c r="J100" s="17"/>
    </row>
  </sheetData>
  <mergeCells count="4">
    <mergeCell ref="A1:J1"/>
    <mergeCell ref="A2:J2"/>
    <mergeCell ref="A35:J35"/>
    <mergeCell ref="A59:J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7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5.5" hidden="false" customHeight="true" outlineLevel="0" collapsed="false">
      <c r="A2" s="28" t="s">
        <v>61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customFormat="false" ht="23.85" hidden="false" customHeight="false" outlineLevel="0" collapsed="false">
      <c r="A3" s="29" t="s">
        <v>33</v>
      </c>
      <c r="B3" s="29" t="s">
        <v>34</v>
      </c>
      <c r="C3" s="29" t="s">
        <v>35</v>
      </c>
      <c r="D3" s="29" t="s">
        <v>62</v>
      </c>
      <c r="E3" s="29" t="s">
        <v>63</v>
      </c>
      <c r="F3" s="29" t="s">
        <v>64</v>
      </c>
      <c r="G3" s="29" t="s">
        <v>65</v>
      </c>
      <c r="H3" s="29" t="s">
        <v>66</v>
      </c>
      <c r="I3" s="29" t="s">
        <v>67</v>
      </c>
      <c r="J3" s="29" t="s">
        <v>68</v>
      </c>
      <c r="K3" s="29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8" t="n">
        <f aca="false">SUM(D4:I4)</f>
        <v>0</v>
      </c>
      <c r="K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4" t="n">
        <f aca="false">SUM(D5:I5)</f>
        <v>0</v>
      </c>
      <c r="K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8" t="n">
        <f aca="false">SUM(D6:I6)</f>
        <v>0</v>
      </c>
      <c r="K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4" t="n">
        <f aca="false">SUM(D7:I7)</f>
        <v>0</v>
      </c>
      <c r="K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8" t="n">
        <f aca="false">SUM(D8:I8)</f>
        <v>0</v>
      </c>
      <c r="K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4" t="n">
        <f aca="false">SUM(D9:I9)</f>
        <v>0</v>
      </c>
      <c r="K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8" t="n">
        <f aca="false">SUM(D10:I10)</f>
        <v>0</v>
      </c>
      <c r="K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4" t="n">
        <f aca="false">SUM(D11:I11)</f>
        <v>0</v>
      </c>
      <c r="K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8" t="n">
        <f aca="false">SUM(D12:I12)</f>
        <v>0</v>
      </c>
      <c r="K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4" t="n">
        <f aca="false">SUM(D13:I13)</f>
        <v>0</v>
      </c>
      <c r="K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8" t="n">
        <f aca="false">SUM(D14:I14)</f>
        <v>0</v>
      </c>
      <c r="K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4" t="n">
        <f aca="false">SUM(D15:I15)</f>
        <v>0</v>
      </c>
      <c r="K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8" t="n">
        <f aca="false">SUM(D16:I16)</f>
        <v>0</v>
      </c>
      <c r="K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4" t="n">
        <f aca="false">SUM(D17:I17)</f>
        <v>0</v>
      </c>
      <c r="K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8" t="n">
        <f aca="false">SUM(D18:I18)</f>
        <v>0</v>
      </c>
      <c r="K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4" t="n">
        <f aca="false">SUM(D19:I19)</f>
        <v>0</v>
      </c>
      <c r="K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8" t="n">
        <f aca="false">SUM(D20:I20)</f>
        <v>0</v>
      </c>
      <c r="K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4" t="n">
        <f aca="false">SUM(D21:I21)</f>
        <v>0</v>
      </c>
      <c r="K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8" t="n">
        <f aca="false">SUM(D22:I22)</f>
        <v>0</v>
      </c>
      <c r="K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4" t="n">
        <f aca="false">SUM(D23:I23)</f>
        <v>0</v>
      </c>
      <c r="K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8" t="n">
        <f aca="false">SUM(D24:I24)</f>
        <v>0</v>
      </c>
      <c r="K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4" t="n">
        <f aca="false">SUM(D25:I25)</f>
        <v>0</v>
      </c>
      <c r="K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8" t="n">
        <f aca="false">SUM(D26:I26)</f>
        <v>0</v>
      </c>
      <c r="K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4" t="n">
        <f aca="false">SUM(D27:I27)</f>
        <v>0</v>
      </c>
      <c r="K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8" t="n">
        <f aca="false">SUM(D28:I28)</f>
        <v>0</v>
      </c>
      <c r="K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4" t="n">
        <f aca="false">SUM(D29:I29)</f>
        <v>0</v>
      </c>
      <c r="K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8" t="n">
        <f aca="false">SUM(D30:I30)</f>
        <v>0</v>
      </c>
      <c r="K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4" t="n">
        <f aca="false">SUM(D31:I31)</f>
        <v>0</v>
      </c>
      <c r="K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8" t="n">
        <f aca="false">SUM(D32:I32)</f>
        <v>0</v>
      </c>
      <c r="K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4" t="n">
        <f aca="false">SUM(D33:I33)</f>
        <v>0</v>
      </c>
      <c r="K33" s="18"/>
    </row>
    <row r="35" customFormat="false" ht="25.5" hidden="false" customHeight="true" outlineLevel="0" collapsed="false">
      <c r="A35" s="30" t="s">
        <v>69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23.85" hidden="false" customHeight="false" outlineLevel="0" collapsed="false">
      <c r="A36" s="31" t="s">
        <v>33</v>
      </c>
      <c r="B36" s="31" t="s">
        <v>52</v>
      </c>
      <c r="C36" s="31" t="s">
        <v>53</v>
      </c>
      <c r="D36" s="31" t="s">
        <v>70</v>
      </c>
      <c r="E36" s="31" t="s">
        <v>71</v>
      </c>
      <c r="F36" s="31" t="s">
        <v>72</v>
      </c>
      <c r="G36" s="31" t="s">
        <v>73</v>
      </c>
      <c r="H36" s="31" t="s">
        <v>74</v>
      </c>
      <c r="I36" s="31" t="s">
        <v>75</v>
      </c>
      <c r="J36" s="31" t="s">
        <v>76</v>
      </c>
      <c r="K36" s="31" t="s">
        <v>34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7" t="n">
        <f aca="false">SUM(D37:I37)</f>
        <v>0</v>
      </c>
      <c r="K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1" t="n">
        <f aca="false">SUM(D38:I38)</f>
        <v>0</v>
      </c>
      <c r="K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7" t="n">
        <f aca="false">SUM(D39:I39)</f>
        <v>0</v>
      </c>
      <c r="K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1" t="n">
        <f aca="false">SUM(D40:I40)</f>
        <v>0</v>
      </c>
      <c r="K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7" t="n">
        <f aca="false">SUM(D41:I41)</f>
        <v>0</v>
      </c>
      <c r="K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1" t="n">
        <f aca="false">SUM(D42:I42)</f>
        <v>0</v>
      </c>
      <c r="K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7" t="n">
        <f aca="false">SUM(D43:I43)</f>
        <v>0</v>
      </c>
      <c r="K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1" t="n">
        <f aca="false">SUM(D44:I44)</f>
        <v>0</v>
      </c>
      <c r="K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7" t="n">
        <f aca="false">SUM(D45:I45)</f>
        <v>0</v>
      </c>
      <c r="K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1" t="n">
        <f aca="false">SUM(D46:I46)</f>
        <v>0</v>
      </c>
      <c r="K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7" t="n">
        <f aca="false">SUM(D47:I47)</f>
        <v>0</v>
      </c>
      <c r="K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1" t="n">
        <f aca="false">SUM(D48:I48)</f>
        <v>0</v>
      </c>
      <c r="K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7" t="n">
        <f aca="false">SUM(D49:I49)</f>
        <v>0</v>
      </c>
      <c r="K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1" t="n">
        <f aca="false">SUM(D50:I50)</f>
        <v>0</v>
      </c>
      <c r="K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7" t="n">
        <f aca="false">SUM(D51:I51)</f>
        <v>0</v>
      </c>
      <c r="K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1" t="n">
        <f aca="false">SUM(D52:I52)</f>
        <v>0</v>
      </c>
      <c r="K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7" t="n">
        <f aca="false">SUM(D53:I53)</f>
        <v>0</v>
      </c>
      <c r="K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1" t="n">
        <f aca="false">SUM(D54:I54)</f>
        <v>0</v>
      </c>
      <c r="K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7" t="n">
        <f aca="false">SUM(D55:I55)</f>
        <v>0</v>
      </c>
      <c r="K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1" t="n">
        <f aca="false">SUM(D56:I56)</f>
        <v>0</v>
      </c>
      <c r="K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7" t="n">
        <f aca="false">SUM(D57:I57)</f>
        <v>0</v>
      </c>
      <c r="K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1" t="n">
        <f aca="false">SUM(D58:I58)</f>
        <v>0</v>
      </c>
      <c r="K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7" t="n">
        <f aca="false">SUM(D59:I59)</f>
        <v>0</v>
      </c>
      <c r="K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1" t="n">
        <f aca="false">SUM(D60:I60)</f>
        <v>0</v>
      </c>
      <c r="K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7" t="n">
        <f aca="false">SUM(D61:I61)</f>
        <v>0</v>
      </c>
      <c r="K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1" t="n">
        <f aca="false">SUM(D62:I62)</f>
        <v>0</v>
      </c>
      <c r="K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7" t="n">
        <f aca="false">SUM(D63:I63)</f>
        <v>0</v>
      </c>
      <c r="K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1" t="n">
        <f aca="false">SUM(D64:I64)</f>
        <v>0</v>
      </c>
      <c r="K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7" t="n">
        <f aca="false">SUM(D65:I65)</f>
        <v>0</v>
      </c>
      <c r="K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1" t="n">
        <f aca="false">SUM(D66:I66)</f>
        <v>0</v>
      </c>
      <c r="K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18"/>
      <c r="G67" s="18"/>
      <c r="H67" s="18"/>
      <c r="I67" s="18"/>
      <c r="J67" s="7" t="n">
        <f aca="false">SUM(D67:I67)</f>
        <v>0</v>
      </c>
      <c r="K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1" t="n">
        <f aca="false">SUM(D68:I68)</f>
        <v>0</v>
      </c>
      <c r="K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18"/>
      <c r="G69" s="18"/>
      <c r="H69" s="18"/>
      <c r="I69" s="18"/>
      <c r="J69" s="7" t="n">
        <f aca="false">SUM(D69:I69)</f>
        <v>0</v>
      </c>
      <c r="K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1" t="n">
        <f aca="false">SUM(D70:I70)</f>
        <v>0</v>
      </c>
      <c r="K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18"/>
      <c r="G71" s="18"/>
      <c r="H71" s="18"/>
      <c r="I71" s="18"/>
      <c r="J71" s="7" t="n">
        <f aca="false">SUM(D71:I71)</f>
        <v>0</v>
      </c>
      <c r="K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1" t="n">
        <f aca="false">SUM(D72:I72)</f>
        <v>0</v>
      </c>
      <c r="K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18"/>
      <c r="G73" s="18"/>
      <c r="H73" s="18"/>
      <c r="I73" s="18"/>
      <c r="J73" s="7" t="n">
        <f aca="false">SUM(D73:I73)</f>
        <v>0</v>
      </c>
      <c r="K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1" t="n">
        <f aca="false">SUM(D74:I74)</f>
        <v>0</v>
      </c>
      <c r="K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18"/>
      <c r="G75" s="18"/>
      <c r="H75" s="18"/>
      <c r="I75" s="18"/>
      <c r="J75" s="7" t="n">
        <f aca="false">SUM(D75:I75)</f>
        <v>0</v>
      </c>
      <c r="K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1" t="n">
        <f aca="false">SUM(D76:I76)</f>
        <v>0</v>
      </c>
      <c r="K7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2" t="s">
        <v>77</v>
      </c>
      <c r="B1" s="32"/>
      <c r="C1" s="32"/>
      <c r="D1" s="32"/>
      <c r="E1" s="32"/>
      <c r="F1" s="32"/>
      <c r="G1" s="32"/>
      <c r="H1" s="32"/>
      <c r="I1" s="32"/>
    </row>
    <row r="2" customFormat="false" ht="25.5" hidden="false" customHeight="true" outlineLevel="0" collapsed="false">
      <c r="A2" s="23" t="s">
        <v>78</v>
      </c>
      <c r="B2" s="23"/>
      <c r="C2" s="23"/>
      <c r="D2" s="23"/>
      <c r="E2" s="23"/>
      <c r="F2" s="23"/>
      <c r="G2" s="23"/>
      <c r="H2" s="23"/>
      <c r="I2" s="23"/>
    </row>
    <row r="3" customFormat="false" ht="23.85" hidden="false" customHeight="false" outlineLevel="0" collapsed="false">
      <c r="A3" s="24" t="s">
        <v>33</v>
      </c>
      <c r="B3" s="24" t="s">
        <v>34</v>
      </c>
      <c r="C3" s="24" t="s">
        <v>35</v>
      </c>
      <c r="D3" s="24" t="s">
        <v>79</v>
      </c>
      <c r="E3" s="24" t="s">
        <v>80</v>
      </c>
      <c r="F3" s="24" t="s">
        <v>81</v>
      </c>
      <c r="G3" s="24" t="s">
        <v>82</v>
      </c>
      <c r="H3" s="24" t="s">
        <v>83</v>
      </c>
      <c r="I3" s="24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8" t="n">
        <f aca="false">'1. Doctorates Awarded'!I4</f>
        <v>0</v>
      </c>
      <c r="E4" s="8" t="n">
        <f aca="false">'2. Academic Staff FTE'!J4</f>
        <v>0</v>
      </c>
      <c r="F4" s="33" t="n">
        <f aca="false">IF(E4&gt;0,D4/E4,0)</f>
        <v>0</v>
      </c>
      <c r="G4" s="34" t="n">
        <f aca="false">IFERROR((F4-AVERAGE($F$4:$F$33))/STDEV($F$4:$F$33),0)</f>
        <v>0</v>
      </c>
      <c r="H4" s="22" t="n">
        <f aca="false">IFERROR(IF(MAX($F$4:$F$33)-MIN($F$4:$F$33)&gt;0,(F4-MIN($F$4:$F$33))/(MAX($F$4:$F$33)-MIN($F$4:$F$33))*100,0),0)</f>
        <v>0</v>
      </c>
      <c r="I4" s="17"/>
    </row>
    <row r="5" customFormat="false" ht="15" hidden="false" customHeight="false" outlineLevel="0" collapsed="false">
      <c r="A5" s="4" t="n">
        <v>2</v>
      </c>
      <c r="B5" s="18"/>
      <c r="C5" s="18"/>
      <c r="D5" s="4" t="n">
        <f aca="false">'1. Doctorates Awarded'!I5</f>
        <v>0</v>
      </c>
      <c r="E5" s="4" t="n">
        <f aca="false">'2. Academic Staff FTE'!J5</f>
        <v>0</v>
      </c>
      <c r="F5" s="35" t="n">
        <f aca="false">IF(E5&gt;0,D5/E5,0)</f>
        <v>0</v>
      </c>
      <c r="G5" s="36" t="n">
        <f aca="false">IFERROR((F5-AVERAGE($F$4:$F$33))/STDEV($F$4:$F$33),0)</f>
        <v>0</v>
      </c>
      <c r="H5" s="21" t="n">
        <f aca="false">IFERROR(IF(MAX($F$4:$F$33)-MIN($F$4:$F$33)&gt;0,(F5-MIN($F$4:$F$33))/(MAX($F$4:$F$33)-MIN($F$4:$F$33))*100,0),0)</f>
        <v>0</v>
      </c>
      <c r="I5" s="18"/>
    </row>
    <row r="6" customFormat="false" ht="15" hidden="false" customHeight="false" outlineLevel="0" collapsed="false">
      <c r="A6" s="8" t="n">
        <v>3</v>
      </c>
      <c r="B6" s="17"/>
      <c r="C6" s="17"/>
      <c r="D6" s="8" t="n">
        <f aca="false">'1. Doctorates Awarded'!I6</f>
        <v>0</v>
      </c>
      <c r="E6" s="8" t="n">
        <f aca="false">'2. Academic Staff FTE'!J6</f>
        <v>0</v>
      </c>
      <c r="F6" s="33" t="n">
        <f aca="false">IF(E6&gt;0,D6/E6,0)</f>
        <v>0</v>
      </c>
      <c r="G6" s="34" t="n">
        <f aca="false">IFERROR((F6-AVERAGE($F$4:$F$33))/STDEV($F$4:$F$33),0)</f>
        <v>0</v>
      </c>
      <c r="H6" s="22" t="n">
        <f aca="false">IFERROR(IF(MAX($F$4:$F$33)-MIN($F$4:$F$33)&gt;0,(F6-MIN($F$4:$F$33))/(MAX($F$4:$F$33)-MIN($F$4:$F$33))*100,0),0)</f>
        <v>0</v>
      </c>
      <c r="I6" s="17"/>
    </row>
    <row r="7" customFormat="false" ht="15" hidden="false" customHeight="false" outlineLevel="0" collapsed="false">
      <c r="A7" s="4" t="n">
        <v>4</v>
      </c>
      <c r="B7" s="18"/>
      <c r="C7" s="18"/>
      <c r="D7" s="4" t="n">
        <f aca="false">'1. Doctorates Awarded'!I7</f>
        <v>0</v>
      </c>
      <c r="E7" s="4" t="n">
        <f aca="false">'2. Academic Staff FTE'!J7</f>
        <v>0</v>
      </c>
      <c r="F7" s="35" t="n">
        <f aca="false">IF(E7&gt;0,D7/E7,0)</f>
        <v>0</v>
      </c>
      <c r="G7" s="36" t="n">
        <f aca="false">IFERROR((F7-AVERAGE($F$4:$F$33))/STDEV($F$4:$F$33),0)</f>
        <v>0</v>
      </c>
      <c r="H7" s="21" t="n">
        <f aca="false">IFERROR(IF(MAX($F$4:$F$33)-MIN($F$4:$F$33)&gt;0,(F7-MIN($F$4:$F$33))/(MAX($F$4:$F$33)-MIN($F$4:$F$33))*100,0),0)</f>
        <v>0</v>
      </c>
      <c r="I7" s="18"/>
    </row>
    <row r="8" customFormat="false" ht="15" hidden="false" customHeight="false" outlineLevel="0" collapsed="false">
      <c r="A8" s="8" t="n">
        <v>5</v>
      </c>
      <c r="B8" s="17"/>
      <c r="C8" s="17"/>
      <c r="D8" s="8" t="n">
        <f aca="false">'1. Doctorates Awarded'!I8</f>
        <v>0</v>
      </c>
      <c r="E8" s="8" t="n">
        <f aca="false">'2. Academic Staff FTE'!J8</f>
        <v>0</v>
      </c>
      <c r="F8" s="33" t="n">
        <f aca="false">IF(E8&gt;0,D8/E8,0)</f>
        <v>0</v>
      </c>
      <c r="G8" s="34" t="n">
        <f aca="false">IFERROR((F8-AVERAGE($F$4:$F$33))/STDEV($F$4:$F$33),0)</f>
        <v>0</v>
      </c>
      <c r="H8" s="22" t="n">
        <f aca="false">IFERROR(IF(MAX($F$4:$F$33)-MIN($F$4:$F$33)&gt;0,(F8-MIN($F$4:$F$33))/(MAX($F$4:$F$33)-MIN($F$4:$F$33))*100,0),0)</f>
        <v>0</v>
      </c>
      <c r="I8" s="17"/>
    </row>
    <row r="9" customFormat="false" ht="15" hidden="false" customHeight="false" outlineLevel="0" collapsed="false">
      <c r="A9" s="4" t="n">
        <v>6</v>
      </c>
      <c r="B9" s="18"/>
      <c r="C9" s="18"/>
      <c r="D9" s="4" t="n">
        <f aca="false">'1. Doctorates Awarded'!I9</f>
        <v>0</v>
      </c>
      <c r="E9" s="4" t="n">
        <f aca="false">'2. Academic Staff FTE'!J9</f>
        <v>0</v>
      </c>
      <c r="F9" s="35" t="n">
        <f aca="false">IF(E9&gt;0,D9/E9,0)</f>
        <v>0</v>
      </c>
      <c r="G9" s="36" t="n">
        <f aca="false">IFERROR((F9-AVERAGE($F$4:$F$33))/STDEV($F$4:$F$33),0)</f>
        <v>0</v>
      </c>
      <c r="H9" s="21" t="n">
        <f aca="false">IFERROR(IF(MAX($F$4:$F$33)-MIN($F$4:$F$33)&gt;0,(F9-MIN($F$4:$F$33))/(MAX($F$4:$F$33)-MIN($F$4:$F$33))*100,0),0)</f>
        <v>0</v>
      </c>
      <c r="I9" s="18"/>
    </row>
    <row r="10" customFormat="false" ht="15" hidden="false" customHeight="false" outlineLevel="0" collapsed="false">
      <c r="A10" s="8" t="n">
        <v>7</v>
      </c>
      <c r="B10" s="17"/>
      <c r="C10" s="17"/>
      <c r="D10" s="8" t="n">
        <f aca="false">'1. Doctorates Awarded'!I10</f>
        <v>0</v>
      </c>
      <c r="E10" s="8" t="n">
        <f aca="false">'2. Academic Staff FTE'!J10</f>
        <v>0</v>
      </c>
      <c r="F10" s="33" t="n">
        <f aca="false">IF(E10&gt;0,D10/E10,0)</f>
        <v>0</v>
      </c>
      <c r="G10" s="34" t="n">
        <f aca="false">IFERROR((F10-AVERAGE($F$4:$F$33))/STDEV($F$4:$F$33),0)</f>
        <v>0</v>
      </c>
      <c r="H10" s="22" t="n">
        <f aca="false">IFERROR(IF(MAX($F$4:$F$33)-MIN($F$4:$F$33)&gt;0,(F10-MIN($F$4:$F$33))/(MAX($F$4:$F$33)-MIN($F$4:$F$33))*100,0),0)</f>
        <v>0</v>
      </c>
      <c r="I10" s="17"/>
    </row>
    <row r="11" customFormat="false" ht="15" hidden="false" customHeight="false" outlineLevel="0" collapsed="false">
      <c r="A11" s="4" t="n">
        <v>8</v>
      </c>
      <c r="B11" s="18"/>
      <c r="C11" s="18"/>
      <c r="D11" s="4" t="n">
        <f aca="false">'1. Doctorates Awarded'!I11</f>
        <v>0</v>
      </c>
      <c r="E11" s="4" t="n">
        <f aca="false">'2. Academic Staff FTE'!J11</f>
        <v>0</v>
      </c>
      <c r="F11" s="35" t="n">
        <f aca="false">IF(E11&gt;0,D11/E11,0)</f>
        <v>0</v>
      </c>
      <c r="G11" s="36" t="n">
        <f aca="false">IFERROR((F11-AVERAGE($F$4:$F$33))/STDEV($F$4:$F$33),0)</f>
        <v>0</v>
      </c>
      <c r="H11" s="21" t="n">
        <f aca="false">IFERROR(IF(MAX($F$4:$F$33)-MIN($F$4:$F$33)&gt;0,(F11-MIN($F$4:$F$33))/(MAX($F$4:$F$33)-MIN($F$4:$F$33))*100,0),0)</f>
        <v>0</v>
      </c>
      <c r="I11" s="18"/>
    </row>
    <row r="12" customFormat="false" ht="15" hidden="false" customHeight="false" outlineLevel="0" collapsed="false">
      <c r="A12" s="8" t="n">
        <v>9</v>
      </c>
      <c r="B12" s="17"/>
      <c r="C12" s="17"/>
      <c r="D12" s="8" t="n">
        <f aca="false">'1. Doctorates Awarded'!I12</f>
        <v>0</v>
      </c>
      <c r="E12" s="8" t="n">
        <f aca="false">'2. Academic Staff FTE'!J12</f>
        <v>0</v>
      </c>
      <c r="F12" s="33" t="n">
        <f aca="false">IF(E12&gt;0,D12/E12,0)</f>
        <v>0</v>
      </c>
      <c r="G12" s="34" t="n">
        <f aca="false">IFERROR((F12-AVERAGE($F$4:$F$33))/STDEV($F$4:$F$33),0)</f>
        <v>0</v>
      </c>
      <c r="H12" s="22" t="n">
        <f aca="false">IFERROR(IF(MAX($F$4:$F$33)-MIN($F$4:$F$33)&gt;0,(F12-MIN($F$4:$F$33))/(MAX($F$4:$F$33)-MIN($F$4:$F$33))*100,0),0)</f>
        <v>0</v>
      </c>
      <c r="I12" s="17"/>
    </row>
    <row r="13" customFormat="false" ht="15" hidden="false" customHeight="false" outlineLevel="0" collapsed="false">
      <c r="A13" s="4" t="n">
        <v>10</v>
      </c>
      <c r="B13" s="18"/>
      <c r="C13" s="18"/>
      <c r="D13" s="4" t="n">
        <f aca="false">'1. Doctorates Awarded'!I13</f>
        <v>0</v>
      </c>
      <c r="E13" s="4" t="n">
        <f aca="false">'2. Academic Staff FTE'!J13</f>
        <v>0</v>
      </c>
      <c r="F13" s="35" t="n">
        <f aca="false">IF(E13&gt;0,D13/E13,0)</f>
        <v>0</v>
      </c>
      <c r="G13" s="36" t="n">
        <f aca="false">IFERROR((F13-AVERAGE($F$4:$F$33))/STDEV($F$4:$F$33),0)</f>
        <v>0</v>
      </c>
      <c r="H13" s="21" t="n">
        <f aca="false">IFERROR(IF(MAX($F$4:$F$33)-MIN($F$4:$F$33)&gt;0,(F13-MIN($F$4:$F$33))/(MAX($F$4:$F$33)-MIN($F$4:$F$33))*100,0),0)</f>
        <v>0</v>
      </c>
      <c r="I13" s="18"/>
    </row>
    <row r="14" customFormat="false" ht="15" hidden="false" customHeight="false" outlineLevel="0" collapsed="false">
      <c r="A14" s="8" t="n">
        <v>11</v>
      </c>
      <c r="B14" s="17"/>
      <c r="C14" s="17"/>
      <c r="D14" s="8" t="n">
        <f aca="false">'1. Doctorates Awarded'!I14</f>
        <v>0</v>
      </c>
      <c r="E14" s="8" t="n">
        <f aca="false">'2. Academic Staff FTE'!J14</f>
        <v>0</v>
      </c>
      <c r="F14" s="33" t="n">
        <f aca="false">IF(E14&gt;0,D14/E14,0)</f>
        <v>0</v>
      </c>
      <c r="G14" s="34" t="n">
        <f aca="false">IFERROR((F14-AVERAGE($F$4:$F$33))/STDEV($F$4:$F$33),0)</f>
        <v>0</v>
      </c>
      <c r="H14" s="22" t="n">
        <f aca="false">IFERROR(IF(MAX($F$4:$F$33)-MIN($F$4:$F$33)&gt;0,(F14-MIN($F$4:$F$33))/(MAX($F$4:$F$33)-MIN($F$4:$F$33))*100,0),0)</f>
        <v>0</v>
      </c>
      <c r="I14" s="17"/>
    </row>
    <row r="15" customFormat="false" ht="15" hidden="false" customHeight="false" outlineLevel="0" collapsed="false">
      <c r="A15" s="4" t="n">
        <v>12</v>
      </c>
      <c r="B15" s="18"/>
      <c r="C15" s="18"/>
      <c r="D15" s="4" t="n">
        <f aca="false">'1. Doctorates Awarded'!I15</f>
        <v>0</v>
      </c>
      <c r="E15" s="4" t="n">
        <f aca="false">'2. Academic Staff FTE'!J15</f>
        <v>0</v>
      </c>
      <c r="F15" s="35" t="n">
        <f aca="false">IF(E15&gt;0,D15/E15,0)</f>
        <v>0</v>
      </c>
      <c r="G15" s="36" t="n">
        <f aca="false">IFERROR((F15-AVERAGE($F$4:$F$33))/STDEV($F$4:$F$33),0)</f>
        <v>0</v>
      </c>
      <c r="H15" s="21" t="n">
        <f aca="false">IFERROR(IF(MAX($F$4:$F$33)-MIN($F$4:$F$33)&gt;0,(F15-MIN($F$4:$F$33))/(MAX($F$4:$F$33)-MIN($F$4:$F$33))*100,0),0)</f>
        <v>0</v>
      </c>
      <c r="I15" s="18"/>
    </row>
    <row r="16" customFormat="false" ht="15" hidden="false" customHeight="false" outlineLevel="0" collapsed="false">
      <c r="A16" s="8" t="n">
        <v>13</v>
      </c>
      <c r="B16" s="17"/>
      <c r="C16" s="17"/>
      <c r="D16" s="8" t="n">
        <f aca="false">'1. Doctorates Awarded'!I16</f>
        <v>0</v>
      </c>
      <c r="E16" s="8" t="n">
        <f aca="false">'2. Academic Staff FTE'!J16</f>
        <v>0</v>
      </c>
      <c r="F16" s="33" t="n">
        <f aca="false">IF(E16&gt;0,D16/E16,0)</f>
        <v>0</v>
      </c>
      <c r="G16" s="34" t="n">
        <f aca="false">IFERROR((F16-AVERAGE($F$4:$F$33))/STDEV($F$4:$F$33),0)</f>
        <v>0</v>
      </c>
      <c r="H16" s="22" t="n">
        <f aca="false">IFERROR(IF(MAX($F$4:$F$33)-MIN($F$4:$F$33)&gt;0,(F16-MIN($F$4:$F$33))/(MAX($F$4:$F$33)-MIN($F$4:$F$33))*100,0),0)</f>
        <v>0</v>
      </c>
      <c r="I16" s="17"/>
    </row>
    <row r="17" customFormat="false" ht="15" hidden="false" customHeight="false" outlineLevel="0" collapsed="false">
      <c r="A17" s="4" t="n">
        <v>14</v>
      </c>
      <c r="B17" s="18"/>
      <c r="C17" s="18"/>
      <c r="D17" s="4" t="n">
        <f aca="false">'1. Doctorates Awarded'!I17</f>
        <v>0</v>
      </c>
      <c r="E17" s="4" t="n">
        <f aca="false">'2. Academic Staff FTE'!J17</f>
        <v>0</v>
      </c>
      <c r="F17" s="35" t="n">
        <f aca="false">IF(E17&gt;0,D17/E17,0)</f>
        <v>0</v>
      </c>
      <c r="G17" s="36" t="n">
        <f aca="false">IFERROR((F17-AVERAGE($F$4:$F$33))/STDEV($F$4:$F$33),0)</f>
        <v>0</v>
      </c>
      <c r="H17" s="21" t="n">
        <f aca="false">IFERROR(IF(MAX($F$4:$F$33)-MIN($F$4:$F$33)&gt;0,(F17-MIN($F$4:$F$33))/(MAX($F$4:$F$33)-MIN($F$4:$F$33))*100,0),0)</f>
        <v>0</v>
      </c>
      <c r="I17" s="18"/>
    </row>
    <row r="18" customFormat="false" ht="15" hidden="false" customHeight="false" outlineLevel="0" collapsed="false">
      <c r="A18" s="8" t="n">
        <v>15</v>
      </c>
      <c r="B18" s="17"/>
      <c r="C18" s="17"/>
      <c r="D18" s="8" t="n">
        <f aca="false">'1. Doctorates Awarded'!I18</f>
        <v>0</v>
      </c>
      <c r="E18" s="8" t="n">
        <f aca="false">'2. Academic Staff FTE'!J18</f>
        <v>0</v>
      </c>
      <c r="F18" s="33" t="n">
        <f aca="false">IF(E18&gt;0,D18/E18,0)</f>
        <v>0</v>
      </c>
      <c r="G18" s="34" t="n">
        <f aca="false">IFERROR((F18-AVERAGE($F$4:$F$33))/STDEV($F$4:$F$33),0)</f>
        <v>0</v>
      </c>
      <c r="H18" s="22" t="n">
        <f aca="false">IFERROR(IF(MAX($F$4:$F$33)-MIN($F$4:$F$33)&gt;0,(F18-MIN($F$4:$F$33))/(MAX($F$4:$F$33)-MIN($F$4:$F$33))*100,0),0)</f>
        <v>0</v>
      </c>
      <c r="I18" s="17"/>
    </row>
    <row r="19" customFormat="false" ht="15" hidden="false" customHeight="false" outlineLevel="0" collapsed="false">
      <c r="A19" s="4" t="n">
        <v>16</v>
      </c>
      <c r="B19" s="18"/>
      <c r="C19" s="18"/>
      <c r="D19" s="4" t="n">
        <f aca="false">'1. Doctorates Awarded'!I19</f>
        <v>0</v>
      </c>
      <c r="E19" s="4" t="n">
        <f aca="false">'2. Academic Staff FTE'!J19</f>
        <v>0</v>
      </c>
      <c r="F19" s="35" t="n">
        <f aca="false">IF(E19&gt;0,D19/E19,0)</f>
        <v>0</v>
      </c>
      <c r="G19" s="36" t="n">
        <f aca="false">IFERROR((F19-AVERAGE($F$4:$F$33))/STDEV($F$4:$F$33),0)</f>
        <v>0</v>
      </c>
      <c r="H19" s="21" t="n">
        <f aca="false">IFERROR(IF(MAX($F$4:$F$33)-MIN($F$4:$F$33)&gt;0,(F19-MIN($F$4:$F$33))/(MAX($F$4:$F$33)-MIN($F$4:$F$33))*100,0),0)</f>
        <v>0</v>
      </c>
      <c r="I19" s="18"/>
    </row>
    <row r="20" customFormat="false" ht="15" hidden="false" customHeight="false" outlineLevel="0" collapsed="false">
      <c r="A20" s="8" t="n">
        <v>17</v>
      </c>
      <c r="B20" s="17"/>
      <c r="C20" s="17"/>
      <c r="D20" s="8" t="n">
        <f aca="false">'1. Doctorates Awarded'!I20</f>
        <v>0</v>
      </c>
      <c r="E20" s="8" t="n">
        <f aca="false">'2. Academic Staff FTE'!J20</f>
        <v>0</v>
      </c>
      <c r="F20" s="33" t="n">
        <f aca="false">IF(E20&gt;0,D20/E20,0)</f>
        <v>0</v>
      </c>
      <c r="G20" s="34" t="n">
        <f aca="false">IFERROR((F20-AVERAGE($F$4:$F$33))/STDEV($F$4:$F$33),0)</f>
        <v>0</v>
      </c>
      <c r="H20" s="22" t="n">
        <f aca="false">IFERROR(IF(MAX($F$4:$F$33)-MIN($F$4:$F$33)&gt;0,(F20-MIN($F$4:$F$33))/(MAX($F$4:$F$33)-MIN($F$4:$F$33))*100,0),0)</f>
        <v>0</v>
      </c>
      <c r="I20" s="17"/>
    </row>
    <row r="21" customFormat="false" ht="15" hidden="false" customHeight="false" outlineLevel="0" collapsed="false">
      <c r="A21" s="4" t="n">
        <v>18</v>
      </c>
      <c r="B21" s="18"/>
      <c r="C21" s="18"/>
      <c r="D21" s="4" t="n">
        <f aca="false">'1. Doctorates Awarded'!I21</f>
        <v>0</v>
      </c>
      <c r="E21" s="4" t="n">
        <f aca="false">'2. Academic Staff FTE'!J21</f>
        <v>0</v>
      </c>
      <c r="F21" s="35" t="n">
        <f aca="false">IF(E21&gt;0,D21/E21,0)</f>
        <v>0</v>
      </c>
      <c r="G21" s="36" t="n">
        <f aca="false">IFERROR((F21-AVERAGE($F$4:$F$33))/STDEV($F$4:$F$33),0)</f>
        <v>0</v>
      </c>
      <c r="H21" s="21" t="n">
        <f aca="false">IFERROR(IF(MAX($F$4:$F$33)-MIN($F$4:$F$33)&gt;0,(F21-MIN($F$4:$F$33))/(MAX($F$4:$F$33)-MIN($F$4:$F$33))*100,0),0)</f>
        <v>0</v>
      </c>
      <c r="I21" s="18"/>
    </row>
    <row r="22" customFormat="false" ht="15" hidden="false" customHeight="false" outlineLevel="0" collapsed="false">
      <c r="A22" s="8" t="n">
        <v>19</v>
      </c>
      <c r="B22" s="17"/>
      <c r="C22" s="17"/>
      <c r="D22" s="8" t="n">
        <f aca="false">'1. Doctorates Awarded'!I22</f>
        <v>0</v>
      </c>
      <c r="E22" s="8" t="n">
        <f aca="false">'2. Academic Staff FTE'!J22</f>
        <v>0</v>
      </c>
      <c r="F22" s="33" t="n">
        <f aca="false">IF(E22&gt;0,D22/E22,0)</f>
        <v>0</v>
      </c>
      <c r="G22" s="34" t="n">
        <f aca="false">IFERROR((F22-AVERAGE($F$4:$F$33))/STDEV($F$4:$F$33),0)</f>
        <v>0</v>
      </c>
      <c r="H22" s="22" t="n">
        <f aca="false">IFERROR(IF(MAX($F$4:$F$33)-MIN($F$4:$F$33)&gt;0,(F22-MIN($F$4:$F$33))/(MAX($F$4:$F$33)-MIN($F$4:$F$33))*100,0),0)</f>
        <v>0</v>
      </c>
      <c r="I22" s="17"/>
    </row>
    <row r="23" customFormat="false" ht="15" hidden="false" customHeight="false" outlineLevel="0" collapsed="false">
      <c r="A23" s="4" t="n">
        <v>20</v>
      </c>
      <c r="B23" s="18"/>
      <c r="C23" s="18"/>
      <c r="D23" s="4" t="n">
        <f aca="false">'1. Doctorates Awarded'!I23</f>
        <v>0</v>
      </c>
      <c r="E23" s="4" t="n">
        <f aca="false">'2. Academic Staff FTE'!J23</f>
        <v>0</v>
      </c>
      <c r="F23" s="35" t="n">
        <f aca="false">IF(E23&gt;0,D23/E23,0)</f>
        <v>0</v>
      </c>
      <c r="G23" s="36" t="n">
        <f aca="false">IFERROR((F23-AVERAGE($F$4:$F$33))/STDEV($F$4:$F$33),0)</f>
        <v>0</v>
      </c>
      <c r="H23" s="21" t="n">
        <f aca="false">IFERROR(IF(MAX($F$4:$F$33)-MIN($F$4:$F$33)&gt;0,(F23-MIN($F$4:$F$33))/(MAX($F$4:$F$33)-MIN($F$4:$F$33))*100,0),0)</f>
        <v>0</v>
      </c>
      <c r="I23" s="18"/>
    </row>
    <row r="24" customFormat="false" ht="15" hidden="false" customHeight="false" outlineLevel="0" collapsed="false">
      <c r="A24" s="8" t="n">
        <v>21</v>
      </c>
      <c r="B24" s="17"/>
      <c r="C24" s="17"/>
      <c r="D24" s="8" t="n">
        <f aca="false">'1. Doctorates Awarded'!I24</f>
        <v>0</v>
      </c>
      <c r="E24" s="8" t="n">
        <f aca="false">'2. Academic Staff FTE'!J24</f>
        <v>0</v>
      </c>
      <c r="F24" s="33" t="n">
        <f aca="false">IF(E24&gt;0,D24/E24,0)</f>
        <v>0</v>
      </c>
      <c r="G24" s="34" t="n">
        <f aca="false">IFERROR((F24-AVERAGE($F$4:$F$33))/STDEV($F$4:$F$33),0)</f>
        <v>0</v>
      </c>
      <c r="H24" s="22" t="n">
        <f aca="false">IFERROR(IF(MAX($F$4:$F$33)-MIN($F$4:$F$33)&gt;0,(F24-MIN($F$4:$F$33))/(MAX($F$4:$F$33)-MIN($F$4:$F$33))*100,0),0)</f>
        <v>0</v>
      </c>
      <c r="I24" s="17"/>
    </row>
    <row r="25" customFormat="false" ht="15" hidden="false" customHeight="false" outlineLevel="0" collapsed="false">
      <c r="A25" s="4" t="n">
        <v>22</v>
      </c>
      <c r="B25" s="18"/>
      <c r="C25" s="18"/>
      <c r="D25" s="4" t="n">
        <f aca="false">'1. Doctorates Awarded'!I25</f>
        <v>0</v>
      </c>
      <c r="E25" s="4" t="n">
        <f aca="false">'2. Academic Staff FTE'!J25</f>
        <v>0</v>
      </c>
      <c r="F25" s="35" t="n">
        <f aca="false">IF(E25&gt;0,D25/E25,0)</f>
        <v>0</v>
      </c>
      <c r="G25" s="36" t="n">
        <f aca="false">IFERROR((F25-AVERAGE($F$4:$F$33))/STDEV($F$4:$F$33),0)</f>
        <v>0</v>
      </c>
      <c r="H25" s="21" t="n">
        <f aca="false">IFERROR(IF(MAX($F$4:$F$33)-MIN($F$4:$F$33)&gt;0,(F25-MIN($F$4:$F$33))/(MAX($F$4:$F$33)-MIN($F$4:$F$33))*100,0),0)</f>
        <v>0</v>
      </c>
      <c r="I25" s="18"/>
    </row>
    <row r="26" customFormat="false" ht="15" hidden="false" customHeight="false" outlineLevel="0" collapsed="false">
      <c r="A26" s="8" t="n">
        <v>23</v>
      </c>
      <c r="B26" s="17"/>
      <c r="C26" s="17"/>
      <c r="D26" s="8" t="n">
        <f aca="false">'1. Doctorates Awarded'!I26</f>
        <v>0</v>
      </c>
      <c r="E26" s="8" t="n">
        <f aca="false">'2. Academic Staff FTE'!J26</f>
        <v>0</v>
      </c>
      <c r="F26" s="33" t="n">
        <f aca="false">IF(E26&gt;0,D26/E26,0)</f>
        <v>0</v>
      </c>
      <c r="G26" s="34" t="n">
        <f aca="false">IFERROR((F26-AVERAGE($F$4:$F$33))/STDEV($F$4:$F$33),0)</f>
        <v>0</v>
      </c>
      <c r="H26" s="22" t="n">
        <f aca="false">IFERROR(IF(MAX($F$4:$F$33)-MIN($F$4:$F$33)&gt;0,(F26-MIN($F$4:$F$33))/(MAX($F$4:$F$33)-MIN($F$4:$F$33))*100,0),0)</f>
        <v>0</v>
      </c>
      <c r="I26" s="17"/>
    </row>
    <row r="27" customFormat="false" ht="15" hidden="false" customHeight="false" outlineLevel="0" collapsed="false">
      <c r="A27" s="4" t="n">
        <v>24</v>
      </c>
      <c r="B27" s="18"/>
      <c r="C27" s="18"/>
      <c r="D27" s="4" t="n">
        <f aca="false">'1. Doctorates Awarded'!I27</f>
        <v>0</v>
      </c>
      <c r="E27" s="4" t="n">
        <f aca="false">'2. Academic Staff FTE'!J27</f>
        <v>0</v>
      </c>
      <c r="F27" s="35" t="n">
        <f aca="false">IF(E27&gt;0,D27/E27,0)</f>
        <v>0</v>
      </c>
      <c r="G27" s="36" t="n">
        <f aca="false">IFERROR((F27-AVERAGE($F$4:$F$33))/STDEV($F$4:$F$33),0)</f>
        <v>0</v>
      </c>
      <c r="H27" s="21" t="n">
        <f aca="false">IFERROR(IF(MAX($F$4:$F$33)-MIN($F$4:$F$33)&gt;0,(F27-MIN($F$4:$F$33))/(MAX($F$4:$F$33)-MIN($F$4:$F$33))*100,0),0)</f>
        <v>0</v>
      </c>
      <c r="I27" s="18"/>
    </row>
    <row r="28" customFormat="false" ht="15" hidden="false" customHeight="false" outlineLevel="0" collapsed="false">
      <c r="A28" s="8" t="n">
        <v>25</v>
      </c>
      <c r="B28" s="17"/>
      <c r="C28" s="17"/>
      <c r="D28" s="8" t="n">
        <f aca="false">'1. Doctorates Awarded'!I28</f>
        <v>0</v>
      </c>
      <c r="E28" s="8" t="n">
        <f aca="false">'2. Academic Staff FTE'!J28</f>
        <v>0</v>
      </c>
      <c r="F28" s="33" t="n">
        <f aca="false">IF(E28&gt;0,D28/E28,0)</f>
        <v>0</v>
      </c>
      <c r="G28" s="34" t="n">
        <f aca="false">IFERROR((F28-AVERAGE($F$4:$F$33))/STDEV($F$4:$F$33),0)</f>
        <v>0</v>
      </c>
      <c r="H28" s="22" t="n">
        <f aca="false">IFERROR(IF(MAX($F$4:$F$33)-MIN($F$4:$F$33)&gt;0,(F28-MIN($F$4:$F$33))/(MAX($F$4:$F$33)-MIN($F$4:$F$33))*100,0),0)</f>
        <v>0</v>
      </c>
      <c r="I28" s="17"/>
    </row>
    <row r="29" customFormat="false" ht="15" hidden="false" customHeight="false" outlineLevel="0" collapsed="false">
      <c r="A29" s="4" t="n">
        <v>26</v>
      </c>
      <c r="B29" s="18"/>
      <c r="C29" s="18"/>
      <c r="D29" s="4" t="n">
        <f aca="false">'1. Doctorates Awarded'!I29</f>
        <v>0</v>
      </c>
      <c r="E29" s="4" t="n">
        <f aca="false">'2. Academic Staff FTE'!J29</f>
        <v>0</v>
      </c>
      <c r="F29" s="35" t="n">
        <f aca="false">IF(E29&gt;0,D29/E29,0)</f>
        <v>0</v>
      </c>
      <c r="G29" s="36" t="n">
        <f aca="false">IFERROR((F29-AVERAGE($F$4:$F$33))/STDEV($F$4:$F$33),0)</f>
        <v>0</v>
      </c>
      <c r="H29" s="21" t="n">
        <f aca="false">IFERROR(IF(MAX($F$4:$F$33)-MIN($F$4:$F$33)&gt;0,(F29-MIN($F$4:$F$33))/(MAX($F$4:$F$33)-MIN($F$4:$F$33))*100,0),0)</f>
        <v>0</v>
      </c>
      <c r="I29" s="18"/>
    </row>
    <row r="30" customFormat="false" ht="15" hidden="false" customHeight="false" outlineLevel="0" collapsed="false">
      <c r="A30" s="8" t="n">
        <v>27</v>
      </c>
      <c r="B30" s="17"/>
      <c r="C30" s="17"/>
      <c r="D30" s="8" t="n">
        <f aca="false">'1. Doctorates Awarded'!I30</f>
        <v>0</v>
      </c>
      <c r="E30" s="8" t="n">
        <f aca="false">'2. Academic Staff FTE'!J30</f>
        <v>0</v>
      </c>
      <c r="F30" s="33" t="n">
        <f aca="false">IF(E30&gt;0,D30/E30,0)</f>
        <v>0</v>
      </c>
      <c r="G30" s="34" t="n">
        <f aca="false">IFERROR((F30-AVERAGE($F$4:$F$33))/STDEV($F$4:$F$33),0)</f>
        <v>0</v>
      </c>
      <c r="H30" s="22" t="n">
        <f aca="false">IFERROR(IF(MAX($F$4:$F$33)-MIN($F$4:$F$33)&gt;0,(F30-MIN($F$4:$F$33))/(MAX($F$4:$F$33)-MIN($F$4:$F$33))*100,0),0)</f>
        <v>0</v>
      </c>
      <c r="I30" s="17"/>
    </row>
    <row r="31" customFormat="false" ht="15" hidden="false" customHeight="false" outlineLevel="0" collapsed="false">
      <c r="A31" s="4" t="n">
        <v>28</v>
      </c>
      <c r="B31" s="18"/>
      <c r="C31" s="18"/>
      <c r="D31" s="4" t="n">
        <f aca="false">'1. Doctorates Awarded'!I31</f>
        <v>0</v>
      </c>
      <c r="E31" s="4" t="n">
        <f aca="false">'2. Academic Staff FTE'!J31</f>
        <v>0</v>
      </c>
      <c r="F31" s="35" t="n">
        <f aca="false">IF(E31&gt;0,D31/E31,0)</f>
        <v>0</v>
      </c>
      <c r="G31" s="36" t="n">
        <f aca="false">IFERROR((F31-AVERAGE($F$4:$F$33))/STDEV($F$4:$F$33),0)</f>
        <v>0</v>
      </c>
      <c r="H31" s="21" t="n">
        <f aca="false">IFERROR(IF(MAX($F$4:$F$33)-MIN($F$4:$F$33)&gt;0,(F31-MIN($F$4:$F$33))/(MAX($F$4:$F$33)-MIN($F$4:$F$33))*100,0),0)</f>
        <v>0</v>
      </c>
      <c r="I31" s="18"/>
    </row>
    <row r="32" customFormat="false" ht="15" hidden="false" customHeight="false" outlineLevel="0" collapsed="false">
      <c r="A32" s="8" t="n">
        <v>29</v>
      </c>
      <c r="B32" s="17"/>
      <c r="C32" s="17"/>
      <c r="D32" s="8" t="n">
        <f aca="false">'1. Doctorates Awarded'!I32</f>
        <v>0</v>
      </c>
      <c r="E32" s="8" t="n">
        <f aca="false">'2. Academic Staff FTE'!J32</f>
        <v>0</v>
      </c>
      <c r="F32" s="33" t="n">
        <f aca="false">IF(E32&gt;0,D32/E32,0)</f>
        <v>0</v>
      </c>
      <c r="G32" s="34" t="n">
        <f aca="false">IFERROR((F32-AVERAGE($F$4:$F$33))/STDEV($F$4:$F$33),0)</f>
        <v>0</v>
      </c>
      <c r="H32" s="22" t="n">
        <f aca="false">IFERROR(IF(MAX($F$4:$F$33)-MIN($F$4:$F$33)&gt;0,(F32-MIN($F$4:$F$33))/(MAX($F$4:$F$33)-MIN($F$4:$F$33))*100,0),0)</f>
        <v>0</v>
      </c>
      <c r="I32" s="17"/>
    </row>
    <row r="33" customFormat="false" ht="15" hidden="false" customHeight="false" outlineLevel="0" collapsed="false">
      <c r="A33" s="4" t="n">
        <v>30</v>
      </c>
      <c r="B33" s="18"/>
      <c r="C33" s="18"/>
      <c r="D33" s="4" t="n">
        <f aca="false">'1. Doctorates Awarded'!I33</f>
        <v>0</v>
      </c>
      <c r="E33" s="4" t="n">
        <f aca="false">'2. Academic Staff FTE'!J33</f>
        <v>0</v>
      </c>
      <c r="F33" s="35" t="n">
        <f aca="false">IF(E33&gt;0,D33/E33,0)</f>
        <v>0</v>
      </c>
      <c r="G33" s="36" t="n">
        <f aca="false">IFERROR((F33-AVERAGE($F$4:$F$33))/STDEV($F$4:$F$33),0)</f>
        <v>0</v>
      </c>
      <c r="H33" s="21" t="n">
        <f aca="false">IFERROR(IF(MAX($F$4:$F$33)-MIN($F$4:$F$33)&gt;0,(F33-MIN($F$4:$F$33))/(MAX($F$4:$F$33)-MIN($F$4:$F$33))*100,0),0)</f>
        <v>0</v>
      </c>
      <c r="I33" s="18"/>
    </row>
    <row r="35" customFormat="false" ht="25.5" hidden="false" customHeight="true" outlineLevel="0" collapsed="false">
      <c r="A35" s="12" t="s">
        <v>84</v>
      </c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true" outlineLevel="0" collapsed="false">
      <c r="A36" s="37" t="s">
        <v>85</v>
      </c>
      <c r="B36" s="37"/>
      <c r="C36" s="37"/>
      <c r="D36" s="37"/>
      <c r="E36" s="37"/>
      <c r="F36" s="38" t="n">
        <f aca="false">IF(COUNTA(F4:F33)&gt;0,AVERAGE(F4:F33),0)</f>
        <v>0</v>
      </c>
      <c r="G36" s="39"/>
      <c r="H36" s="39"/>
      <c r="I36" s="39"/>
    </row>
    <row r="37" customFormat="false" ht="15" hidden="false" customHeight="true" outlineLevel="0" collapsed="false">
      <c r="A37" s="37" t="s">
        <v>86</v>
      </c>
      <c r="B37" s="37"/>
      <c r="C37" s="37"/>
      <c r="D37" s="37"/>
      <c r="E37" s="37"/>
      <c r="F37" s="38" t="n">
        <f aca="false">MAX(F4:F33)</f>
        <v>0</v>
      </c>
      <c r="G37" s="39"/>
      <c r="H37" s="39"/>
      <c r="I37" s="39"/>
    </row>
    <row r="38" customFormat="false" ht="15" hidden="false" customHeight="true" outlineLevel="0" collapsed="false">
      <c r="A38" s="37" t="s">
        <v>87</v>
      </c>
      <c r="B38" s="37"/>
      <c r="C38" s="37"/>
      <c r="D38" s="37"/>
      <c r="E38" s="37"/>
      <c r="F38" s="38" t="n">
        <f aca="false">MIN(F4:F33)</f>
        <v>0</v>
      </c>
      <c r="G38" s="39"/>
      <c r="H38" s="39"/>
      <c r="I38" s="39"/>
    </row>
    <row r="39" customFormat="false" ht="15" hidden="false" customHeight="true" outlineLevel="0" collapsed="false">
      <c r="A39" s="37" t="s">
        <v>88</v>
      </c>
      <c r="B39" s="37"/>
      <c r="C39" s="37"/>
      <c r="D39" s="37"/>
      <c r="E39" s="37"/>
      <c r="F39" s="38" t="n">
        <f aca="false">MEDIAN(F4:F33)</f>
        <v>0</v>
      </c>
      <c r="G39" s="39"/>
      <c r="H39" s="39"/>
      <c r="I39" s="39"/>
    </row>
    <row r="40" customFormat="false" ht="15" hidden="false" customHeight="true" outlineLevel="0" collapsed="false">
      <c r="A40" s="37" t="s">
        <v>89</v>
      </c>
      <c r="B40" s="37"/>
      <c r="C40" s="37"/>
      <c r="D40" s="37"/>
      <c r="E40" s="37"/>
      <c r="F40" s="40" t="n">
        <f aca="false">SUM(D4:D33)</f>
        <v>0</v>
      </c>
      <c r="G40" s="39"/>
      <c r="H40" s="39"/>
      <c r="I40" s="39"/>
    </row>
  </sheetData>
  <mergeCells count="8">
    <mergeCell ref="A1:I1"/>
    <mergeCell ref="A2:I2"/>
    <mergeCell ref="A35:I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1" t="s">
        <v>90</v>
      </c>
      <c r="B1" s="41"/>
      <c r="C1" s="41"/>
      <c r="D1" s="41"/>
      <c r="E1" s="41"/>
      <c r="F1" s="41"/>
      <c r="G1" s="41"/>
      <c r="H1" s="41"/>
      <c r="I1" s="41"/>
    </row>
    <row r="2" customFormat="false" ht="25.5" hidden="false" customHeight="true" outlineLevel="0" collapsed="false">
      <c r="A2" s="19" t="s">
        <v>91</v>
      </c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A3" s="20" t="s">
        <v>33</v>
      </c>
      <c r="B3" s="20" t="s">
        <v>52</v>
      </c>
      <c r="C3" s="20" t="s">
        <v>53</v>
      </c>
      <c r="D3" s="20" t="s">
        <v>54</v>
      </c>
      <c r="E3" s="20" t="s">
        <v>92</v>
      </c>
      <c r="F3" s="20" t="s">
        <v>93</v>
      </c>
      <c r="G3" s="20" t="s">
        <v>94</v>
      </c>
      <c r="H3" s="20" t="s">
        <v>95</v>
      </c>
      <c r="I3" s="20" t="s">
        <v>96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3" t="n">
        <f aca="false">IF(E4&gt;0,D4/E4,0)</f>
        <v>0</v>
      </c>
      <c r="G4" s="17"/>
      <c r="H4" s="42" t="n">
        <f aca="false">IF(AND(G4&gt;0,F4&lt;G4),G4-F4,0)</f>
        <v>0</v>
      </c>
      <c r="I4" s="11" t="str">
        <f aca="false">IF(H4&gt;0.1,"High",IF(H4&gt;0.05,"Medium",IF(H4&gt;0,"Low","On Target")))</f>
        <v>On Target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35" t="n">
        <f aca="false">IF(E5&gt;0,D5/E5,0)</f>
        <v>0</v>
      </c>
      <c r="G5" s="18"/>
      <c r="H5" s="43" t="n">
        <f aca="false">IF(AND(G5&gt;0,F5&lt;G5),G5-F5,0)</f>
        <v>0</v>
      </c>
      <c r="I5" s="7" t="str">
        <f aca="false">IF(H5&gt;0.1,"High",IF(H5&gt;0.05,"Medium",IF(H5&gt;0,"Low","On Target")))</f>
        <v>On Target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3" t="n">
        <f aca="false">IF(E6&gt;0,D6/E6,0)</f>
        <v>0</v>
      </c>
      <c r="G6" s="17"/>
      <c r="H6" s="42" t="n">
        <f aca="false">IF(AND(G6&gt;0,F6&lt;G6),G6-F6,0)</f>
        <v>0</v>
      </c>
      <c r="I6" s="11" t="str">
        <f aca="false">IF(H6&gt;0.1,"High",IF(H6&gt;0.05,"Medium",IF(H6&gt;0,"Low","On Target")))</f>
        <v>On Target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35" t="n">
        <f aca="false">IF(E7&gt;0,D7/E7,0)</f>
        <v>0</v>
      </c>
      <c r="G7" s="18"/>
      <c r="H7" s="43" t="n">
        <f aca="false">IF(AND(G7&gt;0,F7&lt;G7),G7-F7,0)</f>
        <v>0</v>
      </c>
      <c r="I7" s="7" t="str">
        <f aca="false">IF(H7&gt;0.1,"High",IF(H7&gt;0.05,"Medium",IF(H7&gt;0,"Low","On Target")))</f>
        <v>On Target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3" t="n">
        <f aca="false">IF(E8&gt;0,D8/E8,0)</f>
        <v>0</v>
      </c>
      <c r="G8" s="17"/>
      <c r="H8" s="42" t="n">
        <f aca="false">IF(AND(G8&gt;0,F8&lt;G8),G8-F8,0)</f>
        <v>0</v>
      </c>
      <c r="I8" s="11" t="str">
        <f aca="false">IF(H8&gt;0.1,"High",IF(H8&gt;0.05,"Medium",IF(H8&gt;0,"Low","On Target")))</f>
        <v>On Target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35" t="n">
        <f aca="false">IF(E9&gt;0,D9/E9,0)</f>
        <v>0</v>
      </c>
      <c r="G9" s="18"/>
      <c r="H9" s="43" t="n">
        <f aca="false">IF(AND(G9&gt;0,F9&lt;G9),G9-F9,0)</f>
        <v>0</v>
      </c>
      <c r="I9" s="7" t="str">
        <f aca="false">IF(H9&gt;0.1,"High",IF(H9&gt;0.05,"Medium",IF(H9&gt;0,"Low","On Target")))</f>
        <v>On Target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3" t="n">
        <f aca="false">IF(E10&gt;0,D10/E10,0)</f>
        <v>0</v>
      </c>
      <c r="G10" s="17"/>
      <c r="H10" s="42" t="n">
        <f aca="false">IF(AND(G10&gt;0,F10&lt;G10),G10-F10,0)</f>
        <v>0</v>
      </c>
      <c r="I10" s="11" t="str">
        <f aca="false">IF(H10&gt;0.1,"High",IF(H10&gt;0.05,"Medium",IF(H10&gt;0,"Low","On Target")))</f>
        <v>On Target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35" t="n">
        <f aca="false">IF(E11&gt;0,D11/E11,0)</f>
        <v>0</v>
      </c>
      <c r="G11" s="18"/>
      <c r="H11" s="43" t="n">
        <f aca="false">IF(AND(G11&gt;0,F11&lt;G11),G11-F11,0)</f>
        <v>0</v>
      </c>
      <c r="I11" s="7" t="str">
        <f aca="false">IF(H11&gt;0.1,"High",IF(H11&gt;0.05,"Medium",IF(H11&gt;0,"Low","On Target")))</f>
        <v>On Target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3" t="n">
        <f aca="false">IF(E12&gt;0,D12/E12,0)</f>
        <v>0</v>
      </c>
      <c r="G12" s="17"/>
      <c r="H12" s="42" t="n">
        <f aca="false">IF(AND(G12&gt;0,F12&lt;G12),G12-F12,0)</f>
        <v>0</v>
      </c>
      <c r="I12" s="11" t="str">
        <f aca="false">IF(H12&gt;0.1,"High",IF(H12&gt;0.05,"Medium",IF(H12&gt;0,"Low","On Target")))</f>
        <v>On Target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35" t="n">
        <f aca="false">IF(E13&gt;0,D13/E13,0)</f>
        <v>0</v>
      </c>
      <c r="G13" s="18"/>
      <c r="H13" s="43" t="n">
        <f aca="false">IF(AND(G13&gt;0,F13&lt;G13),G13-F13,0)</f>
        <v>0</v>
      </c>
      <c r="I13" s="7" t="str">
        <f aca="false">IF(H13&gt;0.1,"High",IF(H13&gt;0.05,"Medium",IF(H13&gt;0,"Low","On Target")))</f>
        <v>On Target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3" t="n">
        <f aca="false">IF(E14&gt;0,D14/E14,0)</f>
        <v>0</v>
      </c>
      <c r="G14" s="17"/>
      <c r="H14" s="42" t="n">
        <f aca="false">IF(AND(G14&gt;0,F14&lt;G14),G14-F14,0)</f>
        <v>0</v>
      </c>
      <c r="I14" s="11" t="str">
        <f aca="false">IF(H14&gt;0.1,"High",IF(H14&gt;0.05,"Medium",IF(H14&gt;0,"Low","On Target")))</f>
        <v>On Target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35" t="n">
        <f aca="false">IF(E15&gt;0,D15/E15,0)</f>
        <v>0</v>
      </c>
      <c r="G15" s="18"/>
      <c r="H15" s="43" t="n">
        <f aca="false">IF(AND(G15&gt;0,F15&lt;G15),G15-F15,0)</f>
        <v>0</v>
      </c>
      <c r="I15" s="7" t="str">
        <f aca="false">IF(H15&gt;0.1,"High",IF(H15&gt;0.05,"Medium",IF(H15&gt;0,"Low","On Target")))</f>
        <v>On Target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3" t="n">
        <f aca="false">IF(E16&gt;0,D16/E16,0)</f>
        <v>0</v>
      </c>
      <c r="G16" s="17"/>
      <c r="H16" s="42" t="n">
        <f aca="false">IF(AND(G16&gt;0,F16&lt;G16),G16-F16,0)</f>
        <v>0</v>
      </c>
      <c r="I16" s="11" t="str">
        <f aca="false">IF(H16&gt;0.1,"High",IF(H16&gt;0.05,"Medium",IF(H16&gt;0,"Low","On Target")))</f>
        <v>On Target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35" t="n">
        <f aca="false">IF(E17&gt;0,D17/E17,0)</f>
        <v>0</v>
      </c>
      <c r="G17" s="18"/>
      <c r="H17" s="43" t="n">
        <f aca="false">IF(AND(G17&gt;0,F17&lt;G17),G17-F17,0)</f>
        <v>0</v>
      </c>
      <c r="I17" s="7" t="str">
        <f aca="false">IF(H17&gt;0.1,"High",IF(H17&gt;0.05,"Medium",IF(H17&gt;0,"Low","On Target")))</f>
        <v>On Target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3" t="n">
        <f aca="false">IF(E18&gt;0,D18/E18,0)</f>
        <v>0</v>
      </c>
      <c r="G18" s="17"/>
      <c r="H18" s="42" t="n">
        <f aca="false">IF(AND(G18&gt;0,F18&lt;G18),G18-F18,0)</f>
        <v>0</v>
      </c>
      <c r="I18" s="11" t="str">
        <f aca="false">IF(H18&gt;0.1,"High",IF(H18&gt;0.05,"Medium",IF(H18&gt;0,"Low","On Target")))</f>
        <v>On Target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35" t="n">
        <f aca="false">IF(E19&gt;0,D19/E19,0)</f>
        <v>0</v>
      </c>
      <c r="G19" s="18"/>
      <c r="H19" s="43" t="n">
        <f aca="false">IF(AND(G19&gt;0,F19&lt;G19),G19-F19,0)</f>
        <v>0</v>
      </c>
      <c r="I19" s="7" t="str">
        <f aca="false">IF(H19&gt;0.1,"High",IF(H19&gt;0.05,"Medium",IF(H19&gt;0,"Low","On Target")))</f>
        <v>On Target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3" t="n">
        <f aca="false">IF(E20&gt;0,D20/E20,0)</f>
        <v>0</v>
      </c>
      <c r="G20" s="17"/>
      <c r="H20" s="42" t="n">
        <f aca="false">IF(AND(G20&gt;0,F20&lt;G20),G20-F20,0)</f>
        <v>0</v>
      </c>
      <c r="I20" s="11" t="str">
        <f aca="false">IF(H20&gt;0.1,"High",IF(H20&gt;0.05,"Medium",IF(H20&gt;0,"Low","On Target")))</f>
        <v>On Target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35" t="n">
        <f aca="false">IF(E21&gt;0,D21/E21,0)</f>
        <v>0</v>
      </c>
      <c r="G21" s="18"/>
      <c r="H21" s="43" t="n">
        <f aca="false">IF(AND(G21&gt;0,F21&lt;G21),G21-F21,0)</f>
        <v>0</v>
      </c>
      <c r="I21" s="7" t="str">
        <f aca="false">IF(H21&gt;0.1,"High",IF(H21&gt;0.05,"Medium",IF(H21&gt;0,"Low","On Target")))</f>
        <v>On Target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3" t="n">
        <f aca="false">IF(E22&gt;0,D22/E22,0)</f>
        <v>0</v>
      </c>
      <c r="G22" s="17"/>
      <c r="H22" s="42" t="n">
        <f aca="false">IF(AND(G22&gt;0,F22&lt;G22),G22-F22,0)</f>
        <v>0</v>
      </c>
      <c r="I22" s="11" t="str">
        <f aca="false">IF(H22&gt;0.1,"High",IF(H22&gt;0.05,"Medium",IF(H22&gt;0,"Low","On Target")))</f>
        <v>On Target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35" t="n">
        <f aca="false">IF(E23&gt;0,D23/E23,0)</f>
        <v>0</v>
      </c>
      <c r="G23" s="18"/>
      <c r="H23" s="43" t="n">
        <f aca="false">IF(AND(G23&gt;0,F23&lt;G23),G23-F23,0)</f>
        <v>0</v>
      </c>
      <c r="I23" s="7" t="str">
        <f aca="false">IF(H23&gt;0.1,"High",IF(H23&gt;0.05,"Medium",IF(H23&gt;0,"Low","On Target")))</f>
        <v>On Target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3" t="n">
        <f aca="false">IF(E24&gt;0,D24/E24,0)</f>
        <v>0</v>
      </c>
      <c r="G24" s="17"/>
      <c r="H24" s="42" t="n">
        <f aca="false">IF(AND(G24&gt;0,F24&lt;G24),G24-F24,0)</f>
        <v>0</v>
      </c>
      <c r="I24" s="11" t="str">
        <f aca="false">IF(H24&gt;0.1,"High",IF(H24&gt;0.05,"Medium",IF(H24&gt;0,"Low","On Target")))</f>
        <v>On Target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35" t="n">
        <f aca="false">IF(E25&gt;0,D25/E25,0)</f>
        <v>0</v>
      </c>
      <c r="G25" s="18"/>
      <c r="H25" s="43" t="n">
        <f aca="false">IF(AND(G25&gt;0,F25&lt;G25),G25-F25,0)</f>
        <v>0</v>
      </c>
      <c r="I25" s="7" t="str">
        <f aca="false">IF(H25&gt;0.1,"High",IF(H25&gt;0.05,"Medium",IF(H25&gt;0,"Low","On Target")))</f>
        <v>On Target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3" t="n">
        <f aca="false">IF(E26&gt;0,D26/E26,0)</f>
        <v>0</v>
      </c>
      <c r="G26" s="17"/>
      <c r="H26" s="42" t="n">
        <f aca="false">IF(AND(G26&gt;0,F26&lt;G26),G26-F26,0)</f>
        <v>0</v>
      </c>
      <c r="I26" s="11" t="str">
        <f aca="false">IF(H26&gt;0.1,"High",IF(H26&gt;0.05,"Medium",IF(H26&gt;0,"Low","On Target")))</f>
        <v>On Target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35" t="n">
        <f aca="false">IF(E27&gt;0,D27/E27,0)</f>
        <v>0</v>
      </c>
      <c r="G27" s="18"/>
      <c r="H27" s="43" t="n">
        <f aca="false">IF(AND(G27&gt;0,F27&lt;G27),G27-F27,0)</f>
        <v>0</v>
      </c>
      <c r="I27" s="7" t="str">
        <f aca="false">IF(H27&gt;0.1,"High",IF(H27&gt;0.05,"Medium",IF(H27&gt;0,"Low","On Target")))</f>
        <v>On Target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3" t="n">
        <f aca="false">IF(E28&gt;0,D28/E28,0)</f>
        <v>0</v>
      </c>
      <c r="G28" s="17"/>
      <c r="H28" s="42" t="n">
        <f aca="false">IF(AND(G28&gt;0,F28&lt;G28),G28-F28,0)</f>
        <v>0</v>
      </c>
      <c r="I28" s="11" t="str">
        <f aca="false">IF(H28&gt;0.1,"High",IF(H28&gt;0.05,"Medium",IF(H28&gt;0,"Low","On Target")))</f>
        <v>On Target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35" t="n">
        <f aca="false">IF(E29&gt;0,D29/E29,0)</f>
        <v>0</v>
      </c>
      <c r="G29" s="18"/>
      <c r="H29" s="43" t="n">
        <f aca="false">IF(AND(G29&gt;0,F29&lt;G29),G29-F29,0)</f>
        <v>0</v>
      </c>
      <c r="I29" s="7" t="str">
        <f aca="false">IF(H29&gt;0.1,"High",IF(H29&gt;0.05,"Medium",IF(H29&gt;0,"Low","On Target")))</f>
        <v>On Target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3" t="n">
        <f aca="false">IF(E30&gt;0,D30/E30,0)</f>
        <v>0</v>
      </c>
      <c r="G30" s="17"/>
      <c r="H30" s="42" t="n">
        <f aca="false">IF(AND(G30&gt;0,F30&lt;G30),G30-F30,0)</f>
        <v>0</v>
      </c>
      <c r="I30" s="11" t="str">
        <f aca="false">IF(H30&gt;0.1,"High",IF(H30&gt;0.05,"Medium",IF(H30&gt;0,"Low","On Target")))</f>
        <v>On Target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35" t="n">
        <f aca="false">IF(E31&gt;0,D31/E31,0)</f>
        <v>0</v>
      </c>
      <c r="G31" s="18"/>
      <c r="H31" s="43" t="n">
        <f aca="false">IF(AND(G31&gt;0,F31&lt;G31),G31-F31,0)</f>
        <v>0</v>
      </c>
      <c r="I31" s="7" t="str">
        <f aca="false">IF(H31&gt;0.1,"High",IF(H31&gt;0.05,"Medium",IF(H31&gt;0,"Low","On Target")))</f>
        <v>On Target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3" t="n">
        <f aca="false">IF(E32&gt;0,D32/E32,0)</f>
        <v>0</v>
      </c>
      <c r="G32" s="17"/>
      <c r="H32" s="42" t="n">
        <f aca="false">IF(AND(G32&gt;0,F32&lt;G32),G32-F32,0)</f>
        <v>0</v>
      </c>
      <c r="I32" s="11" t="str">
        <f aca="false">IF(H32&gt;0.1,"High",IF(H32&gt;0.05,"Medium",IF(H32&gt;0,"Low","On Target")))</f>
        <v>On Target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35" t="n">
        <f aca="false">IF(E33&gt;0,D33/E33,0)</f>
        <v>0</v>
      </c>
      <c r="G33" s="18"/>
      <c r="H33" s="43" t="n">
        <f aca="false">IF(AND(G33&gt;0,F33&lt;G33),G33-F33,0)</f>
        <v>0</v>
      </c>
      <c r="I33" s="7" t="str">
        <f aca="false">IF(H33&gt;0.1,"High",IF(H33&gt;0.05,"Medium",IF(H33&gt;0,"Low","On Target")))</f>
        <v>On Target</v>
      </c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33" t="n">
        <f aca="false">IF(E34&gt;0,D34/E34,0)</f>
        <v>0</v>
      </c>
      <c r="G34" s="17"/>
      <c r="H34" s="42" t="n">
        <f aca="false">IF(AND(G34&gt;0,F34&lt;G34),G34-F34,0)</f>
        <v>0</v>
      </c>
      <c r="I34" s="11" t="str">
        <f aca="false">IF(H34&gt;0.1,"High",IF(H34&gt;0.05,"Medium",IF(H34&gt;0,"Low","On Target")))</f>
        <v>On Target</v>
      </c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35" t="n">
        <f aca="false">IF(E35&gt;0,D35/E35,0)</f>
        <v>0</v>
      </c>
      <c r="G35" s="18"/>
      <c r="H35" s="43" t="n">
        <f aca="false">IF(AND(G35&gt;0,F35&lt;G35),G35-F35,0)</f>
        <v>0</v>
      </c>
      <c r="I35" s="7" t="str">
        <f aca="false">IF(H35&gt;0.1,"High",IF(H35&gt;0.05,"Medium",IF(H35&gt;0,"Low","On Target")))</f>
        <v>On Target</v>
      </c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33" t="n">
        <f aca="false">IF(E36&gt;0,D36/E36,0)</f>
        <v>0</v>
      </c>
      <c r="G36" s="17"/>
      <c r="H36" s="42" t="n">
        <f aca="false">IF(AND(G36&gt;0,F36&lt;G36),G36-F36,0)</f>
        <v>0</v>
      </c>
      <c r="I36" s="11" t="str">
        <f aca="false">IF(H36&gt;0.1,"High",IF(H36&gt;0.05,"Medium",IF(H36&gt;0,"Low","On Target")))</f>
        <v>On Target</v>
      </c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35" t="n">
        <f aca="false">IF(E37&gt;0,D37/E37,0)</f>
        <v>0</v>
      </c>
      <c r="G37" s="18"/>
      <c r="H37" s="43" t="n">
        <f aca="false">IF(AND(G37&gt;0,F37&lt;G37),G37-F37,0)</f>
        <v>0</v>
      </c>
      <c r="I37" s="7" t="str">
        <f aca="false">IF(H37&gt;0.1,"High",IF(H37&gt;0.05,"Medium",IF(H37&gt;0,"Low","On Target")))</f>
        <v>On Target</v>
      </c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33" t="n">
        <f aca="false">IF(E38&gt;0,D38/E38,0)</f>
        <v>0</v>
      </c>
      <c r="G38" s="17"/>
      <c r="H38" s="42" t="n">
        <f aca="false">IF(AND(G38&gt;0,F38&lt;G38),G38-F38,0)</f>
        <v>0</v>
      </c>
      <c r="I38" s="11" t="str">
        <f aca="false">IF(H38&gt;0.1,"High",IF(H38&gt;0.05,"Medium",IF(H38&gt;0,"Low","On Target")))</f>
        <v>On Target</v>
      </c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35" t="n">
        <f aca="false">IF(E39&gt;0,D39/E39,0)</f>
        <v>0</v>
      </c>
      <c r="G39" s="18"/>
      <c r="H39" s="43" t="n">
        <f aca="false">IF(AND(G39&gt;0,F39&lt;G39),G39-F39,0)</f>
        <v>0</v>
      </c>
      <c r="I39" s="7" t="str">
        <f aca="false">IF(H39&gt;0.1,"High",IF(H39&gt;0.05,"Medium",IF(H39&gt;0,"Low","On Target")))</f>
        <v>On Target</v>
      </c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33" t="n">
        <f aca="false">IF(E40&gt;0,D40/E40,0)</f>
        <v>0</v>
      </c>
      <c r="G40" s="17"/>
      <c r="H40" s="42" t="n">
        <f aca="false">IF(AND(G40&gt;0,F40&lt;G40),G40-F40,0)</f>
        <v>0</v>
      </c>
      <c r="I40" s="11" t="str">
        <f aca="false">IF(H40&gt;0.1,"High",IF(H40&gt;0.05,"Medium",IF(H40&gt;0,"Low","On Target")))</f>
        <v>On Target</v>
      </c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35" t="n">
        <f aca="false">IF(E41&gt;0,D41/E41,0)</f>
        <v>0</v>
      </c>
      <c r="G41" s="18"/>
      <c r="H41" s="43" t="n">
        <f aca="false">IF(AND(G41&gt;0,F41&lt;G41),G41-F41,0)</f>
        <v>0</v>
      </c>
      <c r="I41" s="7" t="str">
        <f aca="false">IF(H41&gt;0.1,"High",IF(H41&gt;0.05,"Medium",IF(H41&gt;0,"Low","On Target")))</f>
        <v>On Target</v>
      </c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33" t="n">
        <f aca="false">IF(E42&gt;0,D42/E42,0)</f>
        <v>0</v>
      </c>
      <c r="G42" s="17"/>
      <c r="H42" s="42" t="n">
        <f aca="false">IF(AND(G42&gt;0,F42&lt;G42),G42-F42,0)</f>
        <v>0</v>
      </c>
      <c r="I42" s="11" t="str">
        <f aca="false">IF(H42&gt;0.1,"High",IF(H42&gt;0.05,"Medium",IF(H42&gt;0,"Low","On Target")))</f>
        <v>On Target</v>
      </c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35" t="n">
        <f aca="false">IF(E43&gt;0,D43/E43,0)</f>
        <v>0</v>
      </c>
      <c r="G43" s="18"/>
      <c r="H43" s="43" t="n">
        <f aca="false">IF(AND(G43&gt;0,F43&lt;G43),G43-F43,0)</f>
        <v>0</v>
      </c>
      <c r="I43" s="7" t="str">
        <f aca="false">IF(H43&gt;0.1,"High",IF(H43&gt;0.05,"Medium",IF(H43&gt;0,"Low","On Target")))</f>
        <v>On Target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4" t="s">
        <v>97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25.5" hidden="false" customHeight="true" outlineLevel="0" collapsed="false">
      <c r="A2" s="45" t="s">
        <v>98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15" hidden="false" customHeight="false" outlineLevel="0" collapsed="false">
      <c r="A3" s="46" t="s">
        <v>33</v>
      </c>
      <c r="B3" s="46" t="s">
        <v>34</v>
      </c>
      <c r="C3" s="46" t="s">
        <v>35</v>
      </c>
      <c r="D3" s="46" t="s">
        <v>99</v>
      </c>
      <c r="E3" s="46" t="s">
        <v>100</v>
      </c>
      <c r="F3" s="46" t="s">
        <v>101</v>
      </c>
      <c r="G3" s="46" t="s">
        <v>102</v>
      </c>
      <c r="H3" s="46" t="s">
        <v>103</v>
      </c>
      <c r="I3" s="46" t="s">
        <v>104</v>
      </c>
      <c r="J3" s="46" t="s">
        <v>105</v>
      </c>
      <c r="K3" s="46" t="s">
        <v>106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33" t="n">
        <f aca="false">IF(AND(D4&gt;0,H4&gt;0),H4-D4,0)</f>
        <v>0</v>
      </c>
      <c r="J4" s="26" t="n">
        <f aca="false">IFERROR(IF(D4&gt;0,(H4-D4)/D4*100,0),0)</f>
        <v>0</v>
      </c>
      <c r="K4" s="11" t="str">
        <f aca="false">IF(I4&gt;0.02,"Improving",IF(I4&gt;0,"Stable",IF(I4&lt;-0.02,"Worsening","Flat")))</f>
        <v>Flat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35" t="n">
        <f aca="false">IF(AND(D5&gt;0,H5&gt;0),H5-D5,0)</f>
        <v>0</v>
      </c>
      <c r="J5" s="25" t="n">
        <f aca="false">IFERROR(IF(D5&gt;0,(H5-D5)/D5*100,0),0)</f>
        <v>0</v>
      </c>
      <c r="K5" s="7" t="str">
        <f aca="false">IF(I5&gt;0.02,"Improving",IF(I5&gt;0,"Stable",IF(I5&lt;-0.02,"Worsening","Flat")))</f>
        <v>Flat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33" t="n">
        <f aca="false">IF(AND(D6&gt;0,H6&gt;0),H6-D6,0)</f>
        <v>0</v>
      </c>
      <c r="J6" s="26" t="n">
        <f aca="false">IFERROR(IF(D6&gt;0,(H6-D6)/D6*100,0),0)</f>
        <v>0</v>
      </c>
      <c r="K6" s="11" t="str">
        <f aca="false">IF(I6&gt;0.02,"Improving",IF(I6&gt;0,"Stable",IF(I6&lt;-0.02,"Worsening","Flat")))</f>
        <v>Flat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35" t="n">
        <f aca="false">IF(AND(D7&gt;0,H7&gt;0),H7-D7,0)</f>
        <v>0</v>
      </c>
      <c r="J7" s="25" t="n">
        <f aca="false">IFERROR(IF(D7&gt;0,(H7-D7)/D7*100,0),0)</f>
        <v>0</v>
      </c>
      <c r="K7" s="7" t="str">
        <f aca="false">IF(I7&gt;0.02,"Improving",IF(I7&gt;0,"Stable",IF(I7&lt;-0.02,"Worsening","Flat")))</f>
        <v>Flat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33" t="n">
        <f aca="false">IF(AND(D8&gt;0,H8&gt;0),H8-D8,0)</f>
        <v>0</v>
      </c>
      <c r="J8" s="26" t="n">
        <f aca="false">IFERROR(IF(D8&gt;0,(H8-D8)/D8*100,0),0)</f>
        <v>0</v>
      </c>
      <c r="K8" s="11" t="str">
        <f aca="false">IF(I8&gt;0.02,"Improving",IF(I8&gt;0,"Stable",IF(I8&lt;-0.02,"Worsening","Flat")))</f>
        <v>Flat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35" t="n">
        <f aca="false">IF(AND(D9&gt;0,H9&gt;0),H9-D9,0)</f>
        <v>0</v>
      </c>
      <c r="J9" s="25" t="n">
        <f aca="false">IFERROR(IF(D9&gt;0,(H9-D9)/D9*100,0),0)</f>
        <v>0</v>
      </c>
      <c r="K9" s="7" t="str">
        <f aca="false">IF(I9&gt;0.02,"Improving",IF(I9&gt;0,"Stable",IF(I9&lt;-0.02,"Worsening","Flat")))</f>
        <v>Flat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33" t="n">
        <f aca="false">IF(AND(D10&gt;0,H10&gt;0),H10-D10,0)</f>
        <v>0</v>
      </c>
      <c r="J10" s="26" t="n">
        <f aca="false">IFERROR(IF(D10&gt;0,(H10-D10)/D10*100,0),0)</f>
        <v>0</v>
      </c>
      <c r="K10" s="11" t="str">
        <f aca="false">IF(I10&gt;0.02,"Improving",IF(I10&gt;0,"Stable",IF(I10&lt;-0.02,"Worsening","Flat")))</f>
        <v>Flat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35" t="n">
        <f aca="false">IF(AND(D11&gt;0,H11&gt;0),H11-D11,0)</f>
        <v>0</v>
      </c>
      <c r="J11" s="25" t="n">
        <f aca="false">IFERROR(IF(D11&gt;0,(H11-D11)/D11*100,0),0)</f>
        <v>0</v>
      </c>
      <c r="K11" s="7" t="str">
        <f aca="false">IF(I11&gt;0.02,"Improving",IF(I11&gt;0,"Stable",IF(I11&lt;-0.02,"Worsening","Flat")))</f>
        <v>Flat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33" t="n">
        <f aca="false">IF(AND(D12&gt;0,H12&gt;0),H12-D12,0)</f>
        <v>0</v>
      </c>
      <c r="J12" s="26" t="n">
        <f aca="false">IFERROR(IF(D12&gt;0,(H12-D12)/D12*100,0),0)</f>
        <v>0</v>
      </c>
      <c r="K12" s="11" t="str">
        <f aca="false">IF(I12&gt;0.02,"Improving",IF(I12&gt;0,"Stable",IF(I12&lt;-0.02,"Worsening","Flat")))</f>
        <v>Flat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35" t="n">
        <f aca="false">IF(AND(D13&gt;0,H13&gt;0),H13-D13,0)</f>
        <v>0</v>
      </c>
      <c r="J13" s="25" t="n">
        <f aca="false">IFERROR(IF(D13&gt;0,(H13-D13)/D13*100,0),0)</f>
        <v>0</v>
      </c>
      <c r="K13" s="7" t="str">
        <f aca="false">IF(I13&gt;0.02,"Improving",IF(I13&gt;0,"Stable",IF(I13&lt;-0.02,"Worsening","Flat")))</f>
        <v>Flat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33" t="n">
        <f aca="false">IF(AND(D14&gt;0,H14&gt;0),H14-D14,0)</f>
        <v>0</v>
      </c>
      <c r="J14" s="26" t="n">
        <f aca="false">IFERROR(IF(D14&gt;0,(H14-D14)/D14*100,0),0)</f>
        <v>0</v>
      </c>
      <c r="K14" s="11" t="str">
        <f aca="false">IF(I14&gt;0.02,"Improving",IF(I14&gt;0,"Stable",IF(I14&lt;-0.02,"Worsening","Flat")))</f>
        <v>Flat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35" t="n">
        <f aca="false">IF(AND(D15&gt;0,H15&gt;0),H15-D15,0)</f>
        <v>0</v>
      </c>
      <c r="J15" s="25" t="n">
        <f aca="false">IFERROR(IF(D15&gt;0,(H15-D15)/D15*100,0),0)</f>
        <v>0</v>
      </c>
      <c r="K15" s="7" t="str">
        <f aca="false">IF(I15&gt;0.02,"Improving",IF(I15&gt;0,"Stable",IF(I15&lt;-0.02,"Worsening","Flat")))</f>
        <v>Flat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33" t="n">
        <f aca="false">IF(AND(D16&gt;0,H16&gt;0),H16-D16,0)</f>
        <v>0</v>
      </c>
      <c r="J16" s="26" t="n">
        <f aca="false">IFERROR(IF(D16&gt;0,(H16-D16)/D16*100,0),0)</f>
        <v>0</v>
      </c>
      <c r="K16" s="11" t="str">
        <f aca="false">IF(I16&gt;0.02,"Improving",IF(I16&gt;0,"Stable",IF(I16&lt;-0.02,"Worsening","Flat")))</f>
        <v>Flat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35" t="n">
        <f aca="false">IF(AND(D17&gt;0,H17&gt;0),H17-D17,0)</f>
        <v>0</v>
      </c>
      <c r="J17" s="25" t="n">
        <f aca="false">IFERROR(IF(D17&gt;0,(H17-D17)/D17*100,0),0)</f>
        <v>0</v>
      </c>
      <c r="K17" s="7" t="str">
        <f aca="false">IF(I17&gt;0.02,"Improving",IF(I17&gt;0,"Stable",IF(I17&lt;-0.02,"Worsening","Flat")))</f>
        <v>Flat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33" t="n">
        <f aca="false">IF(AND(D18&gt;0,H18&gt;0),H18-D18,0)</f>
        <v>0</v>
      </c>
      <c r="J18" s="26" t="n">
        <f aca="false">IFERROR(IF(D18&gt;0,(H18-D18)/D18*100,0),0)</f>
        <v>0</v>
      </c>
      <c r="K18" s="11" t="str">
        <f aca="false">IF(I18&gt;0.02,"Improving",IF(I18&gt;0,"Stable",IF(I18&lt;-0.02,"Worsening","Flat")))</f>
        <v>Flat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35" t="n">
        <f aca="false">IF(AND(D19&gt;0,H19&gt;0),H19-D19,0)</f>
        <v>0</v>
      </c>
      <c r="J19" s="25" t="n">
        <f aca="false">IFERROR(IF(D19&gt;0,(H19-D19)/D19*100,0),0)</f>
        <v>0</v>
      </c>
      <c r="K19" s="7" t="str">
        <f aca="false">IF(I19&gt;0.02,"Improving",IF(I19&gt;0,"Stable",IF(I19&lt;-0.02,"Worsening","Flat")))</f>
        <v>Flat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33" t="n">
        <f aca="false">IF(AND(D20&gt;0,H20&gt;0),H20-D20,0)</f>
        <v>0</v>
      </c>
      <c r="J20" s="26" t="n">
        <f aca="false">IFERROR(IF(D20&gt;0,(H20-D20)/D20*100,0),0)</f>
        <v>0</v>
      </c>
      <c r="K20" s="11" t="str">
        <f aca="false">IF(I20&gt;0.02,"Improving",IF(I20&gt;0,"Stable",IF(I20&lt;-0.02,"Worsening","Flat")))</f>
        <v>Flat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35" t="n">
        <f aca="false">IF(AND(D21&gt;0,H21&gt;0),H21-D21,0)</f>
        <v>0</v>
      </c>
      <c r="J21" s="25" t="n">
        <f aca="false">IFERROR(IF(D21&gt;0,(H21-D21)/D21*100,0),0)</f>
        <v>0</v>
      </c>
      <c r="K21" s="7" t="str">
        <f aca="false">IF(I21&gt;0.02,"Improving",IF(I21&gt;0,"Stable",IF(I21&lt;-0.02,"Worsening","Flat")))</f>
        <v>Flat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33" t="n">
        <f aca="false">IF(AND(D22&gt;0,H22&gt;0),H22-D22,0)</f>
        <v>0</v>
      </c>
      <c r="J22" s="26" t="n">
        <f aca="false">IFERROR(IF(D22&gt;0,(H22-D22)/D22*100,0),0)</f>
        <v>0</v>
      </c>
      <c r="K22" s="11" t="str">
        <f aca="false">IF(I22&gt;0.02,"Improving",IF(I22&gt;0,"Stable",IF(I22&lt;-0.02,"Worsening","Flat")))</f>
        <v>Flat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35" t="n">
        <f aca="false">IF(AND(D23&gt;0,H23&gt;0),H23-D23,0)</f>
        <v>0</v>
      </c>
      <c r="J23" s="25" t="n">
        <f aca="false">IFERROR(IF(D23&gt;0,(H23-D23)/D23*100,0),0)</f>
        <v>0</v>
      </c>
      <c r="K23" s="7" t="str">
        <f aca="false">IF(I23&gt;0.02,"Improving",IF(I23&gt;0,"Stable",IF(I23&lt;-0.02,"Worsening","Flat")))</f>
        <v>Flat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33" t="n">
        <f aca="false">IF(AND(D24&gt;0,H24&gt;0),H24-D24,0)</f>
        <v>0</v>
      </c>
      <c r="J24" s="26" t="n">
        <f aca="false">IFERROR(IF(D24&gt;0,(H24-D24)/D24*100,0),0)</f>
        <v>0</v>
      </c>
      <c r="K24" s="11" t="str">
        <f aca="false">IF(I24&gt;0.02,"Improving",IF(I24&gt;0,"Stable",IF(I24&lt;-0.02,"Worsening","Flat")))</f>
        <v>Flat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35" t="n">
        <f aca="false">IF(AND(D25&gt;0,H25&gt;0),H25-D25,0)</f>
        <v>0</v>
      </c>
      <c r="J25" s="25" t="n">
        <f aca="false">IFERROR(IF(D25&gt;0,(H25-D25)/D25*100,0),0)</f>
        <v>0</v>
      </c>
      <c r="K25" s="7" t="str">
        <f aca="false">IF(I25&gt;0.02,"Improving",IF(I25&gt;0,"Stable",IF(I25&lt;-0.02,"Worsening","Flat")))</f>
        <v>Flat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33" t="n">
        <f aca="false">IF(AND(D26&gt;0,H26&gt;0),H26-D26,0)</f>
        <v>0</v>
      </c>
      <c r="J26" s="26" t="n">
        <f aca="false">IFERROR(IF(D26&gt;0,(H26-D26)/D26*100,0),0)</f>
        <v>0</v>
      </c>
      <c r="K26" s="11" t="str">
        <f aca="false">IF(I26&gt;0.02,"Improving",IF(I26&gt;0,"Stable",IF(I26&lt;-0.02,"Worsening","Flat")))</f>
        <v>Flat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35" t="n">
        <f aca="false">IF(AND(D27&gt;0,H27&gt;0),H27-D27,0)</f>
        <v>0</v>
      </c>
      <c r="J27" s="25" t="n">
        <f aca="false">IFERROR(IF(D27&gt;0,(H27-D27)/D27*100,0),0)</f>
        <v>0</v>
      </c>
      <c r="K27" s="7" t="str">
        <f aca="false">IF(I27&gt;0.02,"Improving",IF(I27&gt;0,"Stable",IF(I27&lt;-0.02,"Worsening","Flat")))</f>
        <v>Flat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33" t="n">
        <f aca="false">IF(AND(D28&gt;0,H28&gt;0),H28-D28,0)</f>
        <v>0</v>
      </c>
      <c r="J28" s="26" t="n">
        <f aca="false">IFERROR(IF(D28&gt;0,(H28-D28)/D28*100,0),0)</f>
        <v>0</v>
      </c>
      <c r="K28" s="11" t="str">
        <f aca="false">IF(I28&gt;0.02,"Improving",IF(I28&gt;0,"Stable",IF(I28&lt;-0.02,"Worsening","Flat")))</f>
        <v>Flat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35" t="n">
        <f aca="false">IF(AND(D29&gt;0,H29&gt;0),H29-D29,0)</f>
        <v>0</v>
      </c>
      <c r="J29" s="25" t="n">
        <f aca="false">IFERROR(IF(D29&gt;0,(H29-D29)/D29*100,0),0)</f>
        <v>0</v>
      </c>
      <c r="K29" s="7" t="str">
        <f aca="false">IF(I29&gt;0.02,"Improving",IF(I29&gt;0,"Stable",IF(I29&lt;-0.02,"Worsening","Flat")))</f>
        <v>Flat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33" t="n">
        <f aca="false">IF(AND(D30&gt;0,H30&gt;0),H30-D30,0)</f>
        <v>0</v>
      </c>
      <c r="J30" s="26" t="n">
        <f aca="false">IFERROR(IF(D30&gt;0,(H30-D30)/D30*100,0),0)</f>
        <v>0</v>
      </c>
      <c r="K30" s="11" t="str">
        <f aca="false">IF(I30&gt;0.02,"Improving",IF(I30&gt;0,"Stable",IF(I30&lt;-0.02,"Worsening","Flat")))</f>
        <v>Flat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35" t="n">
        <f aca="false">IF(AND(D31&gt;0,H31&gt;0),H31-D31,0)</f>
        <v>0</v>
      </c>
      <c r="J31" s="25" t="n">
        <f aca="false">IFERROR(IF(D31&gt;0,(H31-D31)/D31*100,0),0)</f>
        <v>0</v>
      </c>
      <c r="K31" s="7" t="str">
        <f aca="false">IF(I31&gt;0.02,"Improving",IF(I31&gt;0,"Stable",IF(I31&lt;-0.02,"Worsening","Flat")))</f>
        <v>Flat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33" t="n">
        <f aca="false">IF(AND(D32&gt;0,H32&gt;0),H32-D32,0)</f>
        <v>0</v>
      </c>
      <c r="J32" s="26" t="n">
        <f aca="false">IFERROR(IF(D32&gt;0,(H32-D32)/D32*100,0),0)</f>
        <v>0</v>
      </c>
      <c r="K32" s="11" t="str">
        <f aca="false">IF(I32&gt;0.02,"Improving",IF(I32&gt;0,"Stable",IF(I32&lt;-0.02,"Worsening","Flat")))</f>
        <v>Flat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35" t="n">
        <f aca="false">IF(AND(D33&gt;0,H33&gt;0),H33-D33,0)</f>
        <v>0</v>
      </c>
      <c r="J33" s="25" t="n">
        <f aca="false">IFERROR(IF(D33&gt;0,(H33-D33)/D33*100,0),0)</f>
        <v>0</v>
      </c>
      <c r="K33" s="7" t="str">
        <f aca="false">IF(I33&gt;0.02,"Improving",IF(I33&gt;0,"Stable",IF(I33&lt;-0.02,"Worsening","Flat")))</f>
        <v>Flat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7" t="s">
        <v>107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25.5" hidden="false" customHeight="true" outlineLevel="0" collapsed="false">
      <c r="A2" s="30" t="s">
        <v>108</v>
      </c>
      <c r="B2" s="30"/>
      <c r="C2" s="30"/>
      <c r="D2" s="30"/>
      <c r="E2" s="30"/>
      <c r="F2" s="30"/>
      <c r="G2" s="30"/>
      <c r="H2" s="30"/>
      <c r="I2" s="30"/>
      <c r="J2" s="30"/>
    </row>
    <row r="3" customFormat="false" ht="35.05" hidden="false" customHeight="false" outlineLevel="0" collapsed="false">
      <c r="A3" s="31" t="s">
        <v>33</v>
      </c>
      <c r="B3" s="31" t="s">
        <v>34</v>
      </c>
      <c r="C3" s="31" t="s">
        <v>35</v>
      </c>
      <c r="D3" s="31" t="s">
        <v>109</v>
      </c>
      <c r="E3" s="31" t="s">
        <v>110</v>
      </c>
      <c r="F3" s="31" t="s">
        <v>111</v>
      </c>
      <c r="G3" s="31" t="s">
        <v>112</v>
      </c>
      <c r="H3" s="31" t="s">
        <v>59</v>
      </c>
      <c r="I3" s="31" t="s">
        <v>113</v>
      </c>
      <c r="J3" s="31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26" t="n">
        <f aca="false">IF(D4&gt;0,G4/D4*100,0)</f>
        <v>0</v>
      </c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25" t="n">
        <f aca="false">IF(D5&gt;0,G5/D5*100,0)</f>
        <v>0</v>
      </c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26" t="n">
        <f aca="false">IF(D6&gt;0,G6/D6*100,0)</f>
        <v>0</v>
      </c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25" t="n">
        <f aca="false">IF(D7&gt;0,G7/D7*100,0)</f>
        <v>0</v>
      </c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26" t="n">
        <f aca="false">IF(D8&gt;0,G8/D8*100,0)</f>
        <v>0</v>
      </c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25" t="n">
        <f aca="false">IF(D9&gt;0,G9/D9*100,0)</f>
        <v>0</v>
      </c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26" t="n">
        <f aca="false">IF(D10&gt;0,G10/D10*100,0)</f>
        <v>0</v>
      </c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25" t="n">
        <f aca="false">IF(D11&gt;0,G11/D11*100,0)</f>
        <v>0</v>
      </c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26" t="n">
        <f aca="false">IF(D12&gt;0,G12/D12*100,0)</f>
        <v>0</v>
      </c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25" t="n">
        <f aca="false">IF(D13&gt;0,G13/D13*100,0)</f>
        <v>0</v>
      </c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26" t="n">
        <f aca="false">IF(D14&gt;0,G14/D14*100,0)</f>
        <v>0</v>
      </c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25" t="n">
        <f aca="false">IF(D15&gt;0,G15/D15*100,0)</f>
        <v>0</v>
      </c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26" t="n">
        <f aca="false">IF(D16&gt;0,G16/D16*100,0)</f>
        <v>0</v>
      </c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25" t="n">
        <f aca="false">IF(D17&gt;0,G17/D17*100,0)</f>
        <v>0</v>
      </c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26" t="n">
        <f aca="false">IF(D18&gt;0,G18/D18*100,0)</f>
        <v>0</v>
      </c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25" t="n">
        <f aca="false">IF(D19&gt;0,G19/D19*100,0)</f>
        <v>0</v>
      </c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26" t="n">
        <f aca="false">IF(D20&gt;0,G20/D20*100,0)</f>
        <v>0</v>
      </c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25" t="n">
        <f aca="false">IF(D21&gt;0,G21/D21*100,0)</f>
        <v>0</v>
      </c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26" t="n">
        <f aca="false">IF(D22&gt;0,G22/D22*100,0)</f>
        <v>0</v>
      </c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25" t="n">
        <f aca="false">IF(D23&gt;0,G23/D23*100,0)</f>
        <v>0</v>
      </c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26" t="n">
        <f aca="false">IF(D24&gt;0,G24/D24*100,0)</f>
        <v>0</v>
      </c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25" t="n">
        <f aca="false">IF(D25&gt;0,G25/D25*100,0)</f>
        <v>0</v>
      </c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26" t="n">
        <f aca="false">IF(D26&gt;0,G26/D26*100,0)</f>
        <v>0</v>
      </c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25" t="n">
        <f aca="false">IF(D27&gt;0,G27/D27*100,0)</f>
        <v>0</v>
      </c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26" t="n">
        <f aca="false">IF(D28&gt;0,G28/D28*100,0)</f>
        <v>0</v>
      </c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25" t="n">
        <f aca="false">IF(D29&gt;0,G29/D29*100,0)</f>
        <v>0</v>
      </c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26" t="n">
        <f aca="false">IF(D30&gt;0,G30/D30*100,0)</f>
        <v>0</v>
      </c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25" t="n">
        <f aca="false">IF(D31&gt;0,G31/D31*100,0)</f>
        <v>0</v>
      </c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26" t="n">
        <f aca="false">IF(D32&gt;0,G32/D32*100,0)</f>
        <v>0</v>
      </c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25" t="n">
        <f aca="false">IF(D33&gt;0,G33/D33*100,0)</f>
        <v>0</v>
      </c>
      <c r="I33" s="18"/>
      <c r="J33" s="18"/>
    </row>
    <row r="35" customFormat="false" ht="25.5" hidden="false" customHeight="true" outlineLevel="0" collapsed="false">
      <c r="A35" s="48" t="s">
        <v>114</v>
      </c>
      <c r="B35" s="48"/>
      <c r="C35" s="48"/>
      <c r="D35" s="48"/>
      <c r="E35" s="48"/>
      <c r="F35" s="48"/>
      <c r="G35" s="48"/>
      <c r="H35" s="48"/>
      <c r="I35" s="48"/>
      <c r="J35" s="48"/>
    </row>
    <row r="36" customFormat="false" ht="35.05" hidden="false" customHeight="false" outlineLevel="0" collapsed="false">
      <c r="A36" s="49" t="s">
        <v>33</v>
      </c>
      <c r="B36" s="49" t="s">
        <v>115</v>
      </c>
      <c r="C36" s="49" t="s">
        <v>116</v>
      </c>
      <c r="D36" s="49" t="s">
        <v>117</v>
      </c>
      <c r="E36" s="49" t="s">
        <v>118</v>
      </c>
      <c r="F36" s="49" t="s">
        <v>119</v>
      </c>
      <c r="G36" s="49" t="s">
        <v>120</v>
      </c>
      <c r="H36" s="49" t="s">
        <v>121</v>
      </c>
      <c r="I36" s="49" t="s">
        <v>122</v>
      </c>
      <c r="J36" s="49" t="s">
        <v>123</v>
      </c>
    </row>
    <row r="37" customFormat="false" ht="27.75" hidden="false" customHeight="true" outlineLevel="0" collapsed="false">
      <c r="A37" s="4" t="n">
        <v>1</v>
      </c>
      <c r="B37" s="6" t="s">
        <v>124</v>
      </c>
      <c r="C37" s="18"/>
      <c r="D37" s="18"/>
      <c r="E37" s="18"/>
      <c r="F37" s="18"/>
      <c r="G37" s="18"/>
      <c r="H37" s="18"/>
      <c r="I37" s="18"/>
      <c r="J37" s="18"/>
    </row>
    <row r="38" customFormat="false" ht="27.75" hidden="false" customHeight="true" outlineLevel="0" collapsed="false">
      <c r="A38" s="8" t="n">
        <v>2</v>
      </c>
      <c r="B38" s="10" t="s">
        <v>125</v>
      </c>
      <c r="C38" s="17"/>
      <c r="D38" s="17"/>
      <c r="E38" s="17"/>
      <c r="F38" s="17"/>
      <c r="G38" s="17"/>
      <c r="H38" s="17"/>
      <c r="I38" s="17"/>
      <c r="J38" s="17"/>
    </row>
    <row r="39" customFormat="false" ht="27.75" hidden="false" customHeight="true" outlineLevel="0" collapsed="false">
      <c r="A39" s="4" t="n">
        <v>3</v>
      </c>
      <c r="B39" s="6" t="s">
        <v>126</v>
      </c>
      <c r="C39" s="18"/>
      <c r="D39" s="18"/>
      <c r="E39" s="18"/>
      <c r="F39" s="18"/>
      <c r="G39" s="18"/>
      <c r="H39" s="18"/>
      <c r="I39" s="18"/>
      <c r="J39" s="18"/>
    </row>
    <row r="40" customFormat="false" ht="27.75" hidden="false" customHeight="true" outlineLevel="0" collapsed="false">
      <c r="A40" s="8" t="n">
        <v>4</v>
      </c>
      <c r="B40" s="10" t="s">
        <v>127</v>
      </c>
      <c r="C40" s="17"/>
      <c r="D40" s="17"/>
      <c r="E40" s="17"/>
      <c r="F40" s="17"/>
      <c r="G40" s="17"/>
      <c r="H40" s="17"/>
      <c r="I40" s="17"/>
      <c r="J40" s="17"/>
    </row>
    <row r="41" customFormat="false" ht="27.75" hidden="false" customHeight="true" outlineLevel="0" collapsed="false">
      <c r="A41" s="4" t="n">
        <v>5</v>
      </c>
      <c r="B41" s="6" t="s">
        <v>128</v>
      </c>
      <c r="C41" s="18"/>
      <c r="D41" s="18"/>
      <c r="E41" s="18"/>
      <c r="F41" s="18"/>
      <c r="G41" s="18"/>
      <c r="H41" s="18"/>
      <c r="I41" s="18"/>
      <c r="J41" s="18"/>
    </row>
    <row r="42" customFormat="false" ht="27.75" hidden="false" customHeight="true" outlineLevel="0" collapsed="false">
      <c r="A42" s="8" t="n">
        <v>6</v>
      </c>
      <c r="B42" s="10" t="s">
        <v>129</v>
      </c>
      <c r="C42" s="17"/>
      <c r="D42" s="17"/>
      <c r="E42" s="17"/>
      <c r="F42" s="17"/>
      <c r="G42" s="17"/>
      <c r="H42" s="17"/>
      <c r="I42" s="17"/>
      <c r="J42" s="17"/>
    </row>
    <row r="43" customFormat="false" ht="27.75" hidden="false" customHeight="true" outlineLevel="0" collapsed="false">
      <c r="A43" s="4" t="n">
        <v>7</v>
      </c>
      <c r="B43" s="6" t="s">
        <v>130</v>
      </c>
      <c r="C43" s="18"/>
      <c r="D43" s="18"/>
      <c r="E43" s="18"/>
      <c r="F43" s="18"/>
      <c r="G43" s="18"/>
      <c r="H43" s="18"/>
      <c r="I43" s="18"/>
      <c r="J43" s="18"/>
    </row>
    <row r="44" customFormat="false" ht="27.75" hidden="false" customHeight="true" outlineLevel="0" collapsed="false">
      <c r="A44" s="8" t="n">
        <v>8</v>
      </c>
      <c r="B44" s="10" t="s">
        <v>131</v>
      </c>
      <c r="C44" s="17"/>
      <c r="D44" s="17"/>
      <c r="E44" s="17"/>
      <c r="F44" s="17"/>
      <c r="G44" s="17"/>
      <c r="H44" s="17"/>
      <c r="I44" s="17"/>
      <c r="J44" s="17"/>
    </row>
    <row r="45" customFormat="false" ht="27.75" hidden="false" customHeight="true" outlineLevel="0" collapsed="false">
      <c r="A45" s="4" t="n">
        <v>9</v>
      </c>
      <c r="B45" s="6" t="s">
        <v>132</v>
      </c>
      <c r="C45" s="18"/>
      <c r="D45" s="18"/>
      <c r="E45" s="18"/>
      <c r="F45" s="18"/>
      <c r="G45" s="18"/>
      <c r="H45" s="18"/>
      <c r="I45" s="18"/>
      <c r="J45" s="18"/>
    </row>
    <row r="46" customFormat="false" ht="27.75" hidden="false" customHeight="true" outlineLevel="0" collapsed="false">
      <c r="A46" s="8" t="n">
        <v>10</v>
      </c>
      <c r="B46" s="10" t="s">
        <v>133</v>
      </c>
      <c r="C46" s="17"/>
      <c r="D46" s="17"/>
      <c r="E46" s="17"/>
      <c r="F46" s="17"/>
      <c r="G46" s="17"/>
      <c r="H46" s="17"/>
      <c r="I46" s="17"/>
      <c r="J4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2" t="s">
        <v>134</v>
      </c>
      <c r="B1" s="32"/>
      <c r="C1" s="32"/>
      <c r="D1" s="32"/>
      <c r="E1" s="32"/>
      <c r="F1" s="32"/>
      <c r="G1" s="32"/>
    </row>
    <row r="2" customFormat="false" ht="25.5" hidden="false" customHeight="true" outlineLevel="0" collapsed="false">
      <c r="A2" s="23" t="s">
        <v>135</v>
      </c>
      <c r="B2" s="23"/>
      <c r="C2" s="23"/>
      <c r="D2" s="23"/>
      <c r="E2" s="23"/>
      <c r="F2" s="23"/>
      <c r="G2" s="23"/>
    </row>
    <row r="3" customFormat="false" ht="15" hidden="false" customHeight="false" outlineLevel="0" collapsed="false">
      <c r="A3" s="24" t="s">
        <v>2</v>
      </c>
      <c r="B3" s="24" t="s">
        <v>34</v>
      </c>
      <c r="C3" s="24" t="s">
        <v>136</v>
      </c>
      <c r="D3" s="24" t="s">
        <v>137</v>
      </c>
      <c r="E3" s="24" t="s">
        <v>138</v>
      </c>
      <c r="F3" s="24" t="s">
        <v>139</v>
      </c>
      <c r="G3" s="24" t="s">
        <v>140</v>
      </c>
    </row>
    <row r="4" customFormat="false" ht="27.75" hidden="false" customHeight="true" outlineLevel="0" collapsed="false">
      <c r="A4" s="8" t="n">
        <v>1</v>
      </c>
      <c r="B4" s="17"/>
      <c r="C4" s="10" t="s">
        <v>141</v>
      </c>
      <c r="D4" s="11" t="s">
        <v>142</v>
      </c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143</v>
      </c>
      <c r="D5" s="7" t="s">
        <v>142</v>
      </c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144</v>
      </c>
      <c r="D6" s="11" t="s">
        <v>142</v>
      </c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145</v>
      </c>
      <c r="D7" s="7" t="s">
        <v>142</v>
      </c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146</v>
      </c>
      <c r="D8" s="11" t="s">
        <v>142</v>
      </c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147</v>
      </c>
      <c r="D9" s="7" t="s">
        <v>148</v>
      </c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149</v>
      </c>
      <c r="D10" s="11" t="s">
        <v>148</v>
      </c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150</v>
      </c>
      <c r="D11" s="7" t="s">
        <v>148</v>
      </c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151</v>
      </c>
      <c r="D12" s="11" t="s">
        <v>148</v>
      </c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152</v>
      </c>
      <c r="D13" s="7" t="s">
        <v>148</v>
      </c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153</v>
      </c>
      <c r="D14" s="11" t="s">
        <v>148</v>
      </c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154</v>
      </c>
      <c r="D15" s="7" t="s">
        <v>148</v>
      </c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155</v>
      </c>
      <c r="D16" s="11" t="s">
        <v>156</v>
      </c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157</v>
      </c>
      <c r="D17" s="7" t="s">
        <v>156</v>
      </c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158</v>
      </c>
      <c r="D18" s="11" t="s">
        <v>156</v>
      </c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8"/>
      <c r="C19" s="6" t="s">
        <v>159</v>
      </c>
      <c r="D19" s="7" t="s">
        <v>156</v>
      </c>
      <c r="E19" s="18"/>
      <c r="F19" s="18"/>
      <c r="G19" s="18"/>
    </row>
    <row r="21" customFormat="false" ht="25.5" hidden="false" customHeight="true" outlineLevel="0" collapsed="false">
      <c r="A21" s="12" t="s">
        <v>160</v>
      </c>
      <c r="B21" s="12"/>
      <c r="C21" s="12"/>
      <c r="D21" s="12"/>
      <c r="E21" s="12"/>
      <c r="F21" s="12"/>
      <c r="G21" s="12"/>
    </row>
    <row r="22" customFormat="false" ht="15" hidden="false" customHeight="true" outlineLevel="0" collapsed="false">
      <c r="A22" s="37" t="s">
        <v>161</v>
      </c>
      <c r="B22" s="37"/>
      <c r="C22" s="37"/>
      <c r="D22" s="50" t="n">
        <f aca="false">COUNTIF(E4:E19,"Done")</f>
        <v>0</v>
      </c>
      <c r="E22" s="39"/>
      <c r="F22" s="39"/>
      <c r="G22" s="39"/>
    </row>
    <row r="23" customFormat="false" ht="15" hidden="false" customHeight="true" outlineLevel="0" collapsed="false">
      <c r="A23" s="37" t="s">
        <v>162</v>
      </c>
      <c r="B23" s="37"/>
      <c r="C23" s="37"/>
      <c r="D23" s="50" t="n">
        <f aca="false">COUNTIF(E4:E19,"IP")</f>
        <v>0</v>
      </c>
      <c r="E23" s="39"/>
      <c r="F23" s="39"/>
      <c r="G23" s="39"/>
    </row>
    <row r="24" customFormat="false" ht="15" hidden="false" customHeight="true" outlineLevel="0" collapsed="false">
      <c r="A24" s="37" t="s">
        <v>59</v>
      </c>
      <c r="B24" s="37"/>
      <c r="C24" s="37"/>
      <c r="D24" s="50" t="n">
        <f aca="false">IFERROR(COUNTIF(E4:E19,"Done")/16*100,0)</f>
        <v>0</v>
      </c>
      <c r="E24" s="39"/>
      <c r="F24" s="39"/>
      <c r="G24" s="39"/>
    </row>
  </sheetData>
  <mergeCells count="6">
    <mergeCell ref="A1:G1"/>
    <mergeCell ref="A2:G2"/>
    <mergeCell ref="A21:G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7" t="s">
        <v>163</v>
      </c>
      <c r="B1" s="27"/>
      <c r="C1" s="27"/>
      <c r="D1" s="27"/>
      <c r="E1" s="27"/>
      <c r="F1" s="27"/>
      <c r="G1" s="27"/>
    </row>
    <row r="3" customFormat="false" ht="23.85" hidden="false" customHeight="false" outlineLevel="0" collapsed="false">
      <c r="A3" s="29" t="s">
        <v>33</v>
      </c>
      <c r="B3" s="29" t="s">
        <v>164</v>
      </c>
      <c r="C3" s="29" t="s">
        <v>165</v>
      </c>
      <c r="D3" s="29" t="s">
        <v>92</v>
      </c>
      <c r="E3" s="29" t="s">
        <v>166</v>
      </c>
      <c r="F3" s="29" t="s">
        <v>167</v>
      </c>
      <c r="G3" s="29" t="s">
        <v>168</v>
      </c>
    </row>
    <row r="4" customFormat="false" ht="15" hidden="false" customHeight="false" outlineLevel="0" collapsed="false">
      <c r="A4" s="51" t="n">
        <v>1</v>
      </c>
      <c r="B4" s="52" t="s">
        <v>169</v>
      </c>
      <c r="C4" s="53"/>
      <c r="D4" s="53"/>
      <c r="E4" s="53"/>
      <c r="F4" s="53"/>
      <c r="G4" s="51" t="s">
        <v>170</v>
      </c>
    </row>
    <row r="5" customFormat="false" ht="15" hidden="false" customHeight="false" outlineLevel="0" collapsed="false">
      <c r="A5" s="4" t="n">
        <v>2</v>
      </c>
      <c r="B5" s="5" t="s">
        <v>171</v>
      </c>
      <c r="C5" s="18"/>
      <c r="D5" s="18"/>
      <c r="E5" s="18"/>
      <c r="F5" s="18"/>
      <c r="G5" s="4" t="s">
        <v>172</v>
      </c>
    </row>
    <row r="6" customFormat="false" ht="15" hidden="false" customHeight="false" outlineLevel="0" collapsed="false">
      <c r="A6" s="8" t="n">
        <v>3</v>
      </c>
      <c r="B6" s="9" t="s">
        <v>173</v>
      </c>
      <c r="C6" s="17"/>
      <c r="D6" s="17"/>
      <c r="E6" s="17"/>
      <c r="F6" s="17"/>
      <c r="G6" s="8" t="s">
        <v>174</v>
      </c>
    </row>
    <row r="7" customFormat="false" ht="15" hidden="false" customHeight="false" outlineLevel="0" collapsed="false">
      <c r="A7" s="4" t="n">
        <v>4</v>
      </c>
      <c r="B7" s="5" t="s">
        <v>175</v>
      </c>
      <c r="C7" s="18"/>
      <c r="D7" s="18"/>
      <c r="E7" s="18"/>
      <c r="F7" s="18"/>
      <c r="G7" s="4" t="s">
        <v>176</v>
      </c>
    </row>
    <row r="8" customFormat="false" ht="23.85" hidden="false" customHeight="false" outlineLevel="0" collapsed="false">
      <c r="A8" s="8" t="n">
        <v>5</v>
      </c>
      <c r="B8" s="9" t="s">
        <v>177</v>
      </c>
      <c r="C8" s="17"/>
      <c r="D8" s="17"/>
      <c r="E8" s="17"/>
      <c r="F8" s="17"/>
      <c r="G8" s="8" t="s">
        <v>178</v>
      </c>
    </row>
    <row r="9" customFormat="false" ht="15" hidden="false" customHeight="false" outlineLevel="0" collapsed="false">
      <c r="A9" s="4" t="n">
        <v>1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8" t="n">
        <v>2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4" t="n">
        <v>3</v>
      </c>
      <c r="B11" s="18"/>
      <c r="C11" s="18"/>
      <c r="D11" s="18"/>
      <c r="E11" s="18"/>
      <c r="F11" s="18"/>
      <c r="G11" s="18"/>
    </row>
    <row r="12" customFormat="false" ht="15" hidden="false" customHeight="false" outlineLevel="0" collapsed="false">
      <c r="A12" s="8" t="n">
        <v>4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4" t="n">
        <v>5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8" t="n">
        <v>6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4" t="n">
        <v>7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8" t="n">
        <v>8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4" t="n">
        <v>9</v>
      </c>
      <c r="B17" s="18"/>
      <c r="C17" s="18"/>
      <c r="D17" s="18"/>
      <c r="E17" s="18"/>
      <c r="F17" s="18"/>
      <c r="G17" s="18"/>
    </row>
    <row r="18" customFormat="false" ht="15" hidden="false" customHeight="false" outlineLevel="0" collapsed="false">
      <c r="A18" s="8" t="n">
        <v>10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4" t="n">
        <v>11</v>
      </c>
      <c r="B19" s="18"/>
      <c r="C19" s="18"/>
      <c r="D19" s="18"/>
      <c r="E19" s="18"/>
      <c r="F19" s="18"/>
      <c r="G19" s="18"/>
    </row>
    <row r="20" customFormat="false" ht="15" hidden="false" customHeight="false" outlineLevel="0" collapsed="false">
      <c r="A20" s="8" t="n">
        <v>12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4" t="n">
        <v>13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8" t="n">
        <v>14</v>
      </c>
      <c r="B22" s="17"/>
      <c r="C22" s="17"/>
      <c r="D22" s="17"/>
      <c r="E22" s="17"/>
      <c r="F22" s="17"/>
      <c r="G22" s="17"/>
    </row>
    <row r="23" customFormat="false" ht="15" hidden="false" customHeight="false" outlineLevel="0" collapsed="false">
      <c r="A23" s="4" t="n">
        <v>15</v>
      </c>
      <c r="B23" s="18"/>
      <c r="C23" s="18"/>
      <c r="D23" s="18"/>
      <c r="E23" s="18"/>
      <c r="F23" s="18"/>
      <c r="G23" s="1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54" t="s">
        <v>179</v>
      </c>
      <c r="B1" s="54"/>
      <c r="C1" s="54"/>
      <c r="D1" s="54"/>
      <c r="E1" s="54"/>
      <c r="F1" s="54"/>
    </row>
    <row r="3" customFormat="false" ht="15" hidden="false" customHeight="false" outlineLevel="0" collapsed="false">
      <c r="A3" s="49" t="s">
        <v>2</v>
      </c>
      <c r="B3" s="49" t="s">
        <v>180</v>
      </c>
      <c r="C3" s="49" t="s">
        <v>181</v>
      </c>
      <c r="D3" s="49" t="s">
        <v>182</v>
      </c>
      <c r="E3" s="49" t="s">
        <v>183</v>
      </c>
      <c r="F3" s="49" t="s">
        <v>122</v>
      </c>
    </row>
    <row r="4" customFormat="false" ht="49.5" hidden="false" customHeight="true" outlineLevel="0" collapsed="false">
      <c r="A4" s="8" t="n">
        <v>1</v>
      </c>
      <c r="B4" s="9" t="s">
        <v>184</v>
      </c>
      <c r="C4" s="11" t="s">
        <v>185</v>
      </c>
      <c r="D4" s="10" t="s">
        <v>186</v>
      </c>
      <c r="E4" s="10" t="s">
        <v>187</v>
      </c>
      <c r="F4" s="17"/>
    </row>
    <row r="5" customFormat="false" ht="49.5" hidden="false" customHeight="true" outlineLevel="0" collapsed="false">
      <c r="A5" s="4" t="n">
        <v>2</v>
      </c>
      <c r="B5" s="5" t="s">
        <v>188</v>
      </c>
      <c r="C5" s="7" t="s">
        <v>185</v>
      </c>
      <c r="D5" s="6" t="s">
        <v>189</v>
      </c>
      <c r="E5" s="6" t="s">
        <v>190</v>
      </c>
      <c r="F5" s="18"/>
    </row>
    <row r="6" customFormat="false" ht="49.5" hidden="false" customHeight="true" outlineLevel="0" collapsed="false">
      <c r="A6" s="8" t="n">
        <v>3</v>
      </c>
      <c r="B6" s="9" t="s">
        <v>191</v>
      </c>
      <c r="C6" s="11" t="s">
        <v>185</v>
      </c>
      <c r="D6" s="10" t="s">
        <v>192</v>
      </c>
      <c r="E6" s="10" t="s">
        <v>193</v>
      </c>
      <c r="F6" s="17"/>
    </row>
    <row r="7" customFormat="false" ht="49.5" hidden="false" customHeight="true" outlineLevel="0" collapsed="false">
      <c r="A7" s="4" t="n">
        <v>4</v>
      </c>
      <c r="B7" s="5" t="s">
        <v>194</v>
      </c>
      <c r="C7" s="7" t="s">
        <v>185</v>
      </c>
      <c r="D7" s="6" t="s">
        <v>195</v>
      </c>
      <c r="E7" s="6" t="s">
        <v>196</v>
      </c>
      <c r="F7" s="18"/>
    </row>
    <row r="8" customFormat="false" ht="49.5" hidden="false" customHeight="true" outlineLevel="0" collapsed="false">
      <c r="A8" s="8" t="n">
        <v>5</v>
      </c>
      <c r="B8" s="9" t="s">
        <v>197</v>
      </c>
      <c r="C8" s="11" t="s">
        <v>198</v>
      </c>
      <c r="D8" s="10" t="s">
        <v>199</v>
      </c>
      <c r="E8" s="10" t="s">
        <v>200</v>
      </c>
      <c r="F8" s="17"/>
    </row>
    <row r="9" customFormat="false" ht="49.5" hidden="false" customHeight="true" outlineLevel="0" collapsed="false">
      <c r="A9" s="4" t="n">
        <v>6</v>
      </c>
      <c r="B9" s="5" t="s">
        <v>201</v>
      </c>
      <c r="C9" s="7" t="s">
        <v>198</v>
      </c>
      <c r="D9" s="6" t="s">
        <v>202</v>
      </c>
      <c r="E9" s="6" t="s">
        <v>203</v>
      </c>
      <c r="F9" s="18"/>
    </row>
    <row r="10" customFormat="false" ht="49.5" hidden="false" customHeight="true" outlineLevel="0" collapsed="false">
      <c r="A10" s="8" t="n">
        <v>7</v>
      </c>
      <c r="B10" s="9" t="s">
        <v>204</v>
      </c>
      <c r="C10" s="11" t="s">
        <v>198</v>
      </c>
      <c r="D10" s="10" t="s">
        <v>205</v>
      </c>
      <c r="E10" s="10" t="s">
        <v>206</v>
      </c>
      <c r="F10" s="17"/>
    </row>
    <row r="11" customFormat="false" ht="49.5" hidden="false" customHeight="true" outlineLevel="0" collapsed="false">
      <c r="A11" s="4" t="n">
        <v>8</v>
      </c>
      <c r="B11" s="5" t="s">
        <v>207</v>
      </c>
      <c r="C11" s="7" t="s">
        <v>185</v>
      </c>
      <c r="D11" s="6" t="s">
        <v>208</v>
      </c>
      <c r="E11" s="6" t="s">
        <v>209</v>
      </c>
      <c r="F11" s="1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210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5" t="s">
        <v>211</v>
      </c>
      <c r="B2" s="55"/>
      <c r="C2" s="55"/>
      <c r="D2" s="55"/>
      <c r="E2" s="55"/>
      <c r="F2" s="55"/>
    </row>
    <row r="3" customFormat="false" ht="15" hidden="false" customHeight="false" outlineLevel="0" collapsed="false">
      <c r="A3" s="16" t="s">
        <v>2</v>
      </c>
      <c r="B3" s="16" t="s">
        <v>212</v>
      </c>
      <c r="C3" s="16" t="s">
        <v>213</v>
      </c>
      <c r="D3" s="16" t="s">
        <v>214</v>
      </c>
      <c r="E3" s="16" t="s">
        <v>215</v>
      </c>
      <c r="F3" s="16" t="s">
        <v>216</v>
      </c>
    </row>
    <row r="4" customFormat="false" ht="31.5" hidden="false" customHeight="true" outlineLevel="0" collapsed="false">
      <c r="A4" s="8" t="n">
        <v>1</v>
      </c>
      <c r="B4" s="9" t="s">
        <v>217</v>
      </c>
      <c r="C4" s="10" t="s">
        <v>218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219</v>
      </c>
      <c r="C5" s="6" t="s">
        <v>220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221</v>
      </c>
      <c r="C6" s="10" t="s">
        <v>222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223</v>
      </c>
      <c r="C7" s="6" t="s">
        <v>224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225</v>
      </c>
      <c r="C8" s="10" t="s">
        <v>226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227</v>
      </c>
      <c r="C9" s="6" t="s">
        <v>228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229</v>
      </c>
      <c r="C10" s="10" t="s">
        <v>230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231</v>
      </c>
      <c r="C11" s="6" t="s">
        <v>232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233</v>
      </c>
      <c r="C12" s="10" t="s">
        <v>234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235</v>
      </c>
      <c r="C13" s="6" t="s">
        <v>236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237</v>
      </c>
      <c r="C14" s="10" t="s">
        <v>238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239</v>
      </c>
      <c r="C15" s="6" t="s">
        <v>240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241</v>
      </c>
      <c r="C16" s="10" t="s">
        <v>242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243</v>
      </c>
      <c r="C17" s="6" t="s">
        <v>244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245</v>
      </c>
      <c r="C18" s="10" t="s">
        <v>246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247</v>
      </c>
      <c r="C19" s="6" t="s">
        <v>248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249</v>
      </c>
      <c r="C20" s="10" t="s">
        <v>250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251</v>
      </c>
      <c r="C21" s="6" t="s">
        <v>252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253</v>
      </c>
      <c r="C22" s="10" t="s">
        <v>254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255</v>
      </c>
      <c r="C23" s="6" t="s">
        <v>256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2026-05-08T12:08:50Z</dcterms:created>
  <dc:creator>openpyxl</dc:creator>
  <dc:description/>
  <dc:language>en-US</dc:language>
  <cp:lastModifiedBy/>
  <dcterms:modified xsi:type="dcterms:W3CDTF">2026-05-08T12:08:50Z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