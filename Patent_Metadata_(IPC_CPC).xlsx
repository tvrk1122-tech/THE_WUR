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ent_Metadata_Master" sheetId="1" r:id="rId1"/>
    <sheet name="IPC_Reference_Table" sheetId="2" r:id="rId2"/>
    <sheet name="CPC_Reference_Table" sheetId="3" r:id="rId3"/>
    <sheet name="Tech_Domain_Classification" sheetId="4" r:id="rId4"/>
    <sheet name="Yearwise_Stats" sheetId="5" r:id="rId5"/>
    <sheet name="Formulas" sheetId="6" r:id="rId6"/>
    <sheet name="Audit_Rules" sheetId="7" r:id="rId7"/>
    <sheet name="Compliance" sheetId="8" r:id="rId8"/>
    <sheet name="Dashboard_Notes" sheetId="9" r:id="rId9"/>
  </sheets>
  <calcPr calcId="124519" fullCalcOnLoad="1"/>
</workbook>
</file>

<file path=xl/sharedStrings.xml><?xml version="1.0" encoding="utf-8"?>
<sst xmlns="http://schemas.openxmlformats.org/spreadsheetml/2006/main" count="93" uniqueCount="83">
  <si>
    <t>Patent_ID</t>
  </si>
  <si>
    <t>Patent_Title</t>
  </si>
  <si>
    <t>Patent_Office</t>
  </si>
  <si>
    <t>Application_Year</t>
  </si>
  <si>
    <t>Grant_Year</t>
  </si>
  <si>
    <t>Assignee_Organization</t>
  </si>
  <si>
    <t>Assignee_Country</t>
  </si>
  <si>
    <t>Inventor_Names</t>
  </si>
  <si>
    <t>IPC_Class_Code</t>
  </si>
  <si>
    <t>IPC_Class_Description</t>
  </si>
  <si>
    <t>CPC_Class_Code</t>
  </si>
  <si>
    <t>CPC_Class_Description</t>
  </si>
  <si>
    <t>Technology_Domain</t>
  </si>
  <si>
    <t>Technology_Subdomain</t>
  </si>
  <si>
    <t>Relevant_Publication_DOI</t>
  </si>
  <si>
    <t>Patent_Link</t>
  </si>
  <si>
    <t>Data_Source</t>
  </si>
  <si>
    <t>Remarks</t>
  </si>
  <si>
    <t>IPC_Code</t>
  </si>
  <si>
    <t>IPC_Title</t>
  </si>
  <si>
    <t>Section</t>
  </si>
  <si>
    <t>Class</t>
  </si>
  <si>
    <t>Subclass</t>
  </si>
  <si>
    <t>Description</t>
  </si>
  <si>
    <t>Example_Applications</t>
  </si>
  <si>
    <t>CPC_Code</t>
  </si>
  <si>
    <t>CPC_Title</t>
  </si>
  <si>
    <t>Group</t>
  </si>
  <si>
    <t>Subgroup</t>
  </si>
  <si>
    <t>Typical_IPC_Codes</t>
  </si>
  <si>
    <t>Typical_CPC_Codes</t>
  </si>
  <si>
    <t>Common_Research_Areas</t>
  </si>
  <si>
    <t>Industry_Applications</t>
  </si>
  <si>
    <t>Year</t>
  </si>
  <si>
    <t>Total_Patents</t>
  </si>
  <si>
    <t>Patents_Granted</t>
  </si>
  <si>
    <t>Patents_Using_IPC</t>
  </si>
  <si>
    <t>Patents_Using_CPC</t>
  </si>
  <si>
    <t>Top_IPC_Section</t>
  </si>
  <si>
    <t>Top_CPC_Section</t>
  </si>
  <si>
    <t>Top_Technology_Domain</t>
  </si>
  <si>
    <t>Metric</t>
  </si>
  <si>
    <t>Formula</t>
  </si>
  <si>
    <t>Explanation</t>
  </si>
  <si>
    <t>IPC Distribution %</t>
  </si>
  <si>
    <t>CPC Distribution %</t>
  </si>
  <si>
    <t>Technology Domain Share</t>
  </si>
  <si>
    <t>Shows proportion of patents per IPC class</t>
  </si>
  <si>
    <t>Shows proportion of patents per CPC class</t>
  </si>
  <si>
    <t>Indicates area of innovation strength</t>
  </si>
  <si>
    <t>Rule</t>
  </si>
  <si>
    <t>Only granted patents are included</t>
  </si>
  <si>
    <t>IPC/CPC codes follow WIPO/EPO official structure</t>
  </si>
  <si>
    <t>Patent metadata validated with USPTO/EPO/WIPO</t>
  </si>
  <si>
    <t>Patent IDs checked for duplicates</t>
  </si>
  <si>
    <t>Technology domain mapping consistent with taxonomy</t>
  </si>
  <si>
    <t>Publication DOIs (if cited) must be verified</t>
  </si>
  <si>
    <t>Ensures reliability of patent data</t>
  </si>
  <si>
    <t>Prevents incorrect classification</t>
  </si>
  <si>
    <t>Ensures accuracy and traceability</t>
  </si>
  <si>
    <t>Avoids double-counting</t>
  </si>
  <si>
    <t>Supports structured innovation reporting</t>
  </si>
  <si>
    <t>Ensures only valid publications are linked</t>
  </si>
  <si>
    <t>Requirement</t>
  </si>
  <si>
    <t>Evidence_Required</t>
  </si>
  <si>
    <t>Status</t>
  </si>
  <si>
    <t>Patent list validated</t>
  </si>
  <si>
    <t>IPC codes verified</t>
  </si>
  <si>
    <t>CPC codes verified</t>
  </si>
  <si>
    <t>Technology domains mapped</t>
  </si>
  <si>
    <t>Publication DOIs validated</t>
  </si>
  <si>
    <t>Metadata cross-checked with official sources</t>
  </si>
  <si>
    <t>Notes</t>
  </si>
  <si>
    <t>Recommended Dashboards:</t>
  </si>
  <si>
    <t>• IPC Distribution Pie Chart</t>
  </si>
  <si>
    <t>• CPC Distribution Heatmap</t>
  </si>
  <si>
    <t>• Yearwise Patent Growth Line Chart</t>
  </si>
  <si>
    <t>• Assignee Country Distribution</t>
  </si>
  <si>
    <t>• Technology Domain Strength Radar Chart</t>
  </si>
  <si>
    <t>Insights:</t>
  </si>
  <si>
    <t>• Identifies innovation domains</t>
  </si>
  <si>
    <t>• Helps prepare THE Patents metric</t>
  </si>
  <si>
    <t>• Useful for IP &amp; Tech Transfer reporting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</si>
</sst>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25</v>
      </c>
      <c r="B1" s="1" t="s">
        <v>26</v>
      </c>
      <c r="C1" s="1" t="s">
        <v>20</v>
      </c>
      <c r="D1" s="1" t="s">
        <v>21</v>
      </c>
      <c r="E1" s="1" t="s">
        <v>22</v>
      </c>
      <c r="F1" s="1" t="s">
        <v>27</v>
      </c>
      <c r="G1" s="1" t="s">
        <v>28</v>
      </c>
      <c r="H1" s="1" t="s">
        <v>23</v>
      </c>
      <c r="I1" s="1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12</v>
      </c>
      <c r="B1" s="1" t="s">
        <v>13</v>
      </c>
      <c r="C1" s="1" t="s">
        <v>29</v>
      </c>
      <c r="D1" s="1" t="s">
        <v>30</v>
      </c>
      <c r="E1" s="1" t="s">
        <v>31</v>
      </c>
      <c r="F1" s="1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41</v>
      </c>
      <c r="B1" s="1" t="s">
        <v>42</v>
      </c>
      <c r="C1" s="1" t="s">
        <v>43</v>
      </c>
    </row>
    <row r="2" spans="1:3">
      <c r="A2" t="s">
        <v>44</v>
      </c>
      <c r="B2">
        <f>IPC_Count / SUM(All_IPC_Counts)</f>
        <v>0</v>
      </c>
      <c r="C2" t="s">
        <v>47</v>
      </c>
    </row>
    <row r="3" spans="1:3">
      <c r="A3" t="s">
        <v>45</v>
      </c>
      <c r="B3">
        <f>CPC_Count / SUM(All_CPC_Counts)</f>
        <v>0</v>
      </c>
      <c r="C3" t="s">
        <v>48</v>
      </c>
    </row>
    <row r="4" spans="1:3">
      <c r="A4" t="s">
        <v>46</v>
      </c>
      <c r="B4">
        <f>Domain_Patent_Count / SUM(All_Domain_Patent_Counts)</f>
        <v>0</v>
      </c>
      <c r="C4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50</v>
      </c>
      <c r="B1" s="1" t="s">
        <v>43</v>
      </c>
    </row>
    <row r="2" spans="1:2">
      <c r="A2" t="s">
        <v>51</v>
      </c>
      <c r="B2" t="s">
        <v>57</v>
      </c>
    </row>
    <row r="3" spans="1:2">
      <c r="A3" t="s">
        <v>52</v>
      </c>
      <c r="B3" t="s">
        <v>58</v>
      </c>
    </row>
    <row r="4" spans="1:2">
      <c r="A4" t="s">
        <v>53</v>
      </c>
      <c r="B4" t="s">
        <v>59</v>
      </c>
    </row>
    <row r="5" spans="1:2">
      <c r="A5" t="s">
        <v>54</v>
      </c>
      <c r="B5" t="s">
        <v>60</v>
      </c>
    </row>
    <row r="6" spans="1:2">
      <c r="A6" t="s">
        <v>55</v>
      </c>
      <c r="B6" t="s">
        <v>61</v>
      </c>
    </row>
    <row r="7" spans="1:2">
      <c r="A7" t="s">
        <v>56</v>
      </c>
      <c r="B7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63</v>
      </c>
      <c r="B1" s="1" t="s">
        <v>64</v>
      </c>
      <c r="C1" s="1" t="s">
        <v>65</v>
      </c>
      <c r="D1" s="1" t="s">
        <v>17</v>
      </c>
    </row>
    <row r="2" spans="1:4">
      <c r="A2" t="s">
        <v>66</v>
      </c>
    </row>
    <row r="3" spans="1:4">
      <c r="A3" t="s">
        <v>67</v>
      </c>
    </row>
    <row r="4" spans="1:4">
      <c r="A4" t="s">
        <v>68</v>
      </c>
    </row>
    <row r="5" spans="1:4">
      <c r="A5" t="s">
        <v>69</v>
      </c>
    </row>
    <row r="6" spans="1:4">
      <c r="A6" t="s">
        <v>70</v>
      </c>
    </row>
    <row r="7" spans="1:4">
      <c r="A7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72</v>
      </c>
    </row>
    <row r="2" spans="1:1">
      <c r="A2" t="s">
        <v>73</v>
      </c>
    </row>
    <row r="3" spans="1:1">
      <c r="A3" t="s">
        <v>74</v>
      </c>
    </row>
    <row r="4" spans="1:1">
      <c r="A4" t="s">
        <v>75</v>
      </c>
    </row>
    <row r="5" spans="1:1">
      <c r="A5" t="s">
        <v>76</v>
      </c>
    </row>
    <row r="6" spans="1:1">
      <c r="A6" t="s">
        <v>77</v>
      </c>
    </row>
    <row r="7" spans="1:1">
      <c r="A7" t="s">
        <v>78</v>
      </c>
    </row>
    <row r="9" spans="1:1">
      <c r="A9" t="s">
        <v>79</v>
      </c>
    </row>
    <row r="10" spans="1:1">
      <c r="A10" t="s">
        <v>80</v>
      </c>
    </row>
    <row r="11" spans="1:1">
      <c r="A11" t="s">
        <v>81</v>
      </c>
    </row>
    <row r="12" spans="1:1">
      <c r="A1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Patent_Metadata_Master</vt:lpstr>
      <vt:lpstr>IPC_Reference_Table</vt:lpstr>
      <vt:lpstr>CPC_Reference_Table</vt:lpstr>
      <vt:lpstr>Tech_Domain_Classification</vt:lpstr>
      <vt:lpstr>Yearwise_Stats</vt:lpstr>
      <vt:lpstr>Formulas</vt:lpstr>
      <vt:lpstr>Audit_Rules</vt:lpstr>
      <vt:lpstr>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2025-12-07T11:39:59Z</dcterms:created>
  <dcterms:modified xsi:type="dcterms:W3CDTF">2025-12-07T11:39:59Z</dcterms:modified>
</cp:coreProperties>
</file>