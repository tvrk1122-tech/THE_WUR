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wise_Income" sheetId="1" r:id="rId1"/>
    <sheet name="Partnerwise_Summary" sheetId="2" r:id="rId2"/>
    <sheet name="Departmentwise_Summary" sheetId="3" r:id="rId3"/>
    <sheet name="Formulas" sheetId="4" r:id="rId4"/>
    <sheet name="THE_Rules" sheetId="5" r:id="rId5"/>
    <sheet name="Compliance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<sst xmlns="http://schemas.openxmlformats.org/spreadsheetml/2006/main" count="82" uniqueCount="75">
  <si>
    <t>Financial_Year</t>
  </si>
  <si>
    <t>Project_ID</t>
  </si>
  <si>
    <t>Project_Title</t>
  </si>
  <si>
    <t>Industry_Partner_Name</t>
  </si>
  <si>
    <t>Industry_Type (Private/Public/Startup/MSME/MNC)</t>
  </si>
  <si>
    <t>Country_of_Industry_Partner</t>
  </si>
  <si>
    <t>Department</t>
  </si>
  <si>
    <t>Principal_Investigator</t>
  </si>
  <si>
    <t>Co_Investigators</t>
  </si>
  <si>
    <t>MoU_or_Agreement_No</t>
  </si>
  <si>
    <t>Sanction_Letter_No</t>
  </si>
  <si>
    <t>Project_Start_Date</t>
  </si>
  <si>
    <t>Project_End_Date</t>
  </si>
  <si>
    <t>Total_Approved_Amount</t>
  </si>
  <si>
    <t>Amount_Received_This_Year</t>
  </si>
  <si>
    <t>Cumulative_Amount_Received</t>
  </si>
  <si>
    <t>Payment_Installment_No</t>
  </si>
  <si>
    <t>Purpose_of_Funding (R&amp;D/Prototype/Testing/Consultancy/Training/IPR)</t>
  </si>
  <si>
    <t>Research_Output (Patents/Publications/Prototypes)</t>
  </si>
  <si>
    <t>Evidence_File_Link</t>
  </si>
  <si>
    <t>Project_Status (Ongoing/Completed/Hold)</t>
  </si>
  <si>
    <t>Remarks</t>
  </si>
  <si>
    <t>Country</t>
  </si>
  <si>
    <t>Total_Projects</t>
  </si>
  <si>
    <t>Total_Funding_Received</t>
  </si>
  <si>
    <t>Avg_Funding_per_Project</t>
  </si>
  <si>
    <t>Highest_Funded_Project</t>
  </si>
  <si>
    <t>Department_with_Max_Industry_Collaboration</t>
  </si>
  <si>
    <t>Total_Industry_Projects</t>
  </si>
  <si>
    <t>Total_Industry_Funding</t>
  </si>
  <si>
    <t>Top_Industry_Partner</t>
  </si>
  <si>
    <t>Funding_Trend_5Years</t>
  </si>
  <si>
    <t>Metric</t>
  </si>
  <si>
    <t>Formula</t>
  </si>
  <si>
    <t>Explanation</t>
  </si>
  <si>
    <t>Average Funding per Project</t>
  </si>
  <si>
    <t>Industry Partner Contribution %</t>
  </si>
  <si>
    <t>Department Funding Share</t>
  </si>
  <si>
    <t>Average industry income for each project.</t>
  </si>
  <si>
    <t>Shows the percentage contribution of each partner.</t>
  </si>
  <si>
    <t>Shows department-level share of total industry funding.</t>
  </si>
  <si>
    <t>Rule</t>
  </si>
  <si>
    <t>Only industry-funded research income counts (NOT consultancy/training revenue).</t>
  </si>
  <si>
    <t>Funding must be from private, corporate, or industrial bodies.</t>
  </si>
  <si>
    <t>Government funding is NOT industry income.</t>
  </si>
  <si>
    <t>International industry income must be PPP-normalised.</t>
  </si>
  <si>
    <t>Income must fall within reporting period (financial year).</t>
  </si>
  <si>
    <t>Evidence files are mandatory (MoU, sanction letter, UC).</t>
  </si>
  <si>
    <t>Ensures accurate THE Industry Income reporting.</t>
  </si>
  <si>
    <t>Validates industry classification.</t>
  </si>
  <si>
    <t>Govt funding belongs to non-industry.</t>
  </si>
  <si>
    <t>THE requires PPP conversion for comparability.</t>
  </si>
  <si>
    <t>Prevents misalignment of year-wise income.</t>
  </si>
  <si>
    <t>Mandatory documentary proof for THE audit.</t>
  </si>
  <si>
    <t>Requirement</t>
  </si>
  <si>
    <t>Evidence_Required</t>
  </si>
  <si>
    <t>Status</t>
  </si>
  <si>
    <t>Industry project list verified</t>
  </si>
  <si>
    <t>Funding source verified as industry</t>
  </si>
  <si>
    <t>PPP conversion applied (if international)</t>
  </si>
  <si>
    <t>Sanction letters uploaded</t>
  </si>
  <si>
    <t>MoUs/agreement copies uploaded</t>
  </si>
  <si>
    <t>Yearwise income reconciliation completed</t>
  </si>
  <si>
    <t>Notes</t>
  </si>
  <si>
    <t>Recommended Dashboards:</t>
  </si>
  <si>
    <t>• Yearwise Industry Funding Trend</t>
  </si>
  <si>
    <t>• Industry Partner Contribution Bar Chart</t>
  </si>
  <si>
    <t>• Departmentwise Income Comparison</t>
  </si>
  <si>
    <t>• Project Funding Distribution</t>
  </si>
  <si>
    <t>• International vs Domestic Industry Funding</t>
  </si>
  <si>
    <t>Insights:</t>
  </si>
  <si>
    <t>• Identifies strongest industry collaborators.</t>
  </si>
  <si>
    <t>• Shows income concentration by department.</t>
  </si>
  <si>
    <t>• Useful for THE Industry Income submission.</t>
  </si>
  <si>
    <t>• Helps in strategic planning for new partnerships.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</si>
</sst>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6</v>
      </c>
      <c r="B1" s="1" t="s">
        <v>28</v>
      </c>
      <c r="C1" s="1" t="s">
        <v>29</v>
      </c>
      <c r="D1" s="1" t="s">
        <v>25</v>
      </c>
      <c r="E1" s="1" t="s">
        <v>30</v>
      </c>
      <c r="F1" s="1" t="s">
        <v>31</v>
      </c>
      <c r="G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32</v>
      </c>
      <c r="B1" s="1" t="s">
        <v>33</v>
      </c>
      <c r="C1" s="1" t="s">
        <v>34</v>
      </c>
    </row>
    <row r="2" spans="1:3">
      <c r="A2" t="s">
        <v>35</v>
      </c>
      <c r="B2">
        <f>Total_Funding_Received / Total_Projects</f>
        <v>0</v>
      </c>
      <c r="C2" t="s">
        <v>38</v>
      </c>
    </row>
    <row r="3" spans="1:3">
      <c r="A3" t="s">
        <v>36</v>
      </c>
      <c r="B3">
        <f>Total_Funding_Received / SUM(All_Partners_Funding)</f>
        <v>0</v>
      </c>
      <c r="C3" t="s">
        <v>39</v>
      </c>
    </row>
    <row r="4" spans="1:3">
      <c r="A4" t="s">
        <v>37</v>
      </c>
      <c r="B4">
        <f>Total_Industry_Funding / SUM(All_Departments_Funding)</f>
        <v>0</v>
      </c>
      <c r="C4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41</v>
      </c>
      <c r="B1" s="1" t="s">
        <v>34</v>
      </c>
    </row>
    <row r="2" spans="1:2">
      <c r="A2" t="s">
        <v>42</v>
      </c>
      <c r="B2" t="s">
        <v>48</v>
      </c>
    </row>
    <row r="3" spans="1:2">
      <c r="A3" t="s">
        <v>43</v>
      </c>
      <c r="B3" t="s">
        <v>49</v>
      </c>
    </row>
    <row r="4" spans="1:2">
      <c r="A4" t="s">
        <v>44</v>
      </c>
      <c r="B4" t="s">
        <v>50</v>
      </c>
    </row>
    <row r="5" spans="1:2">
      <c r="A5" t="s">
        <v>45</v>
      </c>
      <c r="B5" t="s">
        <v>51</v>
      </c>
    </row>
    <row r="6" spans="1:2">
      <c r="A6" t="s">
        <v>46</v>
      </c>
      <c r="B6" t="s">
        <v>52</v>
      </c>
    </row>
    <row r="7" spans="1:2">
      <c r="A7" t="s">
        <v>47</v>
      </c>
      <c r="B7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54</v>
      </c>
      <c r="B1" s="1" t="s">
        <v>55</v>
      </c>
      <c r="C1" s="1" t="s">
        <v>56</v>
      </c>
      <c r="D1" s="1" t="s">
        <v>21</v>
      </c>
    </row>
    <row r="2" spans="1:4">
      <c r="A2" t="s">
        <v>57</v>
      </c>
    </row>
    <row r="3" spans="1:4">
      <c r="A3" t="s">
        <v>58</v>
      </c>
    </row>
    <row r="4" spans="1:4">
      <c r="A4" t="s">
        <v>59</v>
      </c>
    </row>
    <row r="5" spans="1:4">
      <c r="A5" t="s">
        <v>60</v>
      </c>
    </row>
    <row r="6" spans="1:4">
      <c r="A6" t="s">
        <v>61</v>
      </c>
    </row>
    <row r="7" spans="1:4">
      <c r="A7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9" spans="1:1">
      <c r="A9" t="s">
        <v>70</v>
      </c>
    </row>
    <row r="10" spans="1:1">
      <c r="A10" t="s">
        <v>71</v>
      </c>
    </row>
    <row r="11" spans="1:1">
      <c r="A11" t="s">
        <v>72</v>
      </c>
    </row>
    <row r="12" spans="1:1">
      <c r="A12" t="s">
        <v>73</v>
      </c>
    </row>
    <row r="13" spans="1:1">
      <c r="A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Projectwise_Income</vt:lpstr>
      <vt:lpstr>Partnerwise_Summary</vt:lpstr>
      <vt:lpstr>Departmentwise_Summary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2025-12-07T06:46:27Z</dcterms:created>
  <dcterms:modified xsi:type="dcterms:W3CDTF">2025-12-07T06:46:27Z</dcterms:modified>
</cp:coreProperties>
</file>