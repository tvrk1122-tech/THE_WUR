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earch Reputation Data" sheetId="1" state="visible" r:id="rId3"/>
    <sheet name="Subject-Wise Reputation" sheetId="2" state="visible" r:id="rId4"/>
    <sheet name="Survey Response Analysis" sheetId="3" state="visible" r:id="rId5"/>
    <sheet name="Research Excellence Evidence" sheetId="4" state="visible" r:id="rId6"/>
    <sheet name="Faculty Research Visibility" sheetId="5" state="visible" r:id="rId7"/>
    <sheet name="Combined Reputation Score" sheetId="6" state="visible" r:id="rId8"/>
    <sheet name="Year-on-Year Tracker" sheetId="7" state="visible" r:id="rId9"/>
    <sheet name="HEI Improvement Action Plan" sheetId="8" state="visible" r:id="rId10"/>
    <sheet name="Metadata &amp; Instruction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<sst xmlns="http://schemas.openxmlformats.org/spreadsheetml/2006/main" count="264" uniqueCount="214">
  <si>
    <t xml:space="preserve">THE World Reputation Rankings — Research Reputation (50% of Reputation Rankings)</t>
  </si>
  <si>
    <t xml:space="preserve">Academic Reputation Survey by Elsevier | Peer Nomination for Research Excellence | ~40,000+ Respondents | 11 Subject Areas</t>
  </si>
  <si>
    <t xml:space="preserve">S.No.</t>
  </si>
  <si>
    <t xml:space="preserve">HEI Name</t>
  </si>
  <si>
    <t xml:space="preserve">Country</t>
  </si>
  <si>
    <t xml:space="preserve">Year</t>
  </si>
  <si>
    <t xml:space="preserve">Survey Responses Attributed</t>
  </si>
  <si>
    <t xml:space="preserve">Research Nominations Received</t>
  </si>
  <si>
    <t xml:space="preserve">Research Reputation Score (0-100)</t>
  </si>
  <si>
    <t xml:space="preserve">Global Rank (Research Rep)</t>
  </si>
  <si>
    <t xml:space="preserve">Regional Rank (Research Rep)</t>
  </si>
  <si>
    <t xml:space="preserve">National Rank (Research Rep)</t>
  </si>
  <si>
    <t xml:space="preserve">Subject Areas with Nominations</t>
  </si>
  <si>
    <t xml:space="preserve">Strongest Subject (Research)</t>
  </si>
  <si>
    <t xml:space="preserve">Weakest Subject (Research)</t>
  </si>
  <si>
    <t xml:space="preserve">Respondent Countries (No.)</t>
  </si>
  <si>
    <t xml:space="preserve">Score Change vs Previous Year</t>
  </si>
  <si>
    <t xml:space="preserve">Peer Group Avg Score</t>
  </si>
  <si>
    <t xml:space="preserve">Data Source</t>
  </si>
  <si>
    <t xml:space="preserve">Remarks</t>
  </si>
  <si>
    <t xml:space="preserve">THE Research Reputation — Subject Area Breakdown (11 THE Academic Categories)</t>
  </si>
  <si>
    <t xml:space="preserve">Track Research Reputation Across All 11 THE Subject Groups | Identify Strengths &amp; Gaps | Guide Investment</t>
  </si>
  <si>
    <t xml:space="preserve">Arts &amp; Humanities</t>
  </si>
  <si>
    <t xml:space="preserve">Business &amp; Economics</t>
  </si>
  <si>
    <t xml:space="preserve">Clinical &amp; Health</t>
  </si>
  <si>
    <t xml:space="preserve">Computer Science</t>
  </si>
  <si>
    <t xml:space="preserve">Education</t>
  </si>
  <si>
    <t xml:space="preserve">Engineering</t>
  </si>
  <si>
    <t xml:space="preserve">Law</t>
  </si>
  <si>
    <t xml:space="preserve">Life Sciences</t>
  </si>
  <si>
    <t xml:space="preserve">Physical Sciences</t>
  </si>
  <si>
    <t xml:space="preserve">Psychology</t>
  </si>
  <si>
    <t xml:space="preserve">Social Sciences</t>
  </si>
  <si>
    <t xml:space="preserve">Total Score</t>
  </si>
  <si>
    <t xml:space="preserve">THE Research Reputation — Survey Response Volume, Distribution &amp; Quality Analysis</t>
  </si>
  <si>
    <t xml:space="preserve">Respondent Profile | Regional Balance | Seniority | Subject Coverage | International vs Domestic Mentions</t>
  </si>
  <si>
    <t xml:space="preserve">Total Global Responses</t>
  </si>
  <si>
    <t xml:space="preserve">Responses Mentioning HEI</t>
  </si>
  <si>
    <t xml:space="preserve">% of Total Survey</t>
  </si>
  <si>
    <t xml:space="preserve">Respondents from Own Country</t>
  </si>
  <si>
    <t xml:space="preserve">Respondents from Other Countries</t>
  </si>
  <si>
    <t xml:space="preserve">% International Respondents</t>
  </si>
  <si>
    <t xml:space="preserve">Senior Academics (Prof/Assoc)</t>
  </si>
  <si>
    <t xml:space="preserve">Mid-Career Academics</t>
  </si>
  <si>
    <t xml:space="preserve">Early-Career Researchers</t>
  </si>
  <si>
    <t xml:space="preserve">Subject Areas Covered (of 11)</t>
  </si>
  <si>
    <t xml:space="preserve">Avg Respondent H-Index</t>
  </si>
  <si>
    <t xml:space="preserve">THE Research Reputation — Institutional Evidence Portfolio for Research Excellence</t>
  </si>
  <si>
    <t xml:space="preserve">Document Evidence That Drives Research Peer Perception | Publications | Citations | Grants | Awards | Labs | IP</t>
  </si>
  <si>
    <t xml:space="preserve">Scopus Publications (5-yr)</t>
  </si>
  <si>
    <t xml:space="preserve">Total Citations (5-yr)</t>
  </si>
  <si>
    <t xml:space="preserve">FWCI</t>
  </si>
  <si>
    <t xml:space="preserve">H-Index (Institutional)</t>
  </si>
  <si>
    <t xml:space="preserve">Papers in Top 10% Cited</t>
  </si>
  <si>
    <t xml:space="preserve">Highly Cited Researchers</t>
  </si>
  <si>
    <t xml:space="preserve">National Research Awards</t>
  </si>
  <si>
    <t xml:space="preserve">Intl Research Awards</t>
  </si>
  <si>
    <t xml:space="preserve">Total Research Grants (INR Cr)</t>
  </si>
  <si>
    <t xml:space="preserve">Patents Filed</t>
  </si>
  <si>
    <t xml:space="preserve">Centres of Excellence (No.)</t>
  </si>
  <si>
    <t xml:space="preserve">Nature/Science Publications</t>
  </si>
  <si>
    <t xml:space="preserve">Intl Research Collaborations</t>
  </si>
  <si>
    <t xml:space="preserve">THE Research Reputation — Faculty Research Profile, Awards &amp; International Visibility</t>
  </si>
  <si>
    <t xml:space="preserve">Individual Faculty Research Impact | H-Index | Citations | Awards | Editorships | Keynotes | Grants | Fellowships</t>
  </si>
  <si>
    <t xml:space="preserve">Faculty Name</t>
  </si>
  <si>
    <t xml:space="preserve">Department</t>
  </si>
  <si>
    <t xml:space="preserve">Scopus Author ID</t>
  </si>
  <si>
    <t xml:space="preserve">Publications (5-yr)</t>
  </si>
  <si>
    <t xml:space="preserve">Citations (5-yr)</t>
  </si>
  <si>
    <t xml:space="preserve">H-Index</t>
  </si>
  <si>
    <t xml:space="preserve">Research Awards (Natl/Intl)</t>
  </si>
  <si>
    <t xml:space="preserve">Journal Editorships</t>
  </si>
  <si>
    <t xml:space="preserve">Conference Keynotes/Invited</t>
  </si>
  <si>
    <t xml:space="preserve">Research Grants (INR Lakh)</t>
  </si>
  <si>
    <t xml:space="preserve">Intl Collaborations</t>
  </si>
  <si>
    <t xml:space="preserve">Fellowship/Academy Member</t>
  </si>
  <si>
    <t xml:space="preserve">THE World Reputation Rankings — Combined Score: Teaching (50%) + Research (50%)</t>
  </si>
  <si>
    <t xml:space="preserve">Final Reputation Ranking = Teaching Reputation (50%) + Research Reputation (50%) | Top ~200 Most Prestigious</t>
  </si>
  <si>
    <t xml:space="preserve">Teaching Rep Score (0-100)</t>
  </si>
  <si>
    <t xml:space="preserve">Research Rep Score (0-100)</t>
  </si>
  <si>
    <t xml:space="preserve">Weighted Teaching (50%)</t>
  </si>
  <si>
    <t xml:space="preserve">Weighted Research (50%)</t>
  </si>
  <si>
    <t xml:space="preserve">Total Reputation Score (100%)</t>
  </si>
  <si>
    <t xml:space="preserve">Reputation Rank (Global)</t>
  </si>
  <si>
    <t xml:space="preserve">Reputation Rank (Regional)</t>
  </si>
  <si>
    <t xml:space="preserve">Reputation Rank (National)</t>
  </si>
  <si>
    <t xml:space="preserve">THE Research Reputation — Year-on-Year Performance &amp; Ranking Tracker (5-Year Trend)</t>
  </si>
  <si>
    <t xml:space="preserve">Track Annual Research Reputation Score &amp; Rank | Subject Trends | Benchmark Against Peers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</si>
  <si>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</si>
  <si>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</si>
  <si>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</si>
  <si>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</si>
  <si>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</si>
  <si>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</si>
  <si>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5-Yr Change</t>
  </si>
  <si>
    <t xml:space="preserve">5-Yr Avg</t>
  </si>
  <si>
    <t xml:space="preserve">Best</t>
  </si>
  <si>
    <t xml:space="preserve">Worst</t>
  </si>
  <si>
    <t xml:space="preserve">Trend (↑/↓/→)</t>
  </si>
  <si>
    <t xml:space="preserve">Peer Benchmark</t>
  </si>
  <si>
    <t xml:space="preserve">Global Rank (Research Reputation)</t>
  </si>
  <si>
    <t xml:space="preserve">National Rank (Research Reputation)</t>
  </si>
  <si>
    <t xml:space="preserve">International Respondent %</t>
  </si>
  <si>
    <t xml:space="preserve">FWCI (Institutional)</t>
  </si>
  <si>
    <t xml:space="preserve">Combined Reputation Score (Teaching+Research)</t>
  </si>
  <si>
    <t xml:space="preserve">THE Research Reputation — HEI Improvement Action Plan &amp; Strategy Matrix</t>
  </si>
  <si>
    <t xml:space="preserve">Strategic Actions to Improve Research Reputation Score | Visibility | Impact | Grants | Awards | Networks</t>
  </si>
  <si>
    <t xml:space="preserve">Strategy Area</t>
  </si>
  <si>
    <t xml:space="preserve">Current Gap / Issue</t>
  </si>
  <si>
    <t xml:space="preserve">Improvement Action</t>
  </si>
  <si>
    <t xml:space="preserve">Target Outcome</t>
  </si>
  <si>
    <t xml:space="preserve">Responsible Officer</t>
  </si>
  <si>
    <t xml:space="preserve">Timeline</t>
  </si>
  <si>
    <t xml:space="preserve">Evidence / Document</t>
  </si>
  <si>
    <t xml:space="preserve">Budget (INR Lakh)</t>
  </si>
  <si>
    <t xml:space="preserve">Status (✓/IP/✗)</t>
  </si>
  <si>
    <t xml:space="preserve">% Progress</t>
  </si>
  <si>
    <t xml:space="preserve">Publication Impact</t>
  </si>
  <si>
    <t xml:space="preserve">Low FWCI / citation impact</t>
  </si>
  <si>
    <t xml:space="preserve">Publish in Q1/Q2 Scopus journals; co-author with international leaders; improve abstract/keyword quality</t>
  </si>
  <si>
    <t xml:space="preserve">FWCI ≥1.2</t>
  </si>
  <si>
    <t xml:space="preserve">Low top 10% cited papers</t>
  </si>
  <si>
    <t xml:space="preserve">Target high-impact journals; pre-print strategies; engage media for research dissemination</t>
  </si>
  <si>
    <t xml:space="preserve">Top 10% share ≥15%</t>
  </si>
  <si>
    <t xml:space="preserve">Global Visibility</t>
  </si>
  <si>
    <t xml:space="preserve">Low international conference presence</t>
  </si>
  <si>
    <t xml:space="preserve">Fund faculty travel to top conferences; present at Nature/Science partner events; keynote invitations</t>
  </si>
  <si>
    <t xml:space="preserve">Keynotes increasing</t>
  </si>
  <si>
    <t xml:space="preserve">Limited institutional PR for research</t>
  </si>
  <si>
    <t xml:space="preserve">Establish Research Communication Office; press releases for breakthroughs; social media strategy</t>
  </si>
  <si>
    <t xml:space="preserve">PR office active</t>
  </si>
  <si>
    <t xml:space="preserve">Research Awards</t>
  </si>
  <si>
    <t xml:space="preserve">Few nationally/internationally recognized researchers</t>
  </si>
  <si>
    <t xml:space="preserve">Nominate faculty for Shanti Swarup Bhatnagar, INSA, Infosys Prize, Clarivate HCR; support applications</t>
  </si>
  <si>
    <t xml:space="preserve">Awards received</t>
  </si>
  <si>
    <t xml:space="preserve">No Highly Cited Researchers</t>
  </si>
  <si>
    <t xml:space="preserve">Recruit/retain star researchers; create endowed chairs; competitive packages</t>
  </si>
  <si>
    <t xml:space="preserve">HCR ≥1</t>
  </si>
  <si>
    <t xml:space="preserve">Grants &amp; Funding</t>
  </si>
  <si>
    <t xml:space="preserve">Low competitive grant success</t>
  </si>
  <si>
    <t xml:space="preserve">Faculty grant-writing workshops; internal seed grants; DST/SERB/DBT/NRF targeting</t>
  </si>
  <si>
    <t xml:space="preserve">Grant income +50%</t>
  </si>
  <si>
    <t xml:space="preserve">Limited international grants</t>
  </si>
  <si>
    <t xml:space="preserve">Apply to EU Horizon, UK-India, Indo-US, bilateral programmes; SPARC; Newton Fund</t>
  </si>
  <si>
    <t xml:space="preserve">Intl grants secured</t>
  </si>
  <si>
    <t xml:space="preserve">Intl Collaboration</t>
  </si>
  <si>
    <t xml:space="preserve">Low international co-authorship</t>
  </si>
  <si>
    <t xml:space="preserve">Joint research projects; dual-affiliation; visiting fellowships; shared PhD supervision</t>
  </si>
  <si>
    <t xml:space="preserve">Co-auth ≥30%</t>
  </si>
  <si>
    <t xml:space="preserve">Few international MoUs with top universities</t>
  </si>
  <si>
    <t xml:space="preserve">Forge strategic research MoUs with QS/THE top-200 universities; track deliverables</t>
  </si>
  <si>
    <t xml:space="preserve">MoUs active ≥15</t>
  </si>
  <si>
    <t xml:space="preserve">Research Infrastructure</t>
  </si>
  <si>
    <t xml:space="preserve">Weak labs and research facilities</t>
  </si>
  <si>
    <t xml:space="preserve">Invest in state-of-art equipment; central instrumentation; computing clusters; library access</t>
  </si>
  <si>
    <t xml:space="preserve">Infrastructure upgraded</t>
  </si>
  <si>
    <t xml:space="preserve">No institutional repository / open access</t>
  </si>
  <si>
    <t xml:space="preserve">Establish IR; mandate open access deposit; promote green/gold OA; preprint servers</t>
  </si>
  <si>
    <t xml:space="preserve">IR operational</t>
  </si>
  <si>
    <t xml:space="preserve">Faculty Development</t>
  </si>
  <si>
    <t xml:space="preserve">Faculty unaware of reputation mechanics</t>
  </si>
  <si>
    <t xml:space="preserve">Conduct workshops on THE survey, Scopus profiles, H-index optimization, journal selection</t>
  </si>
  <si>
    <t xml:space="preserve">Faculty trained</t>
  </si>
  <si>
    <t xml:space="preserve">Institutional Branding</t>
  </si>
  <si>
    <t xml:space="preserve">Weak research brand globally</t>
  </si>
  <si>
    <t xml:space="preserve">Develop research brand strategy; flagship research centres; annual research report; media outreach</t>
  </si>
  <si>
    <t xml:space="preserve">Brand strengthened</t>
  </si>
  <si>
    <t xml:space="preserve">THE World Reputation Rankings — Research Reputation — Metadata &amp; Instructions</t>
  </si>
  <si>
    <t xml:space="preserve">THE Research Reputation Framework</t>
  </si>
  <si>
    <t xml:space="preserve">#</t>
  </si>
  <si>
    <t xml:space="preserve">Component</t>
  </si>
  <si>
    <t xml:space="preserve">Weight</t>
  </si>
  <si>
    <t xml:space="preserve">Description &amp; Methodology</t>
  </si>
  <si>
    <t xml:space="preserve">Key Data Points</t>
  </si>
  <si>
    <t xml:space="preserve">Freq.</t>
  </si>
  <si>
    <t xml:space="preserve">1</t>
  </si>
  <si>
    <t xml:space="preserve">Research Reputation</t>
  </si>
  <si>
    <t xml:space="preserve">50%</t>
  </si>
  <si>
    <t xml:space="preserve">THE World Reputation Rankings are based on an annual invitation-only Academic Reputation Survey by Elsevier. ~40,000+ scholars worldwide name up to 15 institutions they consider best for RESEARCH in their subject area. Responses weighted by UN region and discipline. Research Reputation = 50% of Reputation Rankings. Also feeds 18% into World Rankings Research Environment pillar.</t>
  </si>
  <si>
    <t xml:space="preserve">Survey nominations, research score (0-100), global/regional/national rank, subject breakdown (11 areas), respondent profile</t>
  </si>
  <si>
    <t xml:space="preserve">Annual</t>
  </si>
  <si>
    <t xml:space="preserve">—</t>
  </si>
  <si>
    <t xml:space="preserve">Survey Methodology</t>
  </si>
  <si>
    <t xml:space="preserve">Same Elsevier survey as Teaching Reputation. Respondents answer SEPARATELY for teaching and research. Only Scopus-published academics invited. Stratified by UN region and 11 subject areas. Each respondent nominates up to 15 best institutions for research.</t>
  </si>
  <si>
    <t xml:space="preserve">~40K+ respondents, 11 subjects, UN regions, Scopus requirement, experience weighting</t>
  </si>
  <si>
    <t xml:space="preserve">Combined Reputation</t>
  </si>
  <si>
    <t xml:space="preserve">100%</t>
  </si>
  <si>
    <t xml:space="preserve">Final THE Reputation Ranking = Teaching Reputation (50%) + Research Reputation (50%). Only ~200 institutions ranked. Combined score used for overall prestige ranking.</t>
  </si>
  <si>
    <t xml:space="preserve">Teaching score, research score, weighted combination, global rank</t>
  </si>
  <si>
    <t xml:space="preserve">Link to World Rankings</t>
  </si>
  <si>
    <t xml:space="preserve">Research Reputation feeds into THE World University Rankings as 18% of the Research Environment pillar (30% overall × 18% reputation = 5.4% of total). Teaching Reputation feeds as 15% of Teaching pillar (30% × 15% = 4.5% of total).</t>
  </si>
  <si>
    <t xml:space="preserve">Reputation → WUR: Research 18% of 30%, Teaching 15% of 30%</t>
  </si>
  <si>
    <t xml:space="preserve">Data Collection &amp; Strategy Instructions</t>
  </si>
  <si>
    <t xml:space="preserve">1. Blue font = INPUT. Black font = AUTO-CALCULATED — do NOT overwrite formulas.</t>
  </si>
  <si>
    <t xml:space="preserve">2. Research Reputation is ENTIRELY perception-based. Score depends on how many global academics nominate your institution as best for RESEARCH in their field.</t>
  </si>
  <si>
    <t xml:space="preserve">3. HEIs cannot directly influence survey responses. Strategy must focus on building genuine research reputation through impact, visibility, and global engagement.</t>
  </si>
  <si>
    <t xml:space="preserve">4. Key Research Reputation Drivers: (a) High-impact publications in top journals (Nature/Science/Lancet/Q1), (b) Highly Cited Researchers, (c) prestigious research awards, (d) international co-authorship, (e) competitive grants, (f) research breakthroughs covered in media, (g) global conference keynotes.</t>
  </si>
  <si>
    <t xml:space="preserve">5. Subject-Wise Tracking: Use sheet 2 for 11 subject area breakdown. Focus on building 2-3 flagship research disciplines to critical mass, then expand.</t>
  </si>
  <si>
    <t xml:space="preserve">6. Research Excellence Evidence: Use sheet 4 to document institutional research metrics — Scopus publications, FWCI, H-index, top 10%, HCR, grants, patents, CoEs, Nature/Science papers.</t>
  </si>
  <si>
    <t xml:space="preserve">7. Faculty Research Visibility: Use sheet 5 for individual faculty profiles — H-index, citations, FWCI, awards, editorships, keynotes, grants, fellowships, patents.</t>
  </si>
  <si>
    <t xml:space="preserve">8. Combined Reputation Score: Sheet 6 auto-calculates Teaching Rep (50%) + Research Rep (50%) = total Reputation Ranking score.</t>
  </si>
  <si>
    <t xml:space="preserve">9. Indian Context: IISc Bangalore is typically the only Indian institution in the top 100 Reputation Rankings. IITs appear in 100-200 range. Strategy for emerging HEIs: build niche research excellence first.</t>
  </si>
  <si>
    <t xml:space="preserve">10. Scopus Profile Critical: ALL faculty must have verified Scopus Author IDs with correct institutional affiliation. High Scopus visibility increases chances of being known to survey respondents.</t>
  </si>
  <si>
    <t xml:space="preserve">11. Action Plan: 14 pre-filled strategic actions covering publication impact, global visibility, awards/HCR, grants, international collaboration, infrastructure, open access, faculty development, branding.</t>
  </si>
  <si>
    <t xml:space="preserve">12. Research Reputation is a long-term investment (10-20 years). Consistent excellence in niche areas, followed by breadth expansion, is the proven path.</t>
  </si>
  <si>
    <t xml:space="preserve">13. Validate: THE Reputation Rankings, Scopus/SciVal, Clarivate InCites/ESI, institutional award records, grant databases, AISHE, NIRF, NAAC SSR.</t>
  </si>
  <si>
    <t xml:space="preserve">THE Rankings Family — How Research Reputation Feeds In</t>
  </si>
  <si>
    <t xml:space="preserve">• THE WORLD REPUTATION RANKINGS = Teaching Reputation (50%) + Research Reputation (50%) → Top ~200 institutions</t>
  </si>
  <si>
    <t xml:space="preserve">• THE WORLD UNIVERSITY RANKINGS — Research Reputation feeds as 18% of Research Environment pillar (= 5.4% of total WUR score)</t>
  </si>
  <si>
    <t xml:space="preserve">• THE WORLD UNIVERSITY RANKINGS — Teaching Reputation feeds as 15% of Teaching pillar (= 4.5% of total WUR score)</t>
  </si>
  <si>
    <t xml:space="preserve">• Combined reputation influence on WUR = 5.4% + 4.5% = 9.9% of total 100% World University Rankings score</t>
  </si>
  <si>
    <t xml:space="preserve">• THE IMPACT RANKINGS — SDG-based; reputation NOT a direct factor (uses SDG evidence instead)</t>
  </si>
  <si>
    <t xml:space="preserve">• THE SUBJECT RANKINGS — Reputation survey contributes to subject-specific rankings with adjusted weights</t>
  </si>
  <si>
    <t xml:space="preserve">• Reputation is the MOST perception-driven metric in THE rankings — built over decades of consistent excellence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</si>
</sst>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0695C"/>
        <bgColor rgb="FF006064"/>
      </patternFill>
    </fill>
    <fill>
      <patternFill patternType="solid">
        <fgColor rgb="FF00897B"/>
        <bgColor rgb="FF00695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004D40"/>
        <bgColor rgb="FF006064"/>
      </patternFill>
    </fill>
    <fill>
      <patternFill patternType="solid">
        <fgColor rgb="FF1B5E20"/>
        <bgColor rgb="FF004D40"/>
      </patternFill>
    </fill>
    <fill>
      <patternFill patternType="solid">
        <fgColor rgb="FF2E7D32"/>
        <bgColor rgb="FF1B5E20"/>
      </patternFill>
    </fill>
    <fill>
      <patternFill patternType="solid">
        <fgColor rgb="FFE65100"/>
        <bgColor rgb="FF993300"/>
      </patternFill>
    </fill>
    <fill>
      <patternFill patternType="solid">
        <fgColor rgb="FF1A237E"/>
        <bgColor rgb="FF000080"/>
      </patternFill>
    </fill>
    <fill>
      <patternFill patternType="solid">
        <fgColor rgb="FF37474F"/>
        <bgColor rgb="FF404040"/>
      </patternFill>
    </fill>
    <fill>
      <patternFill patternType="solid">
        <fgColor rgb="FF006064"/>
        <bgColor rgb="FF00695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97B"/>
      <rgbColor rgb="FFB4B4B4"/>
      <rgbColor rgb="FF808080"/>
      <rgbColor rgb="FF9999FF"/>
      <rgbColor rgb="FF993366"/>
      <rgbColor rgb="FFF2F2F2"/>
      <rgbColor rgb="FFCCFFFF"/>
      <rgbColor rgb="FF660066"/>
      <rgbColor rgb="FFFF8080"/>
      <rgbColor rgb="FF006064"/>
      <rgbColor rgb="FFCCCCFF"/>
      <rgbColor rgb="FF000080"/>
      <rgbColor rgb="FFFF00FF"/>
      <rgbColor rgb="FFFFFF00"/>
      <rgbColor rgb="FF00FFFF"/>
      <rgbColor rgb="FF800080"/>
      <rgbColor rgb="FF800000"/>
      <rgbColor rgb="FF00695C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1A237E"/>
      <rgbColor rgb="FF2E7D32"/>
      <rgbColor rgb="FF004D40"/>
      <rgbColor rgb="FF333300"/>
      <rgbColor rgb="FF993300"/>
      <rgbColor rgb="FF993366"/>
      <rgbColor rgb="FF37474F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A1:R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26"/>
    <col collapsed="false" customWidth="true" hidden="false" outlineLevel="0" max="7" min="7" style="0" width="28"/>
    <col collapsed="false" customWidth="true" hidden="false" outlineLevel="0" max="10" min="8" style="0" width="24"/>
    <col collapsed="false" customWidth="true" hidden="false" outlineLevel="0" max="11" min="11" style="0" width="26"/>
    <col collapsed="false" customWidth="true" hidden="false" outlineLevel="0" max="14" min="12" style="0" width="24"/>
    <col collapsed="false" customWidth="true" hidden="false" outlineLevel="0" max="15" min="15" style="0" width="26"/>
    <col collapsed="false" customWidth="true" hidden="false" outlineLevel="0" max="16" min="16" style="0" width="22"/>
    <col collapsed="false" customWidth="true" hidden="false" outlineLevel="0" max="18" min="17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customFormat="false" ht="15" hidden="false" customHeight="false" outlineLevel="0" collapsed="false">
      <c r="A6" s="6" t="n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customFormat="false" ht="15" hidden="false" customHeight="false" outlineLevel="0" collapsed="false">
      <c r="A8" s="6" t="n">
        <v>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customFormat="false" ht="15" hidden="false" customHeight="false" outlineLevel="0" collapsed="false">
      <c r="A10" s="6" t="n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customFormat="false" ht="15" hidden="false" customHeight="false" outlineLevel="0" collapsed="false">
      <c r="A12" s="6" t="n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customFormat="false" ht="15" hidden="false" customHeight="false" outlineLevel="0" collapsed="false">
      <c r="A14" s="6" t="n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customFormat="false" ht="15" hidden="false" customHeight="false" outlineLevel="0" collapsed="false">
      <c r="A16" s="6" t="n">
        <v>12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customFormat="false" ht="15" hidden="false" customHeight="false" outlineLevel="0" collapsed="false">
      <c r="A18" s="6" t="n">
        <v>14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customFormat="false" ht="15" hidden="false" customHeight="false" outlineLevel="0" collapsed="false">
      <c r="A20" s="6" t="n">
        <v>16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customFormat="false" ht="15" hidden="false" customHeight="false" outlineLevel="0" collapsed="false">
      <c r="A22" s="6" t="n">
        <v>18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customFormat="false" ht="15" hidden="false" customHeight="false" outlineLevel="0" collapsed="false">
      <c r="A24" s="6" t="n">
        <v>20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D40"/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7" min="6" style="0" width="20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4" min="14" style="0" width="20"/>
    <col collapsed="false" customWidth="true" hidden="false" outlineLevel="0" max="15" min="15" style="0" width="18"/>
    <col collapsed="false" customWidth="true" hidden="false" outlineLevel="0" max="16" min="16" style="0" width="14"/>
  </cols>
  <sheetData>
    <row r="1" customFormat="false" ht="30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8" t="s">
        <v>2</v>
      </c>
      <c r="B4" s="8" t="s">
        <v>3</v>
      </c>
      <c r="C4" s="8" t="s">
        <v>5</v>
      </c>
      <c r="D4" s="8" t="s">
        <v>22</v>
      </c>
      <c r="E4" s="8" t="s">
        <v>23</v>
      </c>
      <c r="F4" s="8" t="s">
        <v>24</v>
      </c>
      <c r="G4" s="8" t="s">
        <v>25</v>
      </c>
      <c r="H4" s="8" t="s">
        <v>26</v>
      </c>
      <c r="I4" s="8" t="s">
        <v>27</v>
      </c>
      <c r="J4" s="8" t="s">
        <v>28</v>
      </c>
      <c r="K4" s="8" t="s">
        <v>29</v>
      </c>
      <c r="L4" s="8" t="s">
        <v>30</v>
      </c>
      <c r="M4" s="8" t="s">
        <v>31</v>
      </c>
      <c r="N4" s="8" t="s">
        <v>32</v>
      </c>
      <c r="O4" s="8" t="s">
        <v>33</v>
      </c>
      <c r="P4" s="8" t="s">
        <v>19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customFormat="false" ht="15" hidden="false" customHeight="false" outlineLevel="0" collapsed="false">
      <c r="A6" s="6" t="n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6" t="n">
        <v>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customFormat="false" ht="15" hidden="false" customHeight="false" outlineLevel="0" collapsed="false">
      <c r="A10" s="6" t="n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6" t="n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6" t="n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customFormat="false" ht="15" hidden="false" customHeight="false" outlineLevel="0" collapsed="false">
      <c r="A16" s="6" t="n">
        <v>12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5" hidden="false" customHeight="false" outlineLevel="0" collapsed="false">
      <c r="A18" s="6" t="n">
        <v>14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customFormat="false" ht="15" hidden="false" customHeight="false" outlineLevel="0" collapsed="false">
      <c r="A20" s="6" t="n">
        <v>16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customFormat="false" ht="15" hidden="false" customHeight="false" outlineLevel="0" collapsed="false">
      <c r="A22" s="6" t="n">
        <v>18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customFormat="false" ht="15" hidden="false" customHeight="false" outlineLevel="0" collapsed="false">
      <c r="A24" s="6" t="n">
        <v>20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8" min="7" style="0" width="26"/>
    <col collapsed="false" customWidth="true" hidden="false" outlineLevel="0" max="10" min="9" style="0" width="24"/>
    <col collapsed="false" customWidth="true" hidden="false" outlineLevel="0" max="12" min="11" style="0" width="22"/>
    <col collapsed="false" customWidth="true" hidden="false" outlineLevel="0" max="13" min="13" style="0" width="26"/>
    <col collapsed="false" customWidth="true" hidden="false" outlineLevel="0" max="14" min="14" style="0" width="22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3.85" hidden="false" customHeight="false" outlineLevel="0" collapsed="false">
      <c r="A4" s="9" t="s">
        <v>2</v>
      </c>
      <c r="B4" s="9" t="s">
        <v>3</v>
      </c>
      <c r="C4" s="9" t="s">
        <v>5</v>
      </c>
      <c r="D4" s="9" t="s">
        <v>36</v>
      </c>
      <c r="E4" s="9" t="s">
        <v>37</v>
      </c>
      <c r="F4" s="9" t="s">
        <v>38</v>
      </c>
      <c r="G4" s="9" t="s">
        <v>39</v>
      </c>
      <c r="H4" s="9" t="s">
        <v>40</v>
      </c>
      <c r="I4" s="9" t="s">
        <v>41</v>
      </c>
      <c r="J4" s="9" t="s">
        <v>42</v>
      </c>
      <c r="K4" s="9" t="s">
        <v>43</v>
      </c>
      <c r="L4" s="9" t="s">
        <v>44</v>
      </c>
      <c r="M4" s="9" t="s">
        <v>45</v>
      </c>
      <c r="N4" s="9" t="s">
        <v>46</v>
      </c>
      <c r="O4" s="9" t="s">
        <v>18</v>
      </c>
      <c r="P4" s="9" t="s">
        <v>19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10" t="n">
        <f aca="false">IF(D5&gt;0,E5/D5*100,0)</f>
        <v>0</v>
      </c>
      <c r="G5" s="5"/>
      <c r="H5" s="5"/>
      <c r="I5" s="11" t="n">
        <f aca="false">IF(E5&gt;0,H5/E5*100,0)</f>
        <v>0</v>
      </c>
      <c r="J5" s="5"/>
      <c r="K5" s="5"/>
      <c r="L5" s="5"/>
      <c r="M5" s="5"/>
      <c r="N5" s="5"/>
      <c r="O5" s="5"/>
      <c r="P5" s="5"/>
    </row>
    <row r="6" customFormat="false" ht="15" hidden="false" customHeight="false" outlineLevel="0" collapsed="false">
      <c r="A6" s="6" t="n">
        <v>2</v>
      </c>
      <c r="B6" s="7"/>
      <c r="C6" s="7"/>
      <c r="D6" s="7"/>
      <c r="E6" s="7"/>
      <c r="F6" s="12" t="n">
        <f aca="false">IF(D6&gt;0,E6/D6*100,0)</f>
        <v>0</v>
      </c>
      <c r="G6" s="7"/>
      <c r="H6" s="7"/>
      <c r="I6" s="13" t="n">
        <f aca="false">IF(E6&gt;0,H6/E6*100,0)</f>
        <v>0</v>
      </c>
      <c r="J6" s="7"/>
      <c r="K6" s="7"/>
      <c r="L6" s="7"/>
      <c r="M6" s="7"/>
      <c r="N6" s="7"/>
      <c r="O6" s="7"/>
      <c r="P6" s="7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10" t="n">
        <f aca="false">IF(D7&gt;0,E7/D7*100,0)</f>
        <v>0</v>
      </c>
      <c r="G7" s="5"/>
      <c r="H7" s="5"/>
      <c r="I7" s="11" t="n">
        <f aca="false">IF(E7&gt;0,H7/E7*100,0)</f>
        <v>0</v>
      </c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6" t="n">
        <v>4</v>
      </c>
      <c r="B8" s="7"/>
      <c r="C8" s="7"/>
      <c r="D8" s="7"/>
      <c r="E8" s="7"/>
      <c r="F8" s="12" t="n">
        <f aca="false">IF(D8&gt;0,E8/D8*100,0)</f>
        <v>0</v>
      </c>
      <c r="G8" s="7"/>
      <c r="H8" s="7"/>
      <c r="I8" s="13" t="n">
        <f aca="false">IF(E8&gt;0,H8/E8*100,0)</f>
        <v>0</v>
      </c>
      <c r="J8" s="7"/>
      <c r="K8" s="7"/>
      <c r="L8" s="7"/>
      <c r="M8" s="7"/>
      <c r="N8" s="7"/>
      <c r="O8" s="7"/>
      <c r="P8" s="7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10" t="n">
        <f aca="false">IF(D9&gt;0,E9/D9*100,0)</f>
        <v>0</v>
      </c>
      <c r="G9" s="5"/>
      <c r="H9" s="5"/>
      <c r="I9" s="11" t="n">
        <f aca="false">IF(E9&gt;0,H9/E9*100,0)</f>
        <v>0</v>
      </c>
      <c r="J9" s="5"/>
      <c r="K9" s="5"/>
      <c r="L9" s="5"/>
      <c r="M9" s="5"/>
      <c r="N9" s="5"/>
      <c r="O9" s="5"/>
      <c r="P9" s="5"/>
    </row>
    <row r="10" customFormat="false" ht="15" hidden="false" customHeight="false" outlineLevel="0" collapsed="false">
      <c r="A10" s="6" t="n">
        <v>6</v>
      </c>
      <c r="B10" s="7"/>
      <c r="C10" s="7"/>
      <c r="D10" s="7"/>
      <c r="E10" s="7"/>
      <c r="F10" s="12" t="n">
        <f aca="false">IF(D10&gt;0,E10/D10*100,0)</f>
        <v>0</v>
      </c>
      <c r="G10" s="7"/>
      <c r="H10" s="7"/>
      <c r="I10" s="13" t="n">
        <f aca="false">IF(E10&gt;0,H10/E10*100,0)</f>
        <v>0</v>
      </c>
      <c r="J10" s="7"/>
      <c r="K10" s="7"/>
      <c r="L10" s="7"/>
      <c r="M10" s="7"/>
      <c r="N10" s="7"/>
      <c r="O10" s="7"/>
      <c r="P10" s="7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10" t="n">
        <f aca="false">IF(D11&gt;0,E11/D11*100,0)</f>
        <v>0</v>
      </c>
      <c r="G11" s="5"/>
      <c r="H11" s="5"/>
      <c r="I11" s="11" t="n">
        <f aca="false">IF(E11&gt;0,H11/E11*100,0)</f>
        <v>0</v>
      </c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6" t="n">
        <v>8</v>
      </c>
      <c r="B12" s="7"/>
      <c r="C12" s="7"/>
      <c r="D12" s="7"/>
      <c r="E12" s="7"/>
      <c r="F12" s="12" t="n">
        <f aca="false">IF(D12&gt;0,E12/D12*100,0)</f>
        <v>0</v>
      </c>
      <c r="G12" s="7"/>
      <c r="H12" s="7"/>
      <c r="I12" s="13" t="n">
        <f aca="false">IF(E12&gt;0,H12/E12*100,0)</f>
        <v>0</v>
      </c>
      <c r="J12" s="7"/>
      <c r="K12" s="7"/>
      <c r="L12" s="7"/>
      <c r="M12" s="7"/>
      <c r="N12" s="7"/>
      <c r="O12" s="7"/>
      <c r="P12" s="7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10" t="n">
        <f aca="false">IF(D13&gt;0,E13/D13*100,0)</f>
        <v>0</v>
      </c>
      <c r="G13" s="5"/>
      <c r="H13" s="5"/>
      <c r="I13" s="11" t="n">
        <f aca="false">IF(E13&gt;0,H13/E13*100,0)</f>
        <v>0</v>
      </c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6" t="n">
        <v>10</v>
      </c>
      <c r="B14" s="7"/>
      <c r="C14" s="7"/>
      <c r="D14" s="7"/>
      <c r="E14" s="7"/>
      <c r="F14" s="12" t="n">
        <f aca="false">IF(D14&gt;0,E14/D14*100,0)</f>
        <v>0</v>
      </c>
      <c r="G14" s="7"/>
      <c r="H14" s="7"/>
      <c r="I14" s="13" t="n">
        <f aca="false">IF(E14&gt;0,H14/E14*100,0)</f>
        <v>0</v>
      </c>
      <c r="J14" s="7"/>
      <c r="K14" s="7"/>
      <c r="L14" s="7"/>
      <c r="M14" s="7"/>
      <c r="N14" s="7"/>
      <c r="O14" s="7"/>
      <c r="P14" s="7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10" t="n">
        <f aca="false">IF(D15&gt;0,E15/D15*100,0)</f>
        <v>0</v>
      </c>
      <c r="G15" s="5"/>
      <c r="H15" s="5"/>
      <c r="I15" s="11" t="n">
        <f aca="false">IF(E15&gt;0,H15/E15*100,0)</f>
        <v>0</v>
      </c>
      <c r="J15" s="5"/>
      <c r="K15" s="5"/>
      <c r="L15" s="5"/>
      <c r="M15" s="5"/>
      <c r="N15" s="5"/>
      <c r="O15" s="5"/>
      <c r="P15" s="5"/>
    </row>
    <row r="16" customFormat="false" ht="15" hidden="false" customHeight="false" outlineLevel="0" collapsed="false">
      <c r="A16" s="6" t="n">
        <v>12</v>
      </c>
      <c r="B16" s="7"/>
      <c r="C16" s="7"/>
      <c r="D16" s="7"/>
      <c r="E16" s="7"/>
      <c r="F16" s="12" t="n">
        <f aca="false">IF(D16&gt;0,E16/D16*100,0)</f>
        <v>0</v>
      </c>
      <c r="G16" s="7"/>
      <c r="H16" s="7"/>
      <c r="I16" s="13" t="n">
        <f aca="false">IF(E16&gt;0,H16/E16*100,0)</f>
        <v>0</v>
      </c>
      <c r="J16" s="7"/>
      <c r="K16" s="7"/>
      <c r="L16" s="7"/>
      <c r="M16" s="7"/>
      <c r="N16" s="7"/>
      <c r="O16" s="7"/>
      <c r="P16" s="7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10" t="n">
        <f aca="false">IF(D17&gt;0,E17/D17*100,0)</f>
        <v>0</v>
      </c>
      <c r="G17" s="5"/>
      <c r="H17" s="5"/>
      <c r="I17" s="11" t="n">
        <f aca="false">IF(E17&gt;0,H17/E17*100,0)</f>
        <v>0</v>
      </c>
      <c r="J17" s="5"/>
      <c r="K17" s="5"/>
      <c r="L17" s="5"/>
      <c r="M17" s="5"/>
      <c r="N17" s="5"/>
      <c r="O17" s="5"/>
      <c r="P17" s="5"/>
    </row>
    <row r="18" customFormat="false" ht="15" hidden="false" customHeight="false" outlineLevel="0" collapsed="false">
      <c r="A18" s="6" t="n">
        <v>14</v>
      </c>
      <c r="B18" s="7"/>
      <c r="C18" s="7"/>
      <c r="D18" s="7"/>
      <c r="E18" s="7"/>
      <c r="F18" s="12" t="n">
        <f aca="false">IF(D18&gt;0,E18/D18*100,0)</f>
        <v>0</v>
      </c>
      <c r="G18" s="7"/>
      <c r="H18" s="7"/>
      <c r="I18" s="13" t="n">
        <f aca="false">IF(E18&gt;0,H18/E18*100,0)</f>
        <v>0</v>
      </c>
      <c r="J18" s="7"/>
      <c r="K18" s="7"/>
      <c r="L18" s="7"/>
      <c r="M18" s="7"/>
      <c r="N18" s="7"/>
      <c r="O18" s="7"/>
      <c r="P18" s="7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10" t="n">
        <f aca="false">IF(D19&gt;0,E19/D19*100,0)</f>
        <v>0</v>
      </c>
      <c r="G19" s="5"/>
      <c r="H19" s="5"/>
      <c r="I19" s="11" t="n">
        <f aca="false">IF(E19&gt;0,H19/E19*100,0)</f>
        <v>0</v>
      </c>
      <c r="J19" s="5"/>
      <c r="K19" s="5"/>
      <c r="L19" s="5"/>
      <c r="M19" s="5"/>
      <c r="N19" s="5"/>
      <c r="O19" s="5"/>
      <c r="P19" s="5"/>
    </row>
    <row r="20" customFormat="false" ht="15" hidden="false" customHeight="false" outlineLevel="0" collapsed="false">
      <c r="A20" s="6" t="n">
        <v>16</v>
      </c>
      <c r="B20" s="7"/>
      <c r="C20" s="7"/>
      <c r="D20" s="7"/>
      <c r="E20" s="7"/>
      <c r="F20" s="12" t="n">
        <f aca="false">IF(D20&gt;0,E20/D20*100,0)</f>
        <v>0</v>
      </c>
      <c r="G20" s="7"/>
      <c r="H20" s="7"/>
      <c r="I20" s="13" t="n">
        <f aca="false">IF(E20&gt;0,H20/E20*100,0)</f>
        <v>0</v>
      </c>
      <c r="J20" s="7"/>
      <c r="K20" s="7"/>
      <c r="L20" s="7"/>
      <c r="M20" s="7"/>
      <c r="N20" s="7"/>
      <c r="O20" s="7"/>
      <c r="P20" s="7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10" t="n">
        <f aca="false">IF(D21&gt;0,E21/D21*100,0)</f>
        <v>0</v>
      </c>
      <c r="G21" s="5"/>
      <c r="H21" s="5"/>
      <c r="I21" s="11" t="n">
        <f aca="false">IF(E21&gt;0,H21/E21*100,0)</f>
        <v>0</v>
      </c>
      <c r="J21" s="5"/>
      <c r="K21" s="5"/>
      <c r="L21" s="5"/>
      <c r="M21" s="5"/>
      <c r="N21" s="5"/>
      <c r="O21" s="5"/>
      <c r="P21" s="5"/>
    </row>
    <row r="22" customFormat="false" ht="15" hidden="false" customHeight="false" outlineLevel="0" collapsed="false">
      <c r="A22" s="6" t="n">
        <v>18</v>
      </c>
      <c r="B22" s="7"/>
      <c r="C22" s="7"/>
      <c r="D22" s="7"/>
      <c r="E22" s="7"/>
      <c r="F22" s="12" t="n">
        <f aca="false">IF(D22&gt;0,E22/D22*100,0)</f>
        <v>0</v>
      </c>
      <c r="G22" s="7"/>
      <c r="H22" s="7"/>
      <c r="I22" s="13" t="n">
        <f aca="false">IF(E22&gt;0,H22/E22*100,0)</f>
        <v>0</v>
      </c>
      <c r="J22" s="7"/>
      <c r="K22" s="7"/>
      <c r="L22" s="7"/>
      <c r="M22" s="7"/>
      <c r="N22" s="7"/>
      <c r="O22" s="7"/>
      <c r="P22" s="7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10" t="n">
        <f aca="false">IF(D23&gt;0,E23/D23*100,0)</f>
        <v>0</v>
      </c>
      <c r="G23" s="5"/>
      <c r="H23" s="5"/>
      <c r="I23" s="11" t="n">
        <f aca="false">IF(E23&gt;0,H23/E23*100,0)</f>
        <v>0</v>
      </c>
      <c r="J23" s="5"/>
      <c r="K23" s="5"/>
      <c r="L23" s="5"/>
      <c r="M23" s="5"/>
      <c r="N23" s="5"/>
      <c r="O23" s="5"/>
      <c r="P23" s="5"/>
    </row>
    <row r="24" customFormat="false" ht="15" hidden="false" customHeight="false" outlineLevel="0" collapsed="false">
      <c r="A24" s="6" t="n">
        <v>20</v>
      </c>
      <c r="B24" s="7"/>
      <c r="C24" s="7"/>
      <c r="D24" s="7"/>
      <c r="E24" s="7"/>
      <c r="F24" s="12" t="n">
        <f aca="false">IF(D24&gt;0,E24/D24*100,0)</f>
        <v>0</v>
      </c>
      <c r="G24" s="7"/>
      <c r="H24" s="7"/>
      <c r="I24" s="13" t="n">
        <f aca="false">IF(E24&gt;0,H24/E24*100,0)</f>
        <v>0</v>
      </c>
      <c r="J24" s="7"/>
      <c r="K24" s="7"/>
      <c r="L24" s="7"/>
      <c r="M24" s="7"/>
      <c r="N24" s="7"/>
      <c r="O24" s="7"/>
      <c r="P24" s="7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R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8" min="7" style="0" width="22"/>
    <col collapsed="false" customWidth="true" hidden="false" outlineLevel="0" max="9" min="9" style="0" width="24"/>
    <col collapsed="false" customWidth="true" hidden="false" outlineLevel="0" max="11" min="10" style="0" width="22"/>
    <col collapsed="false" customWidth="true" hidden="false" outlineLevel="0" max="12" min="12" style="0" width="26"/>
    <col collapsed="false" customWidth="true" hidden="false" outlineLevel="0" max="13" min="13" style="0" width="18"/>
    <col collapsed="false" customWidth="true" hidden="false" outlineLevel="0" max="15" min="14" style="0" width="24"/>
    <col collapsed="false" customWidth="true" hidden="false" outlineLevel="0" max="16" min="16" style="0" width="26"/>
    <col collapsed="false" customWidth="true" hidden="false" outlineLevel="0" max="18" min="17" style="0" width="14"/>
  </cols>
  <sheetData>
    <row r="1" customFormat="false" ht="30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4.75" hidden="false" customHeight="true" outlineLevel="0" collapsed="false">
      <c r="A2" s="2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3.85" hidden="false" customHeight="false" outlineLevel="0" collapsed="false">
      <c r="A4" s="14" t="s">
        <v>2</v>
      </c>
      <c r="B4" s="14" t="s">
        <v>3</v>
      </c>
      <c r="C4" s="14" t="s">
        <v>5</v>
      </c>
      <c r="D4" s="14" t="s">
        <v>49</v>
      </c>
      <c r="E4" s="14" t="s">
        <v>50</v>
      </c>
      <c r="F4" s="14" t="s">
        <v>51</v>
      </c>
      <c r="G4" s="14" t="s">
        <v>52</v>
      </c>
      <c r="H4" s="14" t="s">
        <v>53</v>
      </c>
      <c r="I4" s="14" t="s">
        <v>54</v>
      </c>
      <c r="J4" s="14" t="s">
        <v>55</v>
      </c>
      <c r="K4" s="14" t="s">
        <v>56</v>
      </c>
      <c r="L4" s="14" t="s">
        <v>57</v>
      </c>
      <c r="M4" s="14" t="s">
        <v>58</v>
      </c>
      <c r="N4" s="14" t="s">
        <v>59</v>
      </c>
      <c r="O4" s="14" t="s">
        <v>60</v>
      </c>
      <c r="P4" s="14" t="s">
        <v>61</v>
      </c>
      <c r="Q4" s="14" t="s">
        <v>18</v>
      </c>
      <c r="R4" s="14" t="s">
        <v>19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customFormat="false" ht="15" hidden="false" customHeight="false" outlineLevel="0" collapsed="false">
      <c r="A6" s="6" t="n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customFormat="false" ht="15" hidden="false" customHeight="false" outlineLevel="0" collapsed="false">
      <c r="A8" s="6" t="n">
        <v>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customFormat="false" ht="15" hidden="false" customHeight="false" outlineLevel="0" collapsed="false">
      <c r="A10" s="6" t="n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customFormat="false" ht="15" hidden="false" customHeight="false" outlineLevel="0" collapsed="false">
      <c r="A12" s="6" t="n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customFormat="false" ht="15" hidden="false" customHeight="false" outlineLevel="0" collapsed="false">
      <c r="A14" s="6" t="n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customFormat="false" ht="15" hidden="false" customHeight="false" outlineLevel="0" collapsed="false">
      <c r="A16" s="6" t="n">
        <v>12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customFormat="false" ht="15" hidden="false" customHeight="false" outlineLevel="0" collapsed="false">
      <c r="A18" s="6" t="n">
        <v>14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customFormat="false" ht="15" hidden="false" customHeight="false" outlineLevel="0" collapsed="false">
      <c r="A20" s="6" t="n">
        <v>16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customFormat="false" ht="15" hidden="false" customHeight="false" outlineLevel="0" collapsed="false">
      <c r="A22" s="6" t="n">
        <v>18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customFormat="false" ht="15" hidden="false" customHeight="false" outlineLevel="0" collapsed="false">
      <c r="A24" s="6" t="n">
        <v>20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R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7" min="5" style="0" width="20"/>
    <col collapsed="false" customWidth="true" hidden="false" outlineLevel="0" max="9" min="8" style="0" width="14"/>
    <col collapsed="false" customWidth="true" hidden="false" outlineLevel="0" max="10" min="10" style="0" width="24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4" min="13" style="0" width="22"/>
    <col collapsed="false" customWidth="true" hidden="false" outlineLevel="0" max="15" min="15" style="0" width="24"/>
    <col collapsed="false" customWidth="true" hidden="false" outlineLevel="0" max="16" min="16" style="0" width="18"/>
    <col collapsed="false" customWidth="true" hidden="false" outlineLevel="0" max="18" min="17" style="0" width="14"/>
  </cols>
  <sheetData>
    <row r="1" customFormat="false" ht="30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4.75" hidden="false" customHeight="true" outlineLevel="0" collapsed="false">
      <c r="A2" s="2" t="s">
        <v>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3.85" hidden="false" customHeight="false" outlineLevel="0" collapsed="false">
      <c r="A4" s="15" t="s">
        <v>2</v>
      </c>
      <c r="B4" s="15" t="s">
        <v>3</v>
      </c>
      <c r="C4" s="15" t="s">
        <v>64</v>
      </c>
      <c r="D4" s="15" t="s">
        <v>65</v>
      </c>
      <c r="E4" s="15" t="s">
        <v>66</v>
      </c>
      <c r="F4" s="15" t="s">
        <v>67</v>
      </c>
      <c r="G4" s="15" t="s">
        <v>68</v>
      </c>
      <c r="H4" s="15" t="s">
        <v>69</v>
      </c>
      <c r="I4" s="15" t="s">
        <v>51</v>
      </c>
      <c r="J4" s="15" t="s">
        <v>70</v>
      </c>
      <c r="K4" s="15" t="s">
        <v>71</v>
      </c>
      <c r="L4" s="15" t="s">
        <v>72</v>
      </c>
      <c r="M4" s="15" t="s">
        <v>73</v>
      </c>
      <c r="N4" s="15" t="s">
        <v>74</v>
      </c>
      <c r="O4" s="15" t="s">
        <v>75</v>
      </c>
      <c r="P4" s="15" t="s">
        <v>58</v>
      </c>
      <c r="Q4" s="15" t="s">
        <v>18</v>
      </c>
      <c r="R4" s="15" t="s">
        <v>19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customFormat="false" ht="15" hidden="false" customHeight="false" outlineLevel="0" collapsed="false">
      <c r="A6" s="6" t="n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customFormat="false" ht="15" hidden="false" customHeight="false" outlineLevel="0" collapsed="false">
      <c r="A8" s="6" t="n">
        <v>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customFormat="false" ht="15" hidden="false" customHeight="false" outlineLevel="0" collapsed="false">
      <c r="A10" s="6" t="n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customFormat="false" ht="15" hidden="false" customHeight="false" outlineLevel="0" collapsed="false">
      <c r="A12" s="6" t="n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customFormat="false" ht="15" hidden="false" customHeight="false" outlineLevel="0" collapsed="false">
      <c r="A14" s="6" t="n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customFormat="false" ht="15" hidden="false" customHeight="false" outlineLevel="0" collapsed="false">
      <c r="A16" s="6" t="n">
        <v>12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customFormat="false" ht="15" hidden="false" customHeight="false" outlineLevel="0" collapsed="false">
      <c r="A18" s="6" t="n">
        <v>14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customFormat="false" ht="15" hidden="false" customHeight="false" outlineLevel="0" collapsed="false">
      <c r="A20" s="6" t="n">
        <v>16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customFormat="false" ht="15" hidden="false" customHeight="false" outlineLevel="0" collapsed="false">
      <c r="A22" s="6" t="n">
        <v>18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customFormat="false" ht="15" hidden="false" customHeight="false" outlineLevel="0" collapsed="false">
      <c r="A24" s="6" t="n">
        <v>20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customFormat="false" ht="15" hidden="false" customHeight="false" outlineLevel="0" collapsed="false">
      <c r="A25" s="4" t="n">
        <v>21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customFormat="false" ht="15" hidden="false" customHeight="false" outlineLevel="0" collapsed="false">
      <c r="A26" s="6" t="n">
        <v>22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customFormat="false" ht="15" hidden="false" customHeight="false" outlineLevel="0" collapsed="false">
      <c r="A27" s="4" t="n">
        <v>23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customFormat="false" ht="15" hidden="false" customHeight="false" outlineLevel="0" collapsed="false">
      <c r="A28" s="6" t="n">
        <v>24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customFormat="false" ht="15" hidden="false" customHeight="false" outlineLevel="0" collapsed="false">
      <c r="A29" s="4" t="n">
        <v>25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customFormat="false" ht="15" hidden="false" customHeight="false" outlineLevel="0" collapsed="false">
      <c r="A30" s="6" t="n">
        <v>26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customFormat="false" ht="15" hidden="false" customHeight="false" outlineLevel="0" collapsed="false">
      <c r="A31" s="4" t="n">
        <v>27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customFormat="false" ht="15" hidden="false" customHeight="false" outlineLevel="0" collapsed="false">
      <c r="A32" s="6" t="n">
        <v>28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customFormat="false" ht="15" hidden="false" customHeight="false" outlineLevel="0" collapsed="false">
      <c r="A33" s="4" t="n">
        <v>29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customFormat="false" ht="15" hidden="false" customHeight="false" outlineLevel="0" collapsed="false">
      <c r="A34" s="6" t="n">
        <v>30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37E"/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24"/>
    <col collapsed="false" customWidth="true" hidden="false" outlineLevel="0" max="8" min="7" style="0" width="22"/>
    <col collapsed="false" customWidth="true" hidden="false" outlineLevel="0" max="9" min="9" style="0" width="26"/>
    <col collapsed="false" customWidth="true" hidden="false" outlineLevel="0" max="10" min="10" style="0" width="22"/>
    <col collapsed="false" customWidth="true" hidden="false" outlineLevel="0" max="12" min="11" style="0" width="24"/>
    <col collapsed="false" customWidth="true" hidden="false" outlineLevel="0" max="14" min="13" style="0" width="14"/>
  </cols>
  <sheetData>
    <row r="1" customFormat="false" ht="30" hidden="false" customHeight="true" outlineLevel="0" collapsed="false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.75" hidden="false" customHeight="true" outlineLevel="0" collapsed="false">
      <c r="A2" s="2" t="s">
        <v>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3.85" hidden="false" customHeight="false" outlineLevel="0" collapsed="false">
      <c r="A4" s="16" t="s">
        <v>2</v>
      </c>
      <c r="B4" s="16" t="s">
        <v>3</v>
      </c>
      <c r="C4" s="16" t="s">
        <v>4</v>
      </c>
      <c r="D4" s="16" t="s">
        <v>5</v>
      </c>
      <c r="E4" s="16" t="s">
        <v>78</v>
      </c>
      <c r="F4" s="16" t="s">
        <v>79</v>
      </c>
      <c r="G4" s="16" t="s">
        <v>80</v>
      </c>
      <c r="H4" s="16" t="s">
        <v>81</v>
      </c>
      <c r="I4" s="16" t="s">
        <v>82</v>
      </c>
      <c r="J4" s="16" t="s">
        <v>83</v>
      </c>
      <c r="K4" s="16" t="s">
        <v>84</v>
      </c>
      <c r="L4" s="16" t="s">
        <v>85</v>
      </c>
      <c r="M4" s="16" t="s">
        <v>18</v>
      </c>
      <c r="N4" s="16" t="s">
        <v>19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17" t="n">
        <f aca="false">E5*0.5</f>
        <v>0</v>
      </c>
      <c r="H5" s="17" t="n">
        <f aca="false">F5*0.5</f>
        <v>0</v>
      </c>
      <c r="I5" s="17" t="n">
        <f aca="false">G5+H5</f>
        <v>0</v>
      </c>
      <c r="J5" s="5"/>
      <c r="K5" s="5"/>
      <c r="L5" s="5"/>
      <c r="M5" s="5"/>
      <c r="N5" s="5"/>
    </row>
    <row r="6" customFormat="false" ht="15" hidden="false" customHeight="false" outlineLevel="0" collapsed="false">
      <c r="A6" s="6" t="n">
        <v>2</v>
      </c>
      <c r="B6" s="7"/>
      <c r="C6" s="7"/>
      <c r="D6" s="7"/>
      <c r="E6" s="7"/>
      <c r="F6" s="7"/>
      <c r="G6" s="18" t="n">
        <f aca="false">E6*0.5</f>
        <v>0</v>
      </c>
      <c r="H6" s="18" t="n">
        <f aca="false">F6*0.5</f>
        <v>0</v>
      </c>
      <c r="I6" s="18" t="n">
        <f aca="false">G6+H6</f>
        <v>0</v>
      </c>
      <c r="J6" s="7"/>
      <c r="K6" s="7"/>
      <c r="L6" s="7"/>
      <c r="M6" s="7"/>
      <c r="N6" s="7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17" t="n">
        <f aca="false">E7*0.5</f>
        <v>0</v>
      </c>
      <c r="H7" s="17" t="n">
        <f aca="false">F7*0.5</f>
        <v>0</v>
      </c>
      <c r="I7" s="17" t="n">
        <f aca="false">G7+H7</f>
        <v>0</v>
      </c>
      <c r="J7" s="5"/>
      <c r="K7" s="5"/>
      <c r="L7" s="5"/>
      <c r="M7" s="5"/>
      <c r="N7" s="5"/>
    </row>
    <row r="8" customFormat="false" ht="15" hidden="false" customHeight="false" outlineLevel="0" collapsed="false">
      <c r="A8" s="6" t="n">
        <v>4</v>
      </c>
      <c r="B8" s="7"/>
      <c r="C8" s="7"/>
      <c r="D8" s="7"/>
      <c r="E8" s="7"/>
      <c r="F8" s="7"/>
      <c r="G8" s="18" t="n">
        <f aca="false">E8*0.5</f>
        <v>0</v>
      </c>
      <c r="H8" s="18" t="n">
        <f aca="false">F8*0.5</f>
        <v>0</v>
      </c>
      <c r="I8" s="18" t="n">
        <f aca="false">G8+H8</f>
        <v>0</v>
      </c>
      <c r="J8" s="7"/>
      <c r="K8" s="7"/>
      <c r="L8" s="7"/>
      <c r="M8" s="7"/>
      <c r="N8" s="7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17" t="n">
        <f aca="false">E9*0.5</f>
        <v>0</v>
      </c>
      <c r="H9" s="17" t="n">
        <f aca="false">F9*0.5</f>
        <v>0</v>
      </c>
      <c r="I9" s="17" t="n">
        <f aca="false">G9+H9</f>
        <v>0</v>
      </c>
      <c r="J9" s="5"/>
      <c r="K9" s="5"/>
      <c r="L9" s="5"/>
      <c r="M9" s="5"/>
      <c r="N9" s="5"/>
    </row>
    <row r="10" customFormat="false" ht="15" hidden="false" customHeight="false" outlineLevel="0" collapsed="false">
      <c r="A10" s="6" t="n">
        <v>6</v>
      </c>
      <c r="B10" s="7"/>
      <c r="C10" s="7"/>
      <c r="D10" s="7"/>
      <c r="E10" s="7"/>
      <c r="F10" s="7"/>
      <c r="G10" s="18" t="n">
        <f aca="false">E10*0.5</f>
        <v>0</v>
      </c>
      <c r="H10" s="18" t="n">
        <f aca="false">F10*0.5</f>
        <v>0</v>
      </c>
      <c r="I10" s="18" t="n">
        <f aca="false">G10+H10</f>
        <v>0</v>
      </c>
      <c r="J10" s="7"/>
      <c r="K10" s="7"/>
      <c r="L10" s="7"/>
      <c r="M10" s="7"/>
      <c r="N10" s="7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17" t="n">
        <f aca="false">E11*0.5</f>
        <v>0</v>
      </c>
      <c r="H11" s="17" t="n">
        <f aca="false">F11*0.5</f>
        <v>0</v>
      </c>
      <c r="I11" s="17" t="n">
        <f aca="false">G11+H11</f>
        <v>0</v>
      </c>
      <c r="J11" s="5"/>
      <c r="K11" s="5"/>
      <c r="L11" s="5"/>
      <c r="M11" s="5"/>
      <c r="N11" s="5"/>
    </row>
    <row r="12" customFormat="false" ht="15" hidden="false" customHeight="false" outlineLevel="0" collapsed="false">
      <c r="A12" s="6" t="n">
        <v>8</v>
      </c>
      <c r="B12" s="7"/>
      <c r="C12" s="7"/>
      <c r="D12" s="7"/>
      <c r="E12" s="7"/>
      <c r="F12" s="7"/>
      <c r="G12" s="18" t="n">
        <f aca="false">E12*0.5</f>
        <v>0</v>
      </c>
      <c r="H12" s="18" t="n">
        <f aca="false">F12*0.5</f>
        <v>0</v>
      </c>
      <c r="I12" s="18" t="n">
        <f aca="false">G12+H12</f>
        <v>0</v>
      </c>
      <c r="J12" s="7"/>
      <c r="K12" s="7"/>
      <c r="L12" s="7"/>
      <c r="M12" s="7"/>
      <c r="N12" s="7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17" t="n">
        <f aca="false">E13*0.5</f>
        <v>0</v>
      </c>
      <c r="H13" s="17" t="n">
        <f aca="false">F13*0.5</f>
        <v>0</v>
      </c>
      <c r="I13" s="17" t="n">
        <f aca="false">G13+H13</f>
        <v>0</v>
      </c>
      <c r="J13" s="5"/>
      <c r="K13" s="5"/>
      <c r="L13" s="5"/>
      <c r="M13" s="5"/>
      <c r="N13" s="5"/>
    </row>
    <row r="14" customFormat="false" ht="15" hidden="false" customHeight="false" outlineLevel="0" collapsed="false">
      <c r="A14" s="6" t="n">
        <v>10</v>
      </c>
      <c r="B14" s="7"/>
      <c r="C14" s="7"/>
      <c r="D14" s="7"/>
      <c r="E14" s="7"/>
      <c r="F14" s="7"/>
      <c r="G14" s="18" t="n">
        <f aca="false">E14*0.5</f>
        <v>0</v>
      </c>
      <c r="H14" s="18" t="n">
        <f aca="false">F14*0.5</f>
        <v>0</v>
      </c>
      <c r="I14" s="18" t="n">
        <f aca="false">G14+H14</f>
        <v>0</v>
      </c>
      <c r="J14" s="7"/>
      <c r="K14" s="7"/>
      <c r="L14" s="7"/>
      <c r="M14" s="7"/>
      <c r="N14" s="7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17" t="n">
        <f aca="false">E15*0.5</f>
        <v>0</v>
      </c>
      <c r="H15" s="17" t="n">
        <f aca="false">F15*0.5</f>
        <v>0</v>
      </c>
      <c r="I15" s="17" t="n">
        <f aca="false">G15+H15</f>
        <v>0</v>
      </c>
      <c r="J15" s="5"/>
      <c r="K15" s="5"/>
      <c r="L15" s="5"/>
      <c r="M15" s="5"/>
      <c r="N15" s="5"/>
    </row>
    <row r="16" customFormat="false" ht="15" hidden="false" customHeight="false" outlineLevel="0" collapsed="false">
      <c r="A16" s="6" t="n">
        <v>12</v>
      </c>
      <c r="B16" s="7"/>
      <c r="C16" s="7"/>
      <c r="D16" s="7"/>
      <c r="E16" s="7"/>
      <c r="F16" s="7"/>
      <c r="G16" s="18" t="n">
        <f aca="false">E16*0.5</f>
        <v>0</v>
      </c>
      <c r="H16" s="18" t="n">
        <f aca="false">F16*0.5</f>
        <v>0</v>
      </c>
      <c r="I16" s="18" t="n">
        <f aca="false">G16+H16</f>
        <v>0</v>
      </c>
      <c r="J16" s="7"/>
      <c r="K16" s="7"/>
      <c r="L16" s="7"/>
      <c r="M16" s="7"/>
      <c r="N16" s="7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17" t="n">
        <f aca="false">E17*0.5</f>
        <v>0</v>
      </c>
      <c r="H17" s="17" t="n">
        <f aca="false">F17*0.5</f>
        <v>0</v>
      </c>
      <c r="I17" s="17" t="n">
        <f aca="false">G17+H17</f>
        <v>0</v>
      </c>
      <c r="J17" s="5"/>
      <c r="K17" s="5"/>
      <c r="L17" s="5"/>
      <c r="M17" s="5"/>
      <c r="N17" s="5"/>
    </row>
    <row r="18" customFormat="false" ht="15" hidden="false" customHeight="false" outlineLevel="0" collapsed="false">
      <c r="A18" s="6" t="n">
        <v>14</v>
      </c>
      <c r="B18" s="7"/>
      <c r="C18" s="7"/>
      <c r="D18" s="7"/>
      <c r="E18" s="7"/>
      <c r="F18" s="7"/>
      <c r="G18" s="18" t="n">
        <f aca="false">E18*0.5</f>
        <v>0</v>
      </c>
      <c r="H18" s="18" t="n">
        <f aca="false">F18*0.5</f>
        <v>0</v>
      </c>
      <c r="I18" s="18" t="n">
        <f aca="false">G18+H18</f>
        <v>0</v>
      </c>
      <c r="J18" s="7"/>
      <c r="K18" s="7"/>
      <c r="L18" s="7"/>
      <c r="M18" s="7"/>
      <c r="N18" s="7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17" t="n">
        <f aca="false">E19*0.5</f>
        <v>0</v>
      </c>
      <c r="H19" s="17" t="n">
        <f aca="false">F19*0.5</f>
        <v>0</v>
      </c>
      <c r="I19" s="17" t="n">
        <f aca="false">G19+H19</f>
        <v>0</v>
      </c>
      <c r="J19" s="5"/>
      <c r="K19" s="5"/>
      <c r="L19" s="5"/>
      <c r="M19" s="5"/>
      <c r="N19" s="5"/>
    </row>
    <row r="20" customFormat="false" ht="15" hidden="false" customHeight="false" outlineLevel="0" collapsed="false">
      <c r="A20" s="6" t="n">
        <v>16</v>
      </c>
      <c r="B20" s="7"/>
      <c r="C20" s="7"/>
      <c r="D20" s="7"/>
      <c r="E20" s="7"/>
      <c r="F20" s="7"/>
      <c r="G20" s="18" t="n">
        <f aca="false">E20*0.5</f>
        <v>0</v>
      </c>
      <c r="H20" s="18" t="n">
        <f aca="false">F20*0.5</f>
        <v>0</v>
      </c>
      <c r="I20" s="18" t="n">
        <f aca="false">G20+H20</f>
        <v>0</v>
      </c>
      <c r="J20" s="7"/>
      <c r="K20" s="7"/>
      <c r="L20" s="7"/>
      <c r="M20" s="7"/>
      <c r="N20" s="7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17" t="n">
        <f aca="false">E21*0.5</f>
        <v>0</v>
      </c>
      <c r="H21" s="17" t="n">
        <f aca="false">F21*0.5</f>
        <v>0</v>
      </c>
      <c r="I21" s="17" t="n">
        <f aca="false">G21+H21</f>
        <v>0</v>
      </c>
      <c r="J21" s="5"/>
      <c r="K21" s="5"/>
      <c r="L21" s="5"/>
      <c r="M21" s="5"/>
      <c r="N21" s="5"/>
    </row>
    <row r="22" customFormat="false" ht="15" hidden="false" customHeight="false" outlineLevel="0" collapsed="false">
      <c r="A22" s="6" t="n">
        <v>18</v>
      </c>
      <c r="B22" s="7"/>
      <c r="C22" s="7"/>
      <c r="D22" s="7"/>
      <c r="E22" s="7"/>
      <c r="F22" s="7"/>
      <c r="G22" s="18" t="n">
        <f aca="false">E22*0.5</f>
        <v>0</v>
      </c>
      <c r="H22" s="18" t="n">
        <f aca="false">F22*0.5</f>
        <v>0</v>
      </c>
      <c r="I22" s="18" t="n">
        <f aca="false">G22+H22</f>
        <v>0</v>
      </c>
      <c r="J22" s="7"/>
      <c r="K22" s="7"/>
      <c r="L22" s="7"/>
      <c r="M22" s="7"/>
      <c r="N22" s="7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17" t="n">
        <f aca="false">E23*0.5</f>
        <v>0</v>
      </c>
      <c r="H23" s="17" t="n">
        <f aca="false">F23*0.5</f>
        <v>0</v>
      </c>
      <c r="I23" s="17" t="n">
        <f aca="false">G23+H23</f>
        <v>0</v>
      </c>
      <c r="J23" s="5"/>
      <c r="K23" s="5"/>
      <c r="L23" s="5"/>
      <c r="M23" s="5"/>
      <c r="N23" s="5"/>
    </row>
    <row r="24" customFormat="false" ht="15" hidden="false" customHeight="false" outlineLevel="0" collapsed="false">
      <c r="A24" s="6" t="n">
        <v>20</v>
      </c>
      <c r="B24" s="7"/>
      <c r="C24" s="7"/>
      <c r="D24" s="7"/>
      <c r="E24" s="7"/>
      <c r="F24" s="7"/>
      <c r="G24" s="18" t="n">
        <f aca="false">E24*0.5</f>
        <v>0</v>
      </c>
      <c r="H24" s="18" t="n">
        <f aca="false">F24*0.5</f>
        <v>0</v>
      </c>
      <c r="I24" s="18" t="n">
        <f aca="false">G24+H24</f>
        <v>0</v>
      </c>
      <c r="J24" s="7"/>
      <c r="K24" s="7"/>
      <c r="L24" s="7"/>
      <c r="M24" s="7"/>
      <c r="N24" s="7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74F"/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8" min="4" style="0" width="12"/>
    <col collapsed="false" customWidth="true" hidden="false" outlineLevel="0" max="10" min="9" style="0" width="14"/>
    <col collapsed="false" customWidth="true" hidden="false" outlineLevel="0" max="12" min="11" style="0" width="12"/>
    <col collapsed="false" customWidth="true" hidden="false" outlineLevel="0" max="13" min="13" style="0" width="16"/>
    <col collapsed="false" customWidth="true" hidden="false" outlineLevel="0" max="14" min="14" style="0" width="20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19" t="s">
        <v>2</v>
      </c>
      <c r="B4" s="19" t="s">
        <v>3</v>
      </c>
      <c r="C4" s="19" t="s">
        <v>88</v>
      </c>
      <c r="D4" s="19" t="s">
        <v>89</v>
      </c>
      <c r="E4" s="19" t="s">
        <v>90</v>
      </c>
      <c r="F4" s="19" t="s">
        <v>91</v>
      </c>
      <c r="G4" s="19" t="s">
        <v>92</v>
      </c>
      <c r="H4" s="19" t="s">
        <v>93</v>
      </c>
      <c r="I4" s="19" t="s">
        <v>94</v>
      </c>
      <c r="J4" s="19" t="s">
        <v>95</v>
      </c>
      <c r="K4" s="19" t="s">
        <v>96</v>
      </c>
      <c r="L4" s="19" t="s">
        <v>97</v>
      </c>
      <c r="M4" s="19" t="s">
        <v>98</v>
      </c>
      <c r="N4" s="19" t="s">
        <v>99</v>
      </c>
      <c r="O4" s="19" t="s">
        <v>18</v>
      </c>
      <c r="P4" s="19" t="s">
        <v>19</v>
      </c>
    </row>
    <row r="5" customFormat="false" ht="23.85" hidden="false" customHeight="false" outlineLevel="0" collapsed="false">
      <c r="A5" s="4" t="n">
        <v>1</v>
      </c>
      <c r="B5" s="5"/>
      <c r="C5" s="20" t="s">
        <v>8</v>
      </c>
      <c r="D5" s="5"/>
      <c r="E5" s="5"/>
      <c r="F5" s="5"/>
      <c r="G5" s="5"/>
      <c r="H5" s="5"/>
      <c r="I5" s="21" t="n">
        <f aca="false">H5-D5</f>
        <v>0</v>
      </c>
      <c r="J5" s="21" t="n">
        <f aca="false">IF(COUNTA(D5:H5)&gt;0,AVERAGE(D5:H5),0)</f>
        <v>0</v>
      </c>
      <c r="K5" s="21" t="n">
        <f aca="false">MAX(D5:H5)</f>
        <v>0</v>
      </c>
      <c r="L5" s="21" t="n">
        <f aca="false">MIN(D5:H5)</f>
        <v>0</v>
      </c>
      <c r="M5" s="5"/>
      <c r="N5" s="5"/>
      <c r="O5" s="5"/>
      <c r="P5" s="5"/>
    </row>
    <row r="6" customFormat="false" ht="23.85" hidden="false" customHeight="false" outlineLevel="0" collapsed="false">
      <c r="A6" s="6" t="n">
        <v>2</v>
      </c>
      <c r="B6" s="7"/>
      <c r="C6" s="22" t="s">
        <v>100</v>
      </c>
      <c r="D6" s="7"/>
      <c r="E6" s="7"/>
      <c r="F6" s="7"/>
      <c r="G6" s="7"/>
      <c r="H6" s="7"/>
      <c r="I6" s="23" t="n">
        <f aca="false">H6-D6</f>
        <v>0</v>
      </c>
      <c r="J6" s="23" t="n">
        <f aca="false">IF(COUNTA(D6:H6)&gt;0,AVERAGE(D6:H6),0)</f>
        <v>0</v>
      </c>
      <c r="K6" s="23" t="n">
        <f aca="false">MAX(D6:H6)</f>
        <v>0</v>
      </c>
      <c r="L6" s="23" t="n">
        <f aca="false">MIN(D6:H6)</f>
        <v>0</v>
      </c>
      <c r="M6" s="7"/>
      <c r="N6" s="7"/>
      <c r="O6" s="7"/>
      <c r="P6" s="7"/>
    </row>
    <row r="7" customFormat="false" ht="23.85" hidden="false" customHeight="false" outlineLevel="0" collapsed="false">
      <c r="A7" s="4" t="n">
        <v>3</v>
      </c>
      <c r="B7" s="5"/>
      <c r="C7" s="20" t="s">
        <v>101</v>
      </c>
      <c r="D7" s="5"/>
      <c r="E7" s="5"/>
      <c r="F7" s="5"/>
      <c r="G7" s="5"/>
      <c r="H7" s="5"/>
      <c r="I7" s="21" t="n">
        <f aca="false">H7-D7</f>
        <v>0</v>
      </c>
      <c r="J7" s="21" t="n">
        <f aca="false">IF(COUNTA(D7:H7)&gt;0,AVERAGE(D7:H7),0)</f>
        <v>0</v>
      </c>
      <c r="K7" s="21" t="n">
        <f aca="false">MAX(D7:H7)</f>
        <v>0</v>
      </c>
      <c r="L7" s="21" t="n">
        <f aca="false">MIN(D7:H7)</f>
        <v>0</v>
      </c>
      <c r="M7" s="5"/>
      <c r="N7" s="5"/>
      <c r="O7" s="5"/>
      <c r="P7" s="5"/>
    </row>
    <row r="8" customFormat="false" ht="15" hidden="false" customHeight="false" outlineLevel="0" collapsed="false">
      <c r="A8" s="6" t="n">
        <v>4</v>
      </c>
      <c r="B8" s="7"/>
      <c r="C8" s="22" t="s">
        <v>7</v>
      </c>
      <c r="D8" s="7"/>
      <c r="E8" s="7"/>
      <c r="F8" s="7"/>
      <c r="G8" s="7"/>
      <c r="H8" s="7"/>
      <c r="I8" s="23" t="n">
        <f aca="false">H8-D8</f>
        <v>0</v>
      </c>
      <c r="J8" s="23" t="n">
        <f aca="false">IF(COUNTA(D8:H8)&gt;0,AVERAGE(D8:H8),0)</f>
        <v>0</v>
      </c>
      <c r="K8" s="23" t="n">
        <f aca="false">MAX(D8:H8)</f>
        <v>0</v>
      </c>
      <c r="L8" s="23" t="n">
        <f aca="false">MIN(D8:H8)</f>
        <v>0</v>
      </c>
      <c r="M8" s="7"/>
      <c r="N8" s="7"/>
      <c r="O8" s="7"/>
      <c r="P8" s="7"/>
    </row>
    <row r="9" customFormat="false" ht="15" hidden="false" customHeight="false" outlineLevel="0" collapsed="false">
      <c r="A9" s="4" t="n">
        <v>5</v>
      </c>
      <c r="B9" s="5"/>
      <c r="C9" s="20" t="s">
        <v>12</v>
      </c>
      <c r="D9" s="5"/>
      <c r="E9" s="5"/>
      <c r="F9" s="5"/>
      <c r="G9" s="5"/>
      <c r="H9" s="5"/>
      <c r="I9" s="21" t="n">
        <f aca="false">H9-D9</f>
        <v>0</v>
      </c>
      <c r="J9" s="21" t="n">
        <f aca="false">IF(COUNTA(D9:H9)&gt;0,AVERAGE(D9:H9),0)</f>
        <v>0</v>
      </c>
      <c r="K9" s="21" t="n">
        <f aca="false">MAX(D9:H9)</f>
        <v>0</v>
      </c>
      <c r="L9" s="21" t="n">
        <f aca="false">MIN(D9:H9)</f>
        <v>0</v>
      </c>
      <c r="M9" s="5"/>
      <c r="N9" s="5"/>
      <c r="O9" s="5"/>
      <c r="P9" s="5"/>
    </row>
    <row r="10" customFormat="false" ht="15" hidden="false" customHeight="false" outlineLevel="0" collapsed="false">
      <c r="A10" s="6" t="n">
        <v>6</v>
      </c>
      <c r="B10" s="7"/>
      <c r="C10" s="22" t="s">
        <v>102</v>
      </c>
      <c r="D10" s="7"/>
      <c r="E10" s="7"/>
      <c r="F10" s="7"/>
      <c r="G10" s="7"/>
      <c r="H10" s="7"/>
      <c r="I10" s="23" t="n">
        <f aca="false">H10-D10</f>
        <v>0</v>
      </c>
      <c r="J10" s="23" t="n">
        <f aca="false">IF(COUNTA(D10:H10)&gt;0,AVERAGE(D10:H10),0)</f>
        <v>0</v>
      </c>
      <c r="K10" s="23" t="n">
        <f aca="false">MAX(D10:H10)</f>
        <v>0</v>
      </c>
      <c r="L10" s="23" t="n">
        <f aca="false">MIN(D10:H10)</f>
        <v>0</v>
      </c>
      <c r="M10" s="7"/>
      <c r="N10" s="7"/>
      <c r="O10" s="7"/>
      <c r="P10" s="7"/>
    </row>
    <row r="11" customFormat="false" ht="15" hidden="false" customHeight="false" outlineLevel="0" collapsed="false">
      <c r="A11" s="4" t="n">
        <v>7</v>
      </c>
      <c r="B11" s="5"/>
      <c r="C11" s="20" t="s">
        <v>103</v>
      </c>
      <c r="D11" s="5"/>
      <c r="E11" s="5"/>
      <c r="F11" s="5"/>
      <c r="G11" s="5"/>
      <c r="H11" s="5"/>
      <c r="I11" s="21" t="n">
        <f aca="false">H11-D11</f>
        <v>0</v>
      </c>
      <c r="J11" s="21" t="n">
        <f aca="false">IF(COUNTA(D11:H11)&gt;0,AVERAGE(D11:H11),0)</f>
        <v>0</v>
      </c>
      <c r="K11" s="21" t="n">
        <f aca="false">MAX(D11:H11)</f>
        <v>0</v>
      </c>
      <c r="L11" s="21" t="n">
        <f aca="false">MIN(D11:H11)</f>
        <v>0</v>
      </c>
      <c r="M11" s="5"/>
      <c r="N11" s="5"/>
      <c r="O11" s="5"/>
      <c r="P11" s="5"/>
    </row>
    <row r="12" customFormat="false" ht="15" hidden="false" customHeight="false" outlineLevel="0" collapsed="false">
      <c r="A12" s="6" t="n">
        <v>8</v>
      </c>
      <c r="B12" s="7"/>
      <c r="C12" s="22" t="s">
        <v>54</v>
      </c>
      <c r="D12" s="7"/>
      <c r="E12" s="7"/>
      <c r="F12" s="7"/>
      <c r="G12" s="7"/>
      <c r="H12" s="7"/>
      <c r="I12" s="23" t="n">
        <f aca="false">H12-D12</f>
        <v>0</v>
      </c>
      <c r="J12" s="23" t="n">
        <f aca="false">IF(COUNTA(D12:H12)&gt;0,AVERAGE(D12:H12),0)</f>
        <v>0</v>
      </c>
      <c r="K12" s="23" t="n">
        <f aca="false">MAX(D12:H12)</f>
        <v>0</v>
      </c>
      <c r="L12" s="23" t="n">
        <f aca="false">MIN(D12:H12)</f>
        <v>0</v>
      </c>
      <c r="M12" s="7"/>
      <c r="N12" s="7"/>
      <c r="O12" s="7"/>
      <c r="P12" s="7"/>
    </row>
    <row r="13" customFormat="false" ht="15" hidden="false" customHeight="false" outlineLevel="0" collapsed="false">
      <c r="A13" s="4" t="n">
        <v>9</v>
      </c>
      <c r="B13" s="5"/>
      <c r="C13" s="20" t="s">
        <v>57</v>
      </c>
      <c r="D13" s="5"/>
      <c r="E13" s="5"/>
      <c r="F13" s="5"/>
      <c r="G13" s="5"/>
      <c r="H13" s="5"/>
      <c r="I13" s="21" t="n">
        <f aca="false">H13-D13</f>
        <v>0</v>
      </c>
      <c r="J13" s="21" t="n">
        <f aca="false">IF(COUNTA(D13:H13)&gt;0,AVERAGE(D13:H13),0)</f>
        <v>0</v>
      </c>
      <c r="K13" s="21" t="n">
        <f aca="false">MAX(D13:H13)</f>
        <v>0</v>
      </c>
      <c r="L13" s="21" t="n">
        <f aca="false">MIN(D13:H13)</f>
        <v>0</v>
      </c>
      <c r="M13" s="5"/>
      <c r="N13" s="5"/>
      <c r="O13" s="5"/>
      <c r="P13" s="5"/>
    </row>
    <row r="14" customFormat="false" ht="23.85" hidden="false" customHeight="false" outlineLevel="0" collapsed="false">
      <c r="A14" s="6" t="n">
        <v>10</v>
      </c>
      <c r="B14" s="7"/>
      <c r="C14" s="22" t="s">
        <v>104</v>
      </c>
      <c r="D14" s="7"/>
      <c r="E14" s="7"/>
      <c r="F14" s="7"/>
      <c r="G14" s="7"/>
      <c r="H14" s="7"/>
      <c r="I14" s="23" t="n">
        <f aca="false">H14-D14</f>
        <v>0</v>
      </c>
      <c r="J14" s="23" t="n">
        <f aca="false">IF(COUNTA(D14:H14)&gt;0,AVERAGE(D14:H14),0)</f>
        <v>0</v>
      </c>
      <c r="K14" s="23" t="n">
        <f aca="false">MAX(D14:H14)</f>
        <v>0</v>
      </c>
      <c r="L14" s="23" t="n">
        <f aca="false">MIN(D14:H14)</f>
        <v>0</v>
      </c>
      <c r="M14" s="7"/>
      <c r="N14" s="7"/>
      <c r="O14" s="7"/>
      <c r="P14" s="7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064"/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2" min="11" style="0" width="14"/>
  </cols>
  <sheetData>
    <row r="1" customFormat="false" ht="30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.75" hidden="false" customHeight="true" outlineLevel="0" collapsed="false">
      <c r="A2" s="2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24" t="s">
        <v>2</v>
      </c>
      <c r="B4" s="24" t="s">
        <v>107</v>
      </c>
      <c r="C4" s="24" t="s">
        <v>108</v>
      </c>
      <c r="D4" s="24" t="s">
        <v>109</v>
      </c>
      <c r="E4" s="24" t="s">
        <v>110</v>
      </c>
      <c r="F4" s="24" t="s">
        <v>111</v>
      </c>
      <c r="G4" s="24" t="s">
        <v>112</v>
      </c>
      <c r="H4" s="24" t="s">
        <v>113</v>
      </c>
      <c r="I4" s="24" t="s">
        <v>114</v>
      </c>
      <c r="J4" s="24" t="s">
        <v>115</v>
      </c>
      <c r="K4" s="24" t="s">
        <v>116</v>
      </c>
      <c r="L4" s="24" t="s">
        <v>19</v>
      </c>
    </row>
    <row r="5" customFormat="false" ht="35.05" hidden="false" customHeight="false" outlineLevel="0" collapsed="false">
      <c r="A5" s="4" t="n">
        <v>1</v>
      </c>
      <c r="B5" s="25" t="s">
        <v>117</v>
      </c>
      <c r="C5" s="26" t="s">
        <v>118</v>
      </c>
      <c r="D5" s="26" t="s">
        <v>119</v>
      </c>
      <c r="E5" s="4" t="s">
        <v>120</v>
      </c>
      <c r="F5" s="5"/>
      <c r="G5" s="5"/>
      <c r="H5" s="5"/>
      <c r="I5" s="5"/>
      <c r="J5" s="5"/>
      <c r="K5" s="5"/>
      <c r="L5" s="5"/>
    </row>
    <row r="6" customFormat="false" ht="35.05" hidden="false" customHeight="false" outlineLevel="0" collapsed="false">
      <c r="A6" s="6" t="n">
        <v>2</v>
      </c>
      <c r="B6" s="27" t="s">
        <v>117</v>
      </c>
      <c r="C6" s="28" t="s">
        <v>121</v>
      </c>
      <c r="D6" s="28" t="s">
        <v>122</v>
      </c>
      <c r="E6" s="6" t="s">
        <v>123</v>
      </c>
      <c r="F6" s="7"/>
      <c r="G6" s="7"/>
      <c r="H6" s="7"/>
      <c r="I6" s="7"/>
      <c r="J6" s="7"/>
      <c r="K6" s="7"/>
      <c r="L6" s="7"/>
    </row>
    <row r="7" customFormat="false" ht="35.05" hidden="false" customHeight="false" outlineLevel="0" collapsed="false">
      <c r="A7" s="4" t="n">
        <v>3</v>
      </c>
      <c r="B7" s="25" t="s">
        <v>124</v>
      </c>
      <c r="C7" s="26" t="s">
        <v>125</v>
      </c>
      <c r="D7" s="26" t="s">
        <v>126</v>
      </c>
      <c r="E7" s="4" t="s">
        <v>127</v>
      </c>
      <c r="F7" s="5"/>
      <c r="G7" s="5"/>
      <c r="H7" s="5"/>
      <c r="I7" s="5"/>
      <c r="J7" s="5"/>
      <c r="K7" s="5"/>
      <c r="L7" s="5"/>
    </row>
    <row r="8" customFormat="false" ht="35.05" hidden="false" customHeight="false" outlineLevel="0" collapsed="false">
      <c r="A8" s="6" t="n">
        <v>4</v>
      </c>
      <c r="B8" s="27" t="s">
        <v>124</v>
      </c>
      <c r="C8" s="28" t="s">
        <v>128</v>
      </c>
      <c r="D8" s="28" t="s">
        <v>129</v>
      </c>
      <c r="E8" s="6" t="s">
        <v>130</v>
      </c>
      <c r="F8" s="7"/>
      <c r="G8" s="7"/>
      <c r="H8" s="7"/>
      <c r="I8" s="7"/>
      <c r="J8" s="7"/>
      <c r="K8" s="7"/>
      <c r="L8" s="7"/>
    </row>
    <row r="9" customFormat="false" ht="35.05" hidden="false" customHeight="false" outlineLevel="0" collapsed="false">
      <c r="A9" s="4" t="n">
        <v>5</v>
      </c>
      <c r="B9" s="25" t="s">
        <v>131</v>
      </c>
      <c r="C9" s="26" t="s">
        <v>132</v>
      </c>
      <c r="D9" s="26" t="s">
        <v>133</v>
      </c>
      <c r="E9" s="4" t="s">
        <v>134</v>
      </c>
      <c r="F9" s="5"/>
      <c r="G9" s="5"/>
      <c r="H9" s="5"/>
      <c r="I9" s="5"/>
      <c r="J9" s="5"/>
      <c r="K9" s="5"/>
      <c r="L9" s="5"/>
    </row>
    <row r="10" customFormat="false" ht="23.85" hidden="false" customHeight="false" outlineLevel="0" collapsed="false">
      <c r="A10" s="6" t="n">
        <v>6</v>
      </c>
      <c r="B10" s="27" t="s">
        <v>131</v>
      </c>
      <c r="C10" s="28" t="s">
        <v>135</v>
      </c>
      <c r="D10" s="28" t="s">
        <v>136</v>
      </c>
      <c r="E10" s="6" t="s">
        <v>137</v>
      </c>
      <c r="F10" s="7"/>
      <c r="G10" s="7"/>
      <c r="H10" s="7"/>
      <c r="I10" s="7"/>
      <c r="J10" s="7"/>
      <c r="K10" s="7"/>
      <c r="L10" s="7"/>
    </row>
    <row r="11" customFormat="false" ht="23.85" hidden="false" customHeight="false" outlineLevel="0" collapsed="false">
      <c r="A11" s="4" t="n">
        <v>7</v>
      </c>
      <c r="B11" s="25" t="s">
        <v>138</v>
      </c>
      <c r="C11" s="26" t="s">
        <v>139</v>
      </c>
      <c r="D11" s="26" t="s">
        <v>140</v>
      </c>
      <c r="E11" s="4" t="s">
        <v>141</v>
      </c>
      <c r="F11" s="5"/>
      <c r="G11" s="5"/>
      <c r="H11" s="5"/>
      <c r="I11" s="5"/>
      <c r="J11" s="5"/>
      <c r="K11" s="5"/>
      <c r="L11" s="5"/>
    </row>
    <row r="12" customFormat="false" ht="35.05" hidden="false" customHeight="false" outlineLevel="0" collapsed="false">
      <c r="A12" s="6" t="n">
        <v>8</v>
      </c>
      <c r="B12" s="27" t="s">
        <v>138</v>
      </c>
      <c r="C12" s="28" t="s">
        <v>142</v>
      </c>
      <c r="D12" s="28" t="s">
        <v>143</v>
      </c>
      <c r="E12" s="6" t="s">
        <v>144</v>
      </c>
      <c r="F12" s="7"/>
      <c r="G12" s="7"/>
      <c r="H12" s="7"/>
      <c r="I12" s="7"/>
      <c r="J12" s="7"/>
      <c r="K12" s="7"/>
      <c r="L12" s="7"/>
    </row>
    <row r="13" customFormat="false" ht="23.85" hidden="false" customHeight="false" outlineLevel="0" collapsed="false">
      <c r="A13" s="4" t="n">
        <v>9</v>
      </c>
      <c r="B13" s="25" t="s">
        <v>145</v>
      </c>
      <c r="C13" s="26" t="s">
        <v>146</v>
      </c>
      <c r="D13" s="26" t="s">
        <v>147</v>
      </c>
      <c r="E13" s="4" t="s">
        <v>148</v>
      </c>
      <c r="F13" s="5"/>
      <c r="G13" s="5"/>
      <c r="H13" s="5"/>
      <c r="I13" s="5"/>
      <c r="J13" s="5"/>
      <c r="K13" s="5"/>
      <c r="L13" s="5"/>
    </row>
    <row r="14" customFormat="false" ht="35.05" hidden="false" customHeight="false" outlineLevel="0" collapsed="false">
      <c r="A14" s="6" t="n">
        <v>10</v>
      </c>
      <c r="B14" s="27" t="s">
        <v>145</v>
      </c>
      <c r="C14" s="28" t="s">
        <v>149</v>
      </c>
      <c r="D14" s="28" t="s">
        <v>150</v>
      </c>
      <c r="E14" s="6" t="s">
        <v>151</v>
      </c>
      <c r="F14" s="7"/>
      <c r="G14" s="7"/>
      <c r="H14" s="7"/>
      <c r="I14" s="7"/>
      <c r="J14" s="7"/>
      <c r="K14" s="7"/>
      <c r="L14" s="7"/>
    </row>
    <row r="15" customFormat="false" ht="35.05" hidden="false" customHeight="false" outlineLevel="0" collapsed="false">
      <c r="A15" s="4" t="n">
        <v>11</v>
      </c>
      <c r="B15" s="25" t="s">
        <v>152</v>
      </c>
      <c r="C15" s="26" t="s">
        <v>153</v>
      </c>
      <c r="D15" s="26" t="s">
        <v>154</v>
      </c>
      <c r="E15" s="4" t="s">
        <v>155</v>
      </c>
      <c r="F15" s="5"/>
      <c r="G15" s="5"/>
      <c r="H15" s="5"/>
      <c r="I15" s="5"/>
      <c r="J15" s="5"/>
      <c r="K15" s="5"/>
      <c r="L15" s="5"/>
    </row>
    <row r="16" customFormat="false" ht="23.85" hidden="false" customHeight="false" outlineLevel="0" collapsed="false">
      <c r="A16" s="6" t="n">
        <v>12</v>
      </c>
      <c r="B16" s="27" t="s">
        <v>152</v>
      </c>
      <c r="C16" s="28" t="s">
        <v>156</v>
      </c>
      <c r="D16" s="28" t="s">
        <v>157</v>
      </c>
      <c r="E16" s="6" t="s">
        <v>158</v>
      </c>
      <c r="F16" s="7"/>
      <c r="G16" s="7"/>
      <c r="H16" s="7"/>
      <c r="I16" s="7"/>
      <c r="J16" s="7"/>
      <c r="K16" s="7"/>
      <c r="L16" s="7"/>
    </row>
    <row r="17" customFormat="false" ht="35.05" hidden="false" customHeight="false" outlineLevel="0" collapsed="false">
      <c r="A17" s="4" t="n">
        <v>13</v>
      </c>
      <c r="B17" s="25" t="s">
        <v>159</v>
      </c>
      <c r="C17" s="26" t="s">
        <v>160</v>
      </c>
      <c r="D17" s="26" t="s">
        <v>161</v>
      </c>
      <c r="E17" s="4" t="s">
        <v>162</v>
      </c>
      <c r="F17" s="5"/>
      <c r="G17" s="5"/>
      <c r="H17" s="5"/>
      <c r="I17" s="5"/>
      <c r="J17" s="5"/>
      <c r="K17" s="5"/>
      <c r="L17" s="5"/>
    </row>
    <row r="18" customFormat="false" ht="35.05" hidden="false" customHeight="false" outlineLevel="0" collapsed="false">
      <c r="A18" s="6" t="n">
        <v>14</v>
      </c>
      <c r="B18" s="27" t="s">
        <v>163</v>
      </c>
      <c r="C18" s="28" t="s">
        <v>164</v>
      </c>
      <c r="D18" s="28" t="s">
        <v>165</v>
      </c>
      <c r="E18" s="6" t="s">
        <v>166</v>
      </c>
      <c r="F18" s="7"/>
      <c r="G18" s="7"/>
      <c r="H18" s="7"/>
      <c r="I18" s="7"/>
      <c r="J18" s="7"/>
      <c r="K18" s="7"/>
      <c r="L18" s="7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48"/>
    <col collapsed="false" customWidth="true" hidden="false" outlineLevel="0" max="5" min="5" style="0" width="28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" t="s">
        <v>167</v>
      </c>
      <c r="B1" s="1"/>
      <c r="C1" s="1"/>
      <c r="D1" s="1"/>
      <c r="E1" s="1"/>
      <c r="F1" s="1"/>
    </row>
    <row r="3" customFormat="false" ht="24.75" hidden="false" customHeight="true" outlineLevel="0" collapsed="false">
      <c r="A3" s="2" t="s">
        <v>168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169</v>
      </c>
      <c r="B4" s="3" t="s">
        <v>170</v>
      </c>
      <c r="C4" s="3" t="s">
        <v>171</v>
      </c>
      <c r="D4" s="3" t="s">
        <v>172</v>
      </c>
      <c r="E4" s="3" t="s">
        <v>173</v>
      </c>
      <c r="F4" s="3" t="s">
        <v>174</v>
      </c>
    </row>
    <row r="5" customFormat="false" ht="91" hidden="false" customHeight="false" outlineLevel="0" collapsed="false">
      <c r="A5" s="29" t="s">
        <v>175</v>
      </c>
      <c r="B5" s="30" t="s">
        <v>176</v>
      </c>
      <c r="C5" s="30" t="s">
        <v>177</v>
      </c>
      <c r="D5" s="30" t="s">
        <v>178</v>
      </c>
      <c r="E5" s="30" t="s">
        <v>179</v>
      </c>
      <c r="F5" s="30" t="s">
        <v>180</v>
      </c>
    </row>
    <row r="6" customFormat="false" ht="68.65" hidden="false" customHeight="false" outlineLevel="0" collapsed="false">
      <c r="A6" s="29" t="s">
        <v>181</v>
      </c>
      <c r="B6" s="30" t="s">
        <v>182</v>
      </c>
      <c r="C6" s="30" t="s">
        <v>181</v>
      </c>
      <c r="D6" s="30" t="s">
        <v>183</v>
      </c>
      <c r="E6" s="30" t="s">
        <v>184</v>
      </c>
      <c r="F6" s="30" t="s">
        <v>180</v>
      </c>
    </row>
    <row r="7" customFormat="false" ht="35.05" hidden="false" customHeight="false" outlineLevel="0" collapsed="false">
      <c r="A7" s="29" t="s">
        <v>181</v>
      </c>
      <c r="B7" s="30" t="s">
        <v>185</v>
      </c>
      <c r="C7" s="30" t="s">
        <v>186</v>
      </c>
      <c r="D7" s="30" t="s">
        <v>187</v>
      </c>
      <c r="E7" s="30" t="s">
        <v>188</v>
      </c>
      <c r="F7" s="30" t="s">
        <v>180</v>
      </c>
    </row>
    <row r="8" customFormat="false" ht="57.45" hidden="false" customHeight="false" outlineLevel="0" collapsed="false">
      <c r="A8" s="29" t="s">
        <v>181</v>
      </c>
      <c r="B8" s="30" t="s">
        <v>189</v>
      </c>
      <c r="C8" s="30" t="s">
        <v>181</v>
      </c>
      <c r="D8" s="30" t="s">
        <v>190</v>
      </c>
      <c r="E8" s="30" t="s">
        <v>191</v>
      </c>
      <c r="F8" s="30" t="s">
        <v>180</v>
      </c>
    </row>
    <row r="11" customFormat="false" ht="24.75" hidden="false" customHeight="true" outlineLevel="0" collapsed="false">
      <c r="A11" s="2" t="s">
        <v>192</v>
      </c>
      <c r="B11" s="2"/>
      <c r="C11" s="2"/>
      <c r="D11" s="2"/>
      <c r="E11" s="2"/>
      <c r="F11" s="2"/>
    </row>
    <row r="12" customFormat="false" ht="15" hidden="false" customHeight="true" outlineLevel="0" collapsed="false">
      <c r="A12" s="31" t="s">
        <v>193</v>
      </c>
      <c r="B12" s="31"/>
      <c r="C12" s="31"/>
      <c r="D12" s="31"/>
      <c r="E12" s="31"/>
      <c r="F12" s="31"/>
    </row>
    <row r="13" customFormat="false" ht="23.85" hidden="false" customHeight="true" outlineLevel="0" collapsed="false">
      <c r="A13" s="31" t="s">
        <v>194</v>
      </c>
      <c r="B13" s="31"/>
      <c r="C13" s="31"/>
      <c r="D13" s="31"/>
      <c r="E13" s="31"/>
      <c r="F13" s="31"/>
    </row>
    <row r="14" customFormat="false" ht="15" hidden="false" customHeight="true" outlineLevel="0" collapsed="false">
      <c r="A14" s="31" t="s">
        <v>195</v>
      </c>
      <c r="B14" s="31"/>
      <c r="C14" s="31"/>
      <c r="D14" s="31"/>
      <c r="E14" s="31"/>
      <c r="F14" s="31"/>
    </row>
    <row r="15" customFormat="false" ht="23.85" hidden="false" customHeight="true" outlineLevel="0" collapsed="false">
      <c r="A15" s="31" t="s">
        <v>196</v>
      </c>
      <c r="B15" s="31"/>
      <c r="C15" s="31"/>
      <c r="D15" s="31"/>
      <c r="E15" s="31"/>
      <c r="F15" s="31"/>
    </row>
    <row r="16" customFormat="false" ht="15" hidden="false" customHeight="true" outlineLevel="0" collapsed="false">
      <c r="A16" s="31" t="s">
        <v>197</v>
      </c>
      <c r="B16" s="31"/>
      <c r="C16" s="31"/>
      <c r="D16" s="31"/>
      <c r="E16" s="31"/>
      <c r="F16" s="31"/>
    </row>
    <row r="17" customFormat="false" ht="23.85" hidden="false" customHeight="true" outlineLevel="0" collapsed="false">
      <c r="A17" s="31" t="s">
        <v>198</v>
      </c>
      <c r="B17" s="31"/>
      <c r="C17" s="31"/>
      <c r="D17" s="31"/>
      <c r="E17" s="31"/>
      <c r="F17" s="31"/>
    </row>
    <row r="18" customFormat="false" ht="15" hidden="false" customHeight="true" outlineLevel="0" collapsed="false">
      <c r="A18" s="31" t="s">
        <v>199</v>
      </c>
      <c r="B18" s="31"/>
      <c r="C18" s="31"/>
      <c r="D18" s="31"/>
      <c r="E18" s="31"/>
      <c r="F18" s="31"/>
    </row>
    <row r="19" customFormat="false" ht="15" hidden="false" customHeight="true" outlineLevel="0" collapsed="false">
      <c r="A19" s="31" t="s">
        <v>200</v>
      </c>
      <c r="B19" s="31"/>
      <c r="C19" s="31"/>
      <c r="D19" s="31"/>
      <c r="E19" s="31"/>
      <c r="F19" s="31"/>
    </row>
    <row r="20" customFormat="false" ht="23.85" hidden="false" customHeight="true" outlineLevel="0" collapsed="false">
      <c r="A20" s="31" t="s">
        <v>201</v>
      </c>
      <c r="B20" s="31"/>
      <c r="C20" s="31"/>
      <c r="D20" s="31"/>
      <c r="E20" s="31"/>
      <c r="F20" s="31"/>
    </row>
    <row r="21" customFormat="false" ht="23.85" hidden="false" customHeight="true" outlineLevel="0" collapsed="false">
      <c r="A21" s="31" t="s">
        <v>202</v>
      </c>
      <c r="B21" s="31"/>
      <c r="C21" s="31"/>
      <c r="D21" s="31"/>
      <c r="E21" s="31"/>
      <c r="F21" s="31"/>
    </row>
    <row r="22" customFormat="false" ht="23.85" hidden="false" customHeight="true" outlineLevel="0" collapsed="false">
      <c r="A22" s="31" t="s">
        <v>203</v>
      </c>
      <c r="B22" s="31"/>
      <c r="C22" s="31"/>
      <c r="D22" s="31"/>
      <c r="E22" s="31"/>
      <c r="F22" s="31"/>
    </row>
    <row r="23" customFormat="false" ht="15" hidden="false" customHeight="true" outlineLevel="0" collapsed="false">
      <c r="A23" s="31" t="s">
        <v>204</v>
      </c>
      <c r="B23" s="31"/>
      <c r="C23" s="31"/>
      <c r="D23" s="31"/>
      <c r="E23" s="31"/>
      <c r="F23" s="31"/>
    </row>
    <row r="24" customFormat="false" ht="15" hidden="false" customHeight="true" outlineLevel="0" collapsed="false">
      <c r="A24" s="31" t="s">
        <v>205</v>
      </c>
      <c r="B24" s="31"/>
      <c r="C24" s="31"/>
      <c r="D24" s="31"/>
      <c r="E24" s="31"/>
      <c r="F24" s="31"/>
    </row>
    <row r="26" customFormat="false" ht="24.75" hidden="false" customHeight="true" outlineLevel="0" collapsed="false">
      <c r="A26" s="2" t="s">
        <v>206</v>
      </c>
      <c r="B26" s="2"/>
      <c r="C26" s="2"/>
      <c r="D26" s="2"/>
      <c r="E26" s="2"/>
      <c r="F26" s="2"/>
    </row>
    <row r="27" customFormat="false" ht="15" hidden="false" customHeight="true" outlineLevel="0" collapsed="false">
      <c r="A27" s="31" t="s">
        <v>207</v>
      </c>
      <c r="B27" s="31"/>
      <c r="C27" s="31"/>
      <c r="D27" s="31"/>
      <c r="E27" s="31"/>
      <c r="F27" s="31"/>
    </row>
    <row r="28" customFormat="false" ht="15" hidden="false" customHeight="true" outlineLevel="0" collapsed="false">
      <c r="A28" s="31" t="s">
        <v>208</v>
      </c>
      <c r="B28" s="31"/>
      <c r="C28" s="31"/>
      <c r="D28" s="31"/>
      <c r="E28" s="31"/>
      <c r="F28" s="31"/>
    </row>
    <row r="29" customFormat="false" ht="15" hidden="false" customHeight="true" outlineLevel="0" collapsed="false">
      <c r="A29" s="31" t="s">
        <v>209</v>
      </c>
      <c r="B29" s="31"/>
      <c r="C29" s="31"/>
      <c r="D29" s="31"/>
      <c r="E29" s="31"/>
      <c r="F29" s="31"/>
    </row>
    <row r="30" customFormat="false" ht="15" hidden="false" customHeight="true" outlineLevel="0" collapsed="false">
      <c r="A30" s="31" t="s">
        <v>210</v>
      </c>
      <c r="B30" s="31"/>
      <c r="C30" s="31"/>
      <c r="D30" s="31"/>
      <c r="E30" s="31"/>
      <c r="F30" s="31"/>
    </row>
    <row r="31" customFormat="false" ht="15" hidden="false" customHeight="true" outlineLevel="0" collapsed="false">
      <c r="A31" s="31" t="s">
        <v>211</v>
      </c>
      <c r="B31" s="31"/>
      <c r="C31" s="31"/>
      <c r="D31" s="31"/>
      <c r="E31" s="31"/>
      <c r="F31" s="31"/>
    </row>
    <row r="32" customFormat="false" ht="15" hidden="false" customHeight="true" outlineLevel="0" collapsed="false">
      <c r="A32" s="31" t="s">
        <v>212</v>
      </c>
      <c r="B32" s="31"/>
      <c r="C32" s="31"/>
      <c r="D32" s="31"/>
      <c r="E32" s="31"/>
      <c r="F32" s="31"/>
    </row>
    <row r="33" customFormat="false" ht="15" hidden="false" customHeight="true" outlineLevel="0" collapsed="false">
      <c r="A33" s="31" t="s">
        <v>213</v>
      </c>
      <c r="B33" s="31"/>
      <c r="C33" s="31"/>
      <c r="D33" s="31"/>
      <c r="E33" s="31"/>
      <c r="F33" s="31"/>
    </row>
  </sheetData>
  <mergeCells count="24">
    <mergeCell ref="A1:F1"/>
    <mergeCell ref="A3:F3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6:F26"/>
    <mergeCell ref="A27:F27"/>
    <mergeCell ref="A28:F28"/>
    <mergeCell ref="A29:F29"/>
    <mergeCell ref="A30:F30"/>
    <mergeCell ref="A31:F31"/>
    <mergeCell ref="A32:F32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2026-04-14T11:54:47Z</dcterms:created>
  <dc:creator>openpyxl</dc:creator>
  <dc:description/>
  <dc:language>en-US</dc:language>
  <cp:lastModifiedBy/>
  <dcterms:modified xsi:type="dcterms:W3CDTF">2026-04-14T11:54:47Z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