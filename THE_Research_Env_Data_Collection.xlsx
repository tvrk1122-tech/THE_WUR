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arch Reputation Survey" sheetId="1" state="visible" r:id="rId3"/>
    <sheet name="Research Income" sheetId="2" state="visible" r:id="rId4"/>
    <sheet name="Research Productivity" sheetId="3" state="visible" r:id="rId5"/>
    <sheet name="Composite Research Score" sheetId="4" state="visible" r:id="rId6"/>
    <sheet name="Research Funding Tracker" sheetId="5" state="visible" r:id="rId7"/>
    <sheet name="Publication Scopus Tracker" sheetId="6" state="visible" r:id="rId8"/>
    <sheet name="Year-on-Year Tracker" sheetId="7" state="visible" r:id="rId9"/>
    <sheet name="HEI Improvement Action Plan" sheetId="8" state="visible" r:id="rId10"/>
    <sheet name="Metadata &amp; Instru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<sst xmlns="http://schemas.openxmlformats.org/spreadsheetml/2006/main" count="241" uniqueCount="191">
  <si>
    <t xml:space="preserve">THE Research Environment — Reputation Survey (Research Excellence Perception) — Weight: 18%</t>
  </si>
  <si>
    <t xml:space="preserve">Annual Academic Reputation Survey | Peer Assessment of Research Quality | Regional &amp; Disciplinary Weighting</t>
  </si>
  <si>
    <t xml:space="preserve">S.No.</t>
  </si>
  <si>
    <t xml:space="preserve">HEI Name</t>
  </si>
  <si>
    <t xml:space="preserve">Country</t>
  </si>
  <si>
    <t xml:space="preserve">Year</t>
  </si>
  <si>
    <t xml:space="preserve">Survey Responses Received</t>
  </si>
  <si>
    <t xml:space="preserve">Positive Research Mentions</t>
  </si>
  <si>
    <t xml:space="preserve">Research Reputation Score (0-100)</t>
  </si>
  <si>
    <t xml:space="preserve">Global Rank (Research Rep)</t>
  </si>
  <si>
    <t xml:space="preserve">National Rank (Research Rep)</t>
  </si>
  <si>
    <t xml:space="preserve">Subject Areas Covered</t>
  </si>
  <si>
    <t xml:space="preserve">Regional Distribution</t>
  </si>
  <si>
    <t xml:space="preserve">Survey Methodology</t>
  </si>
  <si>
    <t xml:space="preserve">Data Source</t>
  </si>
  <si>
    <t xml:space="preserve">Remarks</t>
  </si>
  <si>
    <t xml:space="preserve">THE Research Environment — Research Income per Academic Staff (PPP-Scaled) — Weight: 6%</t>
  </si>
  <si>
    <t xml:space="preserve">Total Research Income (PPP) / Academic Staff FTE | Measures Research Funding Capacity &amp; Competitiveness</t>
  </si>
  <si>
    <t xml:space="preserve">Total Research Income (USD PPP)</t>
  </si>
  <si>
    <t xml:space="preserve">Academic Staff (FTE)</t>
  </si>
  <si>
    <t xml:space="preserve">Research Income/Staff (USD PPP)</t>
  </si>
  <si>
    <t xml:space="preserve">Score (0-100)</t>
  </si>
  <si>
    <t xml:space="preserve">Govt Research Grants (%)</t>
  </si>
  <si>
    <t xml:space="preserve">Industry/Private Grants (%)</t>
  </si>
  <si>
    <t xml:space="preserve">International Grants (%)</t>
  </si>
  <si>
    <t xml:space="preserve">Internal Research Funds (%)</t>
  </si>
  <si>
    <t xml:space="preserve">Consultancy Income (%)</t>
  </si>
  <si>
    <t xml:space="preserve">No. of Funded Projects</t>
  </si>
  <si>
    <t xml:space="preserve">THE Research Environment — Research Productivity (Publications per Staff) — Weight: 6%</t>
  </si>
  <si>
    <t xml:space="preserve">Scopus-Indexed Publications / Academic Staff FTE | Subject-Normalized | 5-Year Publication Window</t>
  </si>
  <si>
    <t xml:space="preserve">Total Scopus Publications (5-yr)</t>
  </si>
  <si>
    <t xml:space="preserve">Publications per Staff</t>
  </si>
  <si>
    <t xml:space="preserve">Journal Articles</t>
  </si>
  <si>
    <t xml:space="preserve">Conference Papers</t>
  </si>
  <si>
    <t xml:space="preserve">Reviews</t>
  </si>
  <si>
    <t xml:space="preserve">Books / Book Chapters</t>
  </si>
  <si>
    <t xml:space="preserve">Subject Normalization Applied (Y/N)</t>
  </si>
  <si>
    <t xml:space="preserve">Scopus Author Profiles</t>
  </si>
  <si>
    <t xml:space="preserve">THE Research Environment — Composite Score Calculation (30% of Overall THE Rankings)</t>
  </si>
  <si>
    <t xml:space="preserve">Research Reputation 18% | Research Income 6% | Research Productivity 6% = 30% Total</t>
  </si>
  <si>
    <t xml:space="preserve">Reputation Score (0-100)</t>
  </si>
  <si>
    <t xml:space="preserve">Income Score (0-100)</t>
  </si>
  <si>
    <t xml:space="preserve">Productivity Score (0-100)</t>
  </si>
  <si>
    <t xml:space="preserve">Weighted Reputation (18%)</t>
  </si>
  <si>
    <t xml:space="preserve">Weighted Income (6%)</t>
  </si>
  <si>
    <t xml:space="preserve">Weighted Productivity (6%)</t>
  </si>
  <si>
    <t xml:space="preserve">Total Research Env Score (30%)</t>
  </si>
  <si>
    <t xml:space="preserve">Global Rank</t>
  </si>
  <si>
    <t xml:space="preserve">THE Research Environment — Detailed Research Funding &amp; Grants Tracker</t>
  </si>
  <si>
    <t xml:space="preserve">Track Individual Grants | Agency-Wise | Project-Level | Annual Funding Trends | PPP Conversion</t>
  </si>
  <si>
    <t xml:space="preserve">Grant Title / Project</t>
  </si>
  <si>
    <t xml:space="preserve">Funding Agency</t>
  </si>
  <si>
    <t xml:space="preserve">Category</t>
  </si>
  <si>
    <t xml:space="preserve">Amount (INR Lakh)</t>
  </si>
  <si>
    <t xml:space="preserve">Amount (USD)</t>
  </si>
  <si>
    <t xml:space="preserve">PPP Adjustment Factor</t>
  </si>
  <si>
    <t xml:space="preserve">Amount (USD PPP)</t>
  </si>
  <si>
    <t xml:space="preserve">PI / Faculty Name</t>
  </si>
  <si>
    <t xml:space="preserve">Department</t>
  </si>
  <si>
    <t xml:space="preserve">Duration (yrs)</t>
  </si>
  <si>
    <t xml:space="preserve">Start Year</t>
  </si>
  <si>
    <t xml:space="preserve">End Year</t>
  </si>
  <si>
    <t xml:space="preserve">Status</t>
  </si>
  <si>
    <t xml:space="preserve">THE Research Environment — Publication &amp; Scopus Profile Tracker (5-Year Window)</t>
  </si>
  <si>
    <t xml:space="preserve">Scopus-Indexed Publications | Faculty-Wise | Subject Area | Impact Factor | Collaboration | Open Access</t>
  </si>
  <si>
    <t xml:space="preserve">Faculty Name</t>
  </si>
  <si>
    <t xml:space="preserve">Scopus Author ID</t>
  </si>
  <si>
    <t xml:space="preserve">Total Publications (5-yr)</t>
  </si>
  <si>
    <t xml:space="preserve">Books/Chapters</t>
  </si>
  <si>
    <t xml:space="preserve">H-Index</t>
  </si>
  <si>
    <t xml:space="preserve">Citations (5-yr)</t>
  </si>
  <si>
    <t xml:space="preserve">International Co-authored (%)</t>
  </si>
  <si>
    <t xml:space="preserve">Open Access (%)</t>
  </si>
  <si>
    <t xml:space="preserve">Top Quartile Journals (%)</t>
  </si>
  <si>
    <t xml:space="preserve">Subject Area</t>
  </si>
  <si>
    <t xml:space="preserve">THE Research Environment — Year-on-Year Performance Tracker (5-Year Trend)</t>
  </si>
  <si>
    <t xml:space="preserve">Track Annual Research Scores &amp; Component Trends | Identify Improvement Areas | Benchmark Against Peers</t>
  </si>
  <si>
    <t xml:space="preserve">Metric</t>
  </si>
  <si>
    <t xml:space="preserve">Year 1 Score</t>
  </si>
  <si>
    <t xml:space="preserve">Year 2 Score</t>
  </si>
  <si>
    <t xml:space="preserve">Year 3 Score</t>
  </si>
  <si>
    <t xml:space="preserve">Year 4 Score</t>
  </si>
  <si>
    <t xml:space="preserve">Year 5 Score</t>
  </si>
  <si>
    <t xml:space="preserve">5-Yr Change</t>
  </si>
  <si>
    <t xml:space="preserve">5-Yr Avg</t>
  </si>
  <si>
    <t xml:space="preserve">Best Score</t>
  </si>
  <si>
    <t xml:space="preserve">Worst Score</t>
  </si>
  <si>
    <t xml:space="preserve">Trend (↑/↓/→)</t>
  </si>
  <si>
    <t xml:space="preserve">Peer Benchmark</t>
  </si>
  <si>
    <t xml:space="preserve">Research Reputation (18%)</t>
  </si>
  <si>
    <t xml:space="preserve">Research Income per Staff (6%)</t>
  </si>
  <si>
    <t xml:space="preserve">Research Productivity / Publications per Staff (6%)</t>
  </si>
  <si>
    <t xml:space="preserve">Composite Research Environment Score (30%)</t>
  </si>
  <si>
    <t xml:space="preserve">THE Research Environment — HEI Improvement Action Plan &amp; Evidence Matrix</t>
  </si>
  <si>
    <t xml:space="preserve">Targeted Actions to Improve Each Research Indicator | Responsible | Timeline | Evidence | Status</t>
  </si>
  <si>
    <t xml:space="preserve">THE Indicator</t>
  </si>
  <si>
    <t xml:space="preserve">Current Gap / Issue</t>
  </si>
  <si>
    <t xml:space="preserve">Improvement Action</t>
  </si>
  <si>
    <t xml:space="preserve">Target Outcome</t>
  </si>
  <si>
    <t xml:space="preserve">Responsible Officer</t>
  </si>
  <si>
    <t xml:space="preserve">Timeline</t>
  </si>
  <si>
    <t xml:space="preserve">Evidence / Document</t>
  </si>
  <si>
    <t xml:space="preserve">Budget (INR Lakh)</t>
  </si>
  <si>
    <t xml:space="preserve">Status (✓/IP/✗)</t>
  </si>
  <si>
    <t xml:space="preserve">% Progress</t>
  </si>
  <si>
    <t xml:space="preserve">Low international research visibility</t>
  </si>
  <si>
    <t xml:space="preserve">Increase high-impact Scopus publications; international collaborations; global conference papers</t>
  </si>
  <si>
    <t xml:space="preserve">Top 500 research rep</t>
  </si>
  <si>
    <t xml:space="preserve">Limited global faculty network</t>
  </si>
  <si>
    <t xml:space="preserve">Faculty exchange, visiting professorships, joint supervision with international universities</t>
  </si>
  <si>
    <t xml:space="preserve">Network expanded</t>
  </si>
  <si>
    <t xml:space="preserve">Research Income (6%)</t>
  </si>
  <si>
    <t xml:space="preserve">Low external research funding</t>
  </si>
  <si>
    <t xml:space="preserve">Apply to DST/SERB/DBT/CSIR/ICMR/international grants; industry-sponsored R&amp;D; consultancy</t>
  </si>
  <si>
    <t xml:space="preserve">Income +40%</t>
  </si>
  <si>
    <t xml:space="preserve">Poor PPP income reporting</t>
  </si>
  <si>
    <t xml:space="preserve">Accurately report all research income in PPP terms; include consultancy/industry/international</t>
  </si>
  <si>
    <t xml:space="preserve">PPP correctly reported</t>
  </si>
  <si>
    <t xml:space="preserve">Low industry collaboration</t>
  </si>
  <si>
    <t xml:space="preserve">Establish industry-academia MoUs; joint R&amp;D projects; IP licensing; technology transfer office</t>
  </si>
  <si>
    <t xml:space="preserve">Partnerships active</t>
  </si>
  <si>
    <t xml:space="preserve">Productivity (6%)</t>
  </si>
  <si>
    <t xml:space="preserve">Low publications per faculty</t>
  </si>
  <si>
    <t xml:space="preserve">Set faculty publication targets; provide seed grants; journal writing workshops; mentoring</t>
  </si>
  <si>
    <t xml:space="preserve">Pubs/staff +50%</t>
  </si>
  <si>
    <t xml:space="preserve">Low Scopus-indexed output</t>
  </si>
  <si>
    <t xml:space="preserve">Encourage publication in Scopus/WoS journals; avoid predatory journals; quality over quantity</t>
  </si>
  <si>
    <t xml:space="preserve">Scopus output growing</t>
  </si>
  <si>
    <t xml:space="preserve">Limited international co-authorship</t>
  </si>
  <si>
    <t xml:space="preserve">Forge joint research projects; dual-affiliation programmes; sabbaticals at partner universities</t>
  </si>
  <si>
    <t xml:space="preserve">Co-authorship +30%</t>
  </si>
  <si>
    <t xml:space="preserve">Overall Research Env</t>
  </si>
  <si>
    <t xml:space="preserve">No THE data coordination cell</t>
  </si>
  <si>
    <t xml:space="preserve">Establish Research Analytics &amp; Rankings Cell; assign data officer; quarterly KPI reviews</t>
  </si>
  <si>
    <t xml:space="preserve">Cell operational</t>
  </si>
  <si>
    <t xml:space="preserve">Weak research infrastructure</t>
  </si>
  <si>
    <t xml:space="preserve">Invest in labs, equipment, computing, library, journal subscriptions (Scopus/WoS access)</t>
  </si>
  <si>
    <t xml:space="preserve">Infrastructure upgraded</t>
  </si>
  <si>
    <t xml:space="preserve">Limited PhD research ecosystem</t>
  </si>
  <si>
    <t xml:space="preserve">Expand PhD admissions; fellowships; structured programmes; international doctoral networks</t>
  </si>
  <si>
    <t xml:space="preserve">PhD ecosystem strong</t>
  </si>
  <si>
    <t xml:space="preserve">Low open access adoption</t>
  </si>
  <si>
    <t xml:space="preserve">Promote OA publishing; institutional repository; green/gold OA; OA mandate</t>
  </si>
  <si>
    <t xml:space="preserve">OA share ≥50%</t>
  </si>
  <si>
    <t xml:space="preserve">THE World University Rankings — Research Environment — Metadata &amp; Instructions</t>
  </si>
  <si>
    <t xml:space="preserve">THE Research Environment Indicator Framework (30% of Overall Score)</t>
  </si>
  <si>
    <t xml:space="preserve">#</t>
  </si>
  <si>
    <t xml:space="preserve">Indicator</t>
  </si>
  <si>
    <t xml:space="preserve">Weight</t>
  </si>
  <si>
    <t xml:space="preserve">Description &amp; Calculation</t>
  </si>
  <si>
    <t xml:space="preserve">Key Data Points</t>
  </si>
  <si>
    <t xml:space="preserve">Freq.</t>
  </si>
  <si>
    <t xml:space="preserve">Research Reputation Survey</t>
  </si>
  <si>
    <t xml:space="preserve">18%</t>
  </si>
  <si>
    <t xml:space="preserve">Annual academic reputation survey by THE (Elsevier). Global academics assess institutions on research quality and output. Score 0-100 weighted by region and discipline. Largest single component of Research Environment.</t>
  </si>
  <si>
    <t xml:space="preserve">Survey responses, positive research mentions, regional/discipline weighting</t>
  </si>
  <si>
    <t xml:space="preserve">Annual</t>
  </si>
  <si>
    <t xml:space="preserve">Research Income per Staff</t>
  </si>
  <si>
    <t xml:space="preserve">6%</t>
  </si>
  <si>
    <t xml:space="preserve">Total research income (PPP-adjusted) divided by academic staff FTE. Includes government grants, industry funding, international grants, consultancy. PPP normalization accounts for cost differences across countries.</t>
  </si>
  <si>
    <t xml:space="preserve">Research income (USD PPP), staff FTE, income by source (govt/industry/intl/internal/consultancy), funded projects</t>
  </si>
  <si>
    <t xml:space="preserve">Research Productivity</t>
  </si>
  <si>
    <t xml:space="preserve">Number of Scopus-indexed publications per academic staff FTE. Subject-normalized to account for disciplinary differences in publication rates. Covers 5-year publication window including articles, reviews, conference papers, books.</t>
  </si>
  <si>
    <t xml:space="preserve">Scopus publications (5-yr), staff FTE, articles/reviews/conf/books breakdown, subject normalization</t>
  </si>
  <si>
    <t xml:space="preserve">—</t>
  </si>
  <si>
    <t xml:space="preserve">Composite Research Env Score</t>
  </si>
  <si>
    <t xml:space="preserve">30%</t>
  </si>
  <si>
    <t xml:space="preserve">Weighted sum: Reputation(18%) + Income(6%) + Productivity(6%). This pillar accounts for 30% of the overall THE World University Rankings score. Measures the volume, income, and reputation of research.</t>
  </si>
  <si>
    <t xml:space="preserve">All 3 component scores, weighted calculations, final composite</t>
  </si>
  <si>
    <t xml:space="preserve">Data Collection Instructions</t>
  </si>
  <si>
    <t xml:space="preserve">1. Blue font = INPUT. Black font = AUTO-CALCULATED — do NOT overwrite formulas.</t>
  </si>
  <si>
    <t xml:space="preserve">2. Research Reputation: THE surveys ~40,000+ academics globally via Elsevier. HEIs improve score through high-impact publications, international collaboration, global conference visibility, and media engagement.</t>
  </si>
  <si>
    <t xml:space="preserve">3. Research Income: Include ALL research-related income — government grants (DST/SERB/DBT/CSIR/ICMR), industry/private sponsorship, international grants (EU/UK/bilateral), internal research funds, consultancy. Report in PPP-adjusted USD.</t>
  </si>
  <si>
    <t xml:space="preserve">4. PPP Conversion: Use World Bank PPP conversion factors for India. Example: if India PPP factor ~22.9 INR/intl$, then ₹1 Cr = ~$43,668 PPP. THE applies automatic PPP adjustment.</t>
  </si>
  <si>
    <t xml:space="preserve">5. Research Productivity: Count Scopus-indexed publications only. 5-year window. Include journal articles, conference papers, reviews, books/chapters. Subject normalization applied by THE to avoid penalizing humanities/social sciences.</t>
  </si>
  <si>
    <t xml:space="preserve">6. Scopus Author Profiles: Ensure ALL faculty have verified Scopus Author IDs with correct institutional affiliation. Merge duplicate profiles. This directly impacts publication count credited to institution.</t>
  </si>
  <si>
    <t xml:space="preserve">7. Funded Projects Tracker: Use the Research Funding Tracker sheet to record individual grants, PI names, agencies, amounts, durations. Sum feeds into Research Income indicator.</t>
  </si>
  <si>
    <t xml:space="preserve">8. Publication Tracker: Use the Publication Scopus Tracker sheet for faculty-wise Scopus data including H-index, citations, international co-authorship %, open access %, top-quartile journal %.</t>
  </si>
  <si>
    <t xml:space="preserve">9. Composite Score: Auto-calculated using THE weights: 18% + 6% + 6% = 30% of total THE World University Rankings.</t>
  </si>
  <si>
    <t xml:space="preserve">10. Year-on-Year Tracker: Enter annual scores for trend analysis. 5-yr change, average, best, worst are auto-calculated.</t>
  </si>
  <si>
    <t xml:space="preserve">11. Action Plan: 12 pre-filled targeted improvement actions covering all 3 indicators + overall research environment.</t>
  </si>
  <si>
    <t xml:space="preserve">12. Key agencies for Indian HEIs: DST-SERB, DBT, CSIR, ICMR, ICAR, DRDO, ISRO, MoES, UGC, AICTE, NRF (₹50K Cr).</t>
  </si>
  <si>
    <t xml:space="preserve">13. THE submits data via Scopus/Elsevier and institutional data collection. Ensure accurate, complete, timely submission.</t>
  </si>
  <si>
    <t xml:space="preserve">14. Validate: Scopus, Web of Science, AISHE, NIRF, institutional annual reports, NAAC SSR, grant databases.</t>
  </si>
  <si>
    <t xml:space="preserve">THE Overall Rankings Pillar Structure (for context)</t>
  </si>
  <si>
    <t xml:space="preserve">• TEACHING (The Learning Environment) — 30%: Reputation (15%) + Staff:Student (4.5%) + Doct:Bachelor (2.25%) + Doct:Staff (6%) + Income:Staff (2.25%)</t>
  </si>
  <si>
    <t xml:space="preserve">• RESEARCH ENVIRONMENT — 30%: Reputation Survey (18%) + Research Income per Staff (6%) + Research Productivity (6%)</t>
  </si>
  <si>
    <t xml:space="preserve">• RESEARCH QUALITY — 30%: Citation Impact (15%) + Research Strength (5%) + Research Excellence (5%) + Research Influence (5%)</t>
  </si>
  <si>
    <t xml:space="preserve">• INTERNATIONAL OUTLOOK — 7.5%: International Students (2.5%) + International Staff (2.5%) + International Co-authorship (2.5%)</t>
  </si>
  <si>
    <t xml:space="preserve">• INDUSTRY — 2.5%: Industry Income from Knowledge Transfer (2.5%)</t>
  </si>
  <si>
    <t xml:space="preserve">• TOTAL = 100% — Teaching 30% + Research Environment 30% + Research Quality 30% + International 7.5% + Industry 2.5%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</si>
</sst>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0695C"/>
        <bgColor rgb="FF006064"/>
      </patternFill>
    </fill>
    <fill>
      <patternFill patternType="solid">
        <fgColor rgb="FF00897B"/>
        <bgColor rgb="FF00695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004D40"/>
        <bgColor rgb="FF006064"/>
      </patternFill>
    </fill>
    <fill>
      <patternFill patternType="solid">
        <fgColor rgb="FF1B5E20"/>
        <bgColor rgb="FF004D40"/>
      </patternFill>
    </fill>
    <fill>
      <patternFill patternType="solid">
        <fgColor rgb="FF2E7D32"/>
        <bgColor rgb="FF1B5E20"/>
      </patternFill>
    </fill>
    <fill>
      <patternFill patternType="solid">
        <fgColor rgb="FFE65100"/>
        <bgColor rgb="FF993300"/>
      </patternFill>
    </fill>
    <fill>
      <patternFill patternType="solid">
        <fgColor rgb="FF283593"/>
        <bgColor rgb="FF37474F"/>
      </patternFill>
    </fill>
    <fill>
      <patternFill patternType="solid">
        <fgColor rgb="FF37474F"/>
        <bgColor rgb="FF404040"/>
      </patternFill>
    </fill>
    <fill>
      <patternFill patternType="solid">
        <fgColor rgb="FF006064"/>
        <bgColor rgb="FF00695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97B"/>
      <rgbColor rgb="FFB4B4B4"/>
      <rgbColor rgb="FF808080"/>
      <rgbColor rgb="FF9999FF"/>
      <rgbColor rgb="FF993366"/>
      <rgbColor rgb="FFF2F2F2"/>
      <rgbColor rgb="FFCCFFFF"/>
      <rgbColor rgb="FF660066"/>
      <rgbColor rgb="FFFF8080"/>
      <rgbColor rgb="FF006064"/>
      <rgbColor rgb="FFCCCCFF"/>
      <rgbColor rgb="FF000080"/>
      <rgbColor rgb="FFFF00FF"/>
      <rgbColor rgb="FFFFFF00"/>
      <rgbColor rgb="FF00FFFF"/>
      <rgbColor rgb="FF800080"/>
      <rgbColor rgb="FF800000"/>
      <rgbColor rgb="FF00695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4D40"/>
      <rgbColor rgb="FF2E7D32"/>
      <rgbColor rgb="FF003300"/>
      <rgbColor rgb="FF37474F"/>
      <rgbColor rgb="FF993300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6" min="5" style="0" width="24"/>
    <col collapsed="false" customWidth="true" hidden="false" outlineLevel="0" max="7" min="7" style="0" width="28"/>
    <col collapsed="false" customWidth="true" hidden="false" outlineLevel="0" max="9" min="8" style="0" width="24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22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40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14" min="9" style="0" width="22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8" t="s">
        <v>2</v>
      </c>
      <c r="B4" s="8" t="s">
        <v>3</v>
      </c>
      <c r="C4" s="8" t="s">
        <v>4</v>
      </c>
      <c r="D4" s="8" t="s">
        <v>5</v>
      </c>
      <c r="E4" s="8" t="s">
        <v>18</v>
      </c>
      <c r="F4" s="8" t="s">
        <v>19</v>
      </c>
      <c r="G4" s="8" t="s">
        <v>20</v>
      </c>
      <c r="H4" s="8" t="s">
        <v>21</v>
      </c>
      <c r="I4" s="8" t="s">
        <v>22</v>
      </c>
      <c r="J4" s="8" t="s">
        <v>23</v>
      </c>
      <c r="K4" s="8" t="s">
        <v>24</v>
      </c>
      <c r="L4" s="8" t="s">
        <v>25</v>
      </c>
      <c r="M4" s="8" t="s">
        <v>26</v>
      </c>
      <c r="N4" s="8" t="s">
        <v>27</v>
      </c>
      <c r="O4" s="8" t="s">
        <v>14</v>
      </c>
      <c r="P4" s="8" t="s">
        <v>15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9" t="n">
        <f aca="false">IF(F5&gt;0,E5/F5,0)</f>
        <v>0</v>
      </c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10" t="n">
        <f aca="false">IF(F6&gt;0,E6/F6,0)</f>
        <v>0</v>
      </c>
      <c r="H6" s="7"/>
      <c r="I6" s="7"/>
      <c r="J6" s="7"/>
      <c r="K6" s="7"/>
      <c r="L6" s="7"/>
      <c r="M6" s="7"/>
      <c r="N6" s="7"/>
      <c r="O6" s="7"/>
      <c r="P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9" t="n">
        <f aca="false">IF(F7&gt;0,E7/F7,0)</f>
        <v>0</v>
      </c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10" t="n">
        <f aca="false">IF(F8&gt;0,E8/F8,0)</f>
        <v>0</v>
      </c>
      <c r="H8" s="7"/>
      <c r="I8" s="7"/>
      <c r="J8" s="7"/>
      <c r="K8" s="7"/>
      <c r="L8" s="7"/>
      <c r="M8" s="7"/>
      <c r="N8" s="7"/>
      <c r="O8" s="7"/>
      <c r="P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9" t="n">
        <f aca="false">IF(F9&gt;0,E9/F9,0)</f>
        <v>0</v>
      </c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10" t="n">
        <f aca="false">IF(F10&gt;0,E10/F10,0)</f>
        <v>0</v>
      </c>
      <c r="H10" s="7"/>
      <c r="I10" s="7"/>
      <c r="J10" s="7"/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9" t="n">
        <f aca="false">IF(F11&gt;0,E11/F11,0)</f>
        <v>0</v>
      </c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10" t="n">
        <f aca="false">IF(F12&gt;0,E12/F12,0)</f>
        <v>0</v>
      </c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9" t="n">
        <f aca="false">IF(F13&gt;0,E13/F13,0)</f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10" t="n">
        <f aca="false">IF(F14&gt;0,E14/F14,0)</f>
        <v>0</v>
      </c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9" t="n">
        <f aca="false">IF(F15&gt;0,E15/F15,0)</f>
        <v>0</v>
      </c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10" t="n">
        <f aca="false">IF(F16&gt;0,E16/F16,0)</f>
        <v>0</v>
      </c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9" t="n">
        <f aca="false">IF(F17&gt;0,E17/F17,0)</f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10" t="n">
        <f aca="false">IF(F18&gt;0,E18/F18,0)</f>
        <v>0</v>
      </c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9" t="n">
        <f aca="false">IF(F19&gt;0,E19/F19,0)</f>
        <v>0</v>
      </c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10" t="n">
        <f aca="false">IF(F20&gt;0,E20/F20,0)</f>
        <v>0</v>
      </c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9" t="n">
        <f aca="false">IF(F21&gt;0,E21/F21,0)</f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10" t="n">
        <f aca="false">IF(F22&gt;0,E22/F22,0)</f>
        <v>0</v>
      </c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9" t="n">
        <f aca="false">IF(F23&gt;0,E23/F23,0)</f>
        <v>0</v>
      </c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10" t="n">
        <f aca="false">IF(F24&gt;0,E24/F24,0)</f>
        <v>0</v>
      </c>
      <c r="H24" s="7"/>
      <c r="I24" s="7"/>
      <c r="J24" s="7"/>
      <c r="K24" s="7"/>
      <c r="L24" s="7"/>
      <c r="M24" s="7"/>
      <c r="N24" s="7"/>
      <c r="O24" s="7"/>
      <c r="P24" s="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7" min="6" style="0" width="22"/>
    <col collapsed="false" customWidth="true" hidden="false" outlineLevel="0" max="8" min="8" style="0" width="18"/>
    <col collapsed="false" customWidth="true" hidden="false" outlineLevel="0" max="10" min="9" style="0" width="20"/>
    <col collapsed="false" customWidth="true" hidden="false" outlineLevel="0" max="11" min="11" style="0" width="16"/>
    <col collapsed="false" customWidth="true" hidden="false" outlineLevel="0" max="12" min="12" style="0" width="22"/>
    <col collapsed="false" customWidth="true" hidden="false" outlineLevel="0" max="13" min="13" style="0" width="28"/>
    <col collapsed="false" customWidth="true" hidden="false" outlineLevel="0" max="14" min="14" style="0" width="22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3.85" hidden="false" customHeight="false" outlineLevel="0" collapsed="false">
      <c r="A4" s="11" t="s">
        <v>2</v>
      </c>
      <c r="B4" s="11" t="s">
        <v>3</v>
      </c>
      <c r="C4" s="11" t="s">
        <v>4</v>
      </c>
      <c r="D4" s="11" t="s">
        <v>5</v>
      </c>
      <c r="E4" s="11" t="s">
        <v>30</v>
      </c>
      <c r="F4" s="11" t="s">
        <v>19</v>
      </c>
      <c r="G4" s="11" t="s">
        <v>31</v>
      </c>
      <c r="H4" s="11" t="s">
        <v>21</v>
      </c>
      <c r="I4" s="11" t="s">
        <v>32</v>
      </c>
      <c r="J4" s="11" t="s">
        <v>33</v>
      </c>
      <c r="K4" s="11" t="s">
        <v>34</v>
      </c>
      <c r="L4" s="11" t="s">
        <v>35</v>
      </c>
      <c r="M4" s="11" t="s">
        <v>36</v>
      </c>
      <c r="N4" s="11" t="s">
        <v>37</v>
      </c>
      <c r="O4" s="11" t="s">
        <v>14</v>
      </c>
      <c r="P4" s="11" t="s">
        <v>15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12" t="n">
        <f aca="false">IF(F5&gt;0,E5/F5,0)</f>
        <v>0</v>
      </c>
      <c r="H5" s="5"/>
      <c r="I5" s="5"/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13" t="n">
        <f aca="false">IF(F6&gt;0,E6/F6,0)</f>
        <v>0</v>
      </c>
      <c r="H6" s="7"/>
      <c r="I6" s="7"/>
      <c r="J6" s="7"/>
      <c r="K6" s="7"/>
      <c r="L6" s="7"/>
      <c r="M6" s="7"/>
      <c r="N6" s="7"/>
      <c r="O6" s="7"/>
      <c r="P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12" t="n">
        <f aca="false">IF(F7&gt;0,E7/F7,0)</f>
        <v>0</v>
      </c>
      <c r="H7" s="5"/>
      <c r="I7" s="5"/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13" t="n">
        <f aca="false">IF(F8&gt;0,E8/F8,0)</f>
        <v>0</v>
      </c>
      <c r="H8" s="7"/>
      <c r="I8" s="7"/>
      <c r="J8" s="7"/>
      <c r="K8" s="7"/>
      <c r="L8" s="7"/>
      <c r="M8" s="7"/>
      <c r="N8" s="7"/>
      <c r="O8" s="7"/>
      <c r="P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12" t="n">
        <f aca="false">IF(F9&gt;0,E9/F9,0)</f>
        <v>0</v>
      </c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13" t="n">
        <f aca="false">IF(F10&gt;0,E10/F10,0)</f>
        <v>0</v>
      </c>
      <c r="H10" s="7"/>
      <c r="I10" s="7"/>
      <c r="J10" s="7"/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12" t="n">
        <f aca="false">IF(F11&gt;0,E11/F11,0)</f>
        <v>0</v>
      </c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13" t="n">
        <f aca="false">IF(F12&gt;0,E12/F12,0)</f>
        <v>0</v>
      </c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12" t="n">
        <f aca="false">IF(F13&gt;0,E13/F13,0)</f>
        <v>0</v>
      </c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13" t="n">
        <f aca="false">IF(F14&gt;0,E14/F14,0)</f>
        <v>0</v>
      </c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12" t="n">
        <f aca="false">IF(F15&gt;0,E15/F15,0)</f>
        <v>0</v>
      </c>
      <c r="H15" s="5"/>
      <c r="I15" s="5"/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13" t="n">
        <f aca="false">IF(F16&gt;0,E16/F16,0)</f>
        <v>0</v>
      </c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12" t="n">
        <f aca="false">IF(F17&gt;0,E17/F17,0)</f>
        <v>0</v>
      </c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13" t="n">
        <f aca="false">IF(F18&gt;0,E18/F18,0)</f>
        <v>0</v>
      </c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12" t="n">
        <f aca="false">IF(F19&gt;0,E19/F19,0)</f>
        <v>0</v>
      </c>
      <c r="H19" s="5"/>
      <c r="I19" s="5"/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13" t="n">
        <f aca="false">IF(F20&gt;0,E20/F20,0)</f>
        <v>0</v>
      </c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12" t="n">
        <f aca="false">IF(F21&gt;0,E21/F21,0)</f>
        <v>0</v>
      </c>
      <c r="H21" s="5"/>
      <c r="I21" s="5"/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13" t="n">
        <f aca="false">IF(F22&gt;0,E22/F22,0)</f>
        <v>0</v>
      </c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12" t="n">
        <f aca="false">IF(F23&gt;0,E23/F23,0)</f>
        <v>0</v>
      </c>
      <c r="H23" s="5"/>
      <c r="I23" s="5"/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13" t="n">
        <f aca="false">IF(F24&gt;0,E24/F24,0)</f>
        <v>0</v>
      </c>
      <c r="H24" s="7"/>
      <c r="I24" s="7"/>
      <c r="J24" s="7"/>
      <c r="K24" s="7"/>
      <c r="L24" s="7"/>
      <c r="M24" s="7"/>
      <c r="N24" s="7"/>
      <c r="O24" s="7"/>
      <c r="P24" s="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8" min="7" style="0" width="24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.7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3.85" hidden="false" customHeight="false" outlineLevel="0" collapsed="false">
      <c r="A4" s="14" t="s">
        <v>2</v>
      </c>
      <c r="B4" s="14" t="s">
        <v>3</v>
      </c>
      <c r="C4" s="14" t="s">
        <v>4</v>
      </c>
      <c r="D4" s="14" t="s">
        <v>5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4" t="s">
        <v>45</v>
      </c>
      <c r="K4" s="14" t="s">
        <v>46</v>
      </c>
      <c r="L4" s="14" t="s">
        <v>47</v>
      </c>
      <c r="M4" s="14" t="s">
        <v>14</v>
      </c>
      <c r="N4" s="14" t="s">
        <v>15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12" t="n">
        <f aca="false">E5*0.18</f>
        <v>0</v>
      </c>
      <c r="I5" s="12" t="n">
        <f aca="false">F5*0.06</f>
        <v>0</v>
      </c>
      <c r="J5" s="12" t="n">
        <f aca="false">G5*0.06</f>
        <v>0</v>
      </c>
      <c r="K5" s="12" t="n">
        <f aca="false">H5+I5+J5</f>
        <v>0</v>
      </c>
      <c r="L5" s="5"/>
      <c r="M5" s="5"/>
      <c r="N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7"/>
      <c r="H6" s="13" t="n">
        <f aca="false">E6*0.18</f>
        <v>0</v>
      </c>
      <c r="I6" s="13" t="n">
        <f aca="false">F6*0.06</f>
        <v>0</v>
      </c>
      <c r="J6" s="13" t="n">
        <f aca="false">G6*0.06</f>
        <v>0</v>
      </c>
      <c r="K6" s="13" t="n">
        <f aca="false">H6+I6+J6</f>
        <v>0</v>
      </c>
      <c r="L6" s="7"/>
      <c r="M6" s="7"/>
      <c r="N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12" t="n">
        <f aca="false">E7*0.18</f>
        <v>0</v>
      </c>
      <c r="I7" s="12" t="n">
        <f aca="false">F7*0.06</f>
        <v>0</v>
      </c>
      <c r="J7" s="12" t="n">
        <f aca="false">G7*0.06</f>
        <v>0</v>
      </c>
      <c r="K7" s="12" t="n">
        <f aca="false">H7+I7+J7</f>
        <v>0</v>
      </c>
      <c r="L7" s="5"/>
      <c r="M7" s="5"/>
      <c r="N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7"/>
      <c r="H8" s="13" t="n">
        <f aca="false">E8*0.18</f>
        <v>0</v>
      </c>
      <c r="I8" s="13" t="n">
        <f aca="false">F8*0.06</f>
        <v>0</v>
      </c>
      <c r="J8" s="13" t="n">
        <f aca="false">G8*0.06</f>
        <v>0</v>
      </c>
      <c r="K8" s="13" t="n">
        <f aca="false">H8+I8+J8</f>
        <v>0</v>
      </c>
      <c r="L8" s="7"/>
      <c r="M8" s="7"/>
      <c r="N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12" t="n">
        <f aca="false">E9*0.18</f>
        <v>0</v>
      </c>
      <c r="I9" s="12" t="n">
        <f aca="false">F9*0.06</f>
        <v>0</v>
      </c>
      <c r="J9" s="12" t="n">
        <f aca="false">G9*0.06</f>
        <v>0</v>
      </c>
      <c r="K9" s="12" t="n">
        <f aca="false">H9+I9+J9</f>
        <v>0</v>
      </c>
      <c r="L9" s="5"/>
      <c r="M9" s="5"/>
      <c r="N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7"/>
      <c r="H10" s="13" t="n">
        <f aca="false">E10*0.18</f>
        <v>0</v>
      </c>
      <c r="I10" s="13" t="n">
        <f aca="false">F10*0.06</f>
        <v>0</v>
      </c>
      <c r="J10" s="13" t="n">
        <f aca="false">G10*0.06</f>
        <v>0</v>
      </c>
      <c r="K10" s="13" t="n">
        <f aca="false">H10+I10+J10</f>
        <v>0</v>
      </c>
      <c r="L10" s="7"/>
      <c r="M10" s="7"/>
      <c r="N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12" t="n">
        <f aca="false">E11*0.18</f>
        <v>0</v>
      </c>
      <c r="I11" s="12" t="n">
        <f aca="false">F11*0.06</f>
        <v>0</v>
      </c>
      <c r="J11" s="12" t="n">
        <f aca="false">G11*0.06</f>
        <v>0</v>
      </c>
      <c r="K11" s="12" t="n">
        <f aca="false">H11+I11+J11</f>
        <v>0</v>
      </c>
      <c r="L11" s="5"/>
      <c r="M11" s="5"/>
      <c r="N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7"/>
      <c r="H12" s="13" t="n">
        <f aca="false">E12*0.18</f>
        <v>0</v>
      </c>
      <c r="I12" s="13" t="n">
        <f aca="false">F12*0.06</f>
        <v>0</v>
      </c>
      <c r="J12" s="13" t="n">
        <f aca="false">G12*0.06</f>
        <v>0</v>
      </c>
      <c r="K12" s="13" t="n">
        <f aca="false">H12+I12+J12</f>
        <v>0</v>
      </c>
      <c r="L12" s="7"/>
      <c r="M12" s="7"/>
      <c r="N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12" t="n">
        <f aca="false">E13*0.18</f>
        <v>0</v>
      </c>
      <c r="I13" s="12" t="n">
        <f aca="false">F13*0.06</f>
        <v>0</v>
      </c>
      <c r="J13" s="12" t="n">
        <f aca="false">G13*0.06</f>
        <v>0</v>
      </c>
      <c r="K13" s="12" t="n">
        <f aca="false">H13+I13+J13</f>
        <v>0</v>
      </c>
      <c r="L13" s="5"/>
      <c r="M13" s="5"/>
      <c r="N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7"/>
      <c r="H14" s="13" t="n">
        <f aca="false">E14*0.18</f>
        <v>0</v>
      </c>
      <c r="I14" s="13" t="n">
        <f aca="false">F14*0.06</f>
        <v>0</v>
      </c>
      <c r="J14" s="13" t="n">
        <f aca="false">G14*0.06</f>
        <v>0</v>
      </c>
      <c r="K14" s="13" t="n">
        <f aca="false">H14+I14+J14</f>
        <v>0</v>
      </c>
      <c r="L14" s="7"/>
      <c r="M14" s="7"/>
      <c r="N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12" t="n">
        <f aca="false">E15*0.18</f>
        <v>0</v>
      </c>
      <c r="I15" s="12" t="n">
        <f aca="false">F15*0.06</f>
        <v>0</v>
      </c>
      <c r="J15" s="12" t="n">
        <f aca="false">G15*0.06</f>
        <v>0</v>
      </c>
      <c r="K15" s="12" t="n">
        <f aca="false">H15+I15+J15</f>
        <v>0</v>
      </c>
      <c r="L15" s="5"/>
      <c r="M15" s="5"/>
      <c r="N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7"/>
      <c r="H16" s="13" t="n">
        <f aca="false">E16*0.18</f>
        <v>0</v>
      </c>
      <c r="I16" s="13" t="n">
        <f aca="false">F16*0.06</f>
        <v>0</v>
      </c>
      <c r="J16" s="13" t="n">
        <f aca="false">G16*0.06</f>
        <v>0</v>
      </c>
      <c r="K16" s="13" t="n">
        <f aca="false">H16+I16+J16</f>
        <v>0</v>
      </c>
      <c r="L16" s="7"/>
      <c r="M16" s="7"/>
      <c r="N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12" t="n">
        <f aca="false">E17*0.18</f>
        <v>0</v>
      </c>
      <c r="I17" s="12" t="n">
        <f aca="false">F17*0.06</f>
        <v>0</v>
      </c>
      <c r="J17" s="12" t="n">
        <f aca="false">G17*0.06</f>
        <v>0</v>
      </c>
      <c r="K17" s="12" t="n">
        <f aca="false">H17+I17+J17</f>
        <v>0</v>
      </c>
      <c r="L17" s="5"/>
      <c r="M17" s="5"/>
      <c r="N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7"/>
      <c r="H18" s="13" t="n">
        <f aca="false">E18*0.18</f>
        <v>0</v>
      </c>
      <c r="I18" s="13" t="n">
        <f aca="false">F18*0.06</f>
        <v>0</v>
      </c>
      <c r="J18" s="13" t="n">
        <f aca="false">G18*0.06</f>
        <v>0</v>
      </c>
      <c r="K18" s="13" t="n">
        <f aca="false">H18+I18+J18</f>
        <v>0</v>
      </c>
      <c r="L18" s="7"/>
      <c r="M18" s="7"/>
      <c r="N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12" t="n">
        <f aca="false">E19*0.18</f>
        <v>0</v>
      </c>
      <c r="I19" s="12" t="n">
        <f aca="false">F19*0.06</f>
        <v>0</v>
      </c>
      <c r="J19" s="12" t="n">
        <f aca="false">G19*0.06</f>
        <v>0</v>
      </c>
      <c r="K19" s="12" t="n">
        <f aca="false">H19+I19+J19</f>
        <v>0</v>
      </c>
      <c r="L19" s="5"/>
      <c r="M19" s="5"/>
      <c r="N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7"/>
      <c r="H20" s="13" t="n">
        <f aca="false">E20*0.18</f>
        <v>0</v>
      </c>
      <c r="I20" s="13" t="n">
        <f aca="false">F20*0.06</f>
        <v>0</v>
      </c>
      <c r="J20" s="13" t="n">
        <f aca="false">G20*0.06</f>
        <v>0</v>
      </c>
      <c r="K20" s="13" t="n">
        <f aca="false">H20+I20+J20</f>
        <v>0</v>
      </c>
      <c r="L20" s="7"/>
      <c r="M20" s="7"/>
      <c r="N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12" t="n">
        <f aca="false">E21*0.18</f>
        <v>0</v>
      </c>
      <c r="I21" s="12" t="n">
        <f aca="false">F21*0.06</f>
        <v>0</v>
      </c>
      <c r="J21" s="12" t="n">
        <f aca="false">G21*0.06</f>
        <v>0</v>
      </c>
      <c r="K21" s="12" t="n">
        <f aca="false">H21+I21+J21</f>
        <v>0</v>
      </c>
      <c r="L21" s="5"/>
      <c r="M21" s="5"/>
      <c r="N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7"/>
      <c r="H22" s="13" t="n">
        <f aca="false">E22*0.18</f>
        <v>0</v>
      </c>
      <c r="I22" s="13" t="n">
        <f aca="false">F22*0.06</f>
        <v>0</v>
      </c>
      <c r="J22" s="13" t="n">
        <f aca="false">G22*0.06</f>
        <v>0</v>
      </c>
      <c r="K22" s="13" t="n">
        <f aca="false">H22+I22+J22</f>
        <v>0</v>
      </c>
      <c r="L22" s="7"/>
      <c r="M22" s="7"/>
      <c r="N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12" t="n">
        <f aca="false">E23*0.18</f>
        <v>0</v>
      </c>
      <c r="I23" s="12" t="n">
        <f aca="false">F23*0.06</f>
        <v>0</v>
      </c>
      <c r="J23" s="12" t="n">
        <f aca="false">G23*0.06</f>
        <v>0</v>
      </c>
      <c r="K23" s="12" t="n">
        <f aca="false">H23+I23+J23</f>
        <v>0</v>
      </c>
      <c r="L23" s="5"/>
      <c r="M23" s="5"/>
      <c r="N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7"/>
      <c r="H24" s="13" t="n">
        <f aca="false">E24*0.18</f>
        <v>0</v>
      </c>
      <c r="I24" s="13" t="n">
        <f aca="false">F24*0.06</f>
        <v>0</v>
      </c>
      <c r="J24" s="13" t="n">
        <f aca="false">G24*0.06</f>
        <v>0</v>
      </c>
      <c r="K24" s="13" t="n">
        <f aca="false">H24+I24+J24</f>
        <v>0</v>
      </c>
      <c r="L24" s="7"/>
      <c r="M24" s="7"/>
      <c r="N24" s="7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5" t="s">
        <v>2</v>
      </c>
      <c r="B4" s="15" t="s">
        <v>3</v>
      </c>
      <c r="C4" s="15" t="s">
        <v>50</v>
      </c>
      <c r="D4" s="15" t="s">
        <v>51</v>
      </c>
      <c r="E4" s="15" t="s">
        <v>52</v>
      </c>
      <c r="F4" s="15" t="s">
        <v>53</v>
      </c>
      <c r="G4" s="15" t="s">
        <v>54</v>
      </c>
      <c r="H4" s="15" t="s">
        <v>55</v>
      </c>
      <c r="I4" s="15" t="s">
        <v>56</v>
      </c>
      <c r="J4" s="15" t="s">
        <v>57</v>
      </c>
      <c r="K4" s="15" t="s">
        <v>58</v>
      </c>
      <c r="L4" s="15" t="s">
        <v>59</v>
      </c>
      <c r="M4" s="15" t="s">
        <v>60</v>
      </c>
      <c r="N4" s="15" t="s">
        <v>61</v>
      </c>
      <c r="O4" s="15" t="s">
        <v>62</v>
      </c>
      <c r="P4" s="15" t="s">
        <v>15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9" t="n">
        <f aca="false">IF(H5&gt;0,G5*H5,0)</f>
        <v>0</v>
      </c>
      <c r="J5" s="5"/>
      <c r="K5" s="5"/>
      <c r="L5" s="5"/>
      <c r="M5" s="5"/>
      <c r="N5" s="5"/>
      <c r="O5" s="5"/>
      <c r="P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7"/>
      <c r="H6" s="7"/>
      <c r="I6" s="10" t="n">
        <f aca="false">IF(H6&gt;0,G6*H6,0)</f>
        <v>0</v>
      </c>
      <c r="J6" s="7"/>
      <c r="K6" s="7"/>
      <c r="L6" s="7"/>
      <c r="M6" s="7"/>
      <c r="N6" s="7"/>
      <c r="O6" s="7"/>
      <c r="P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9" t="n">
        <f aca="false">IF(H7&gt;0,G7*H7,0)</f>
        <v>0</v>
      </c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7"/>
      <c r="H8" s="7"/>
      <c r="I8" s="10" t="n">
        <f aca="false">IF(H8&gt;0,G8*H8,0)</f>
        <v>0</v>
      </c>
      <c r="J8" s="7"/>
      <c r="K8" s="7"/>
      <c r="L8" s="7"/>
      <c r="M8" s="7"/>
      <c r="N8" s="7"/>
      <c r="O8" s="7"/>
      <c r="P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9" t="n">
        <f aca="false">IF(H9&gt;0,G9*H9,0)</f>
        <v>0</v>
      </c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7"/>
      <c r="H10" s="7"/>
      <c r="I10" s="10" t="n">
        <f aca="false">IF(H10&gt;0,G10*H10,0)</f>
        <v>0</v>
      </c>
      <c r="J10" s="7"/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9" t="n">
        <f aca="false">IF(H11&gt;0,G11*H11,0)</f>
        <v>0</v>
      </c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7"/>
      <c r="H12" s="7"/>
      <c r="I12" s="10" t="n">
        <f aca="false">IF(H12&gt;0,G12*H12,0)</f>
        <v>0</v>
      </c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9" t="n">
        <f aca="false">IF(H13&gt;0,G13*H13,0)</f>
        <v>0</v>
      </c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7"/>
      <c r="H14" s="7"/>
      <c r="I14" s="10" t="n">
        <f aca="false">IF(H14&gt;0,G14*H14,0)</f>
        <v>0</v>
      </c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9" t="n">
        <f aca="false">IF(H15&gt;0,G15*H15,0)</f>
        <v>0</v>
      </c>
      <c r="J15" s="5"/>
      <c r="K15" s="5"/>
      <c r="L15" s="5"/>
      <c r="M15" s="5"/>
      <c r="N15" s="5"/>
      <c r="O15" s="5"/>
      <c r="P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7"/>
      <c r="H16" s="7"/>
      <c r="I16" s="10" t="n">
        <f aca="false">IF(H16&gt;0,G16*H16,0)</f>
        <v>0</v>
      </c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9" t="n">
        <f aca="false">IF(H17&gt;0,G17*H17,0)</f>
        <v>0</v>
      </c>
      <c r="J17" s="5"/>
      <c r="K17" s="5"/>
      <c r="L17" s="5"/>
      <c r="M17" s="5"/>
      <c r="N17" s="5"/>
      <c r="O17" s="5"/>
      <c r="P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7"/>
      <c r="H18" s="7"/>
      <c r="I18" s="10" t="n">
        <f aca="false">IF(H18&gt;0,G18*H18,0)</f>
        <v>0</v>
      </c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9" t="n">
        <f aca="false">IF(H19&gt;0,G19*H19,0)</f>
        <v>0</v>
      </c>
      <c r="J19" s="5"/>
      <c r="K19" s="5"/>
      <c r="L19" s="5"/>
      <c r="M19" s="5"/>
      <c r="N19" s="5"/>
      <c r="O19" s="5"/>
      <c r="P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7"/>
      <c r="H20" s="7"/>
      <c r="I20" s="10" t="n">
        <f aca="false">IF(H20&gt;0,G20*H20,0)</f>
        <v>0</v>
      </c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9" t="n">
        <f aca="false">IF(H21&gt;0,G21*H21,0)</f>
        <v>0</v>
      </c>
      <c r="J21" s="5"/>
      <c r="K21" s="5"/>
      <c r="L21" s="5"/>
      <c r="M21" s="5"/>
      <c r="N21" s="5"/>
      <c r="O21" s="5"/>
      <c r="P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7"/>
      <c r="H22" s="7"/>
      <c r="I22" s="10" t="n">
        <f aca="false">IF(H22&gt;0,G22*H22,0)</f>
        <v>0</v>
      </c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9" t="n">
        <f aca="false">IF(H23&gt;0,G23*H23,0)</f>
        <v>0</v>
      </c>
      <c r="J23" s="5"/>
      <c r="K23" s="5"/>
      <c r="L23" s="5"/>
      <c r="M23" s="5"/>
      <c r="N23" s="5"/>
      <c r="O23" s="5"/>
      <c r="P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7"/>
      <c r="H24" s="7"/>
      <c r="I24" s="10" t="n">
        <f aca="false">IF(H24&gt;0,G24*H24,0)</f>
        <v>0</v>
      </c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4" t="n">
        <v>21</v>
      </c>
      <c r="B25" s="5"/>
      <c r="C25" s="5"/>
      <c r="D25" s="5"/>
      <c r="E25" s="5"/>
      <c r="F25" s="5"/>
      <c r="G25" s="5"/>
      <c r="H25" s="5"/>
      <c r="I25" s="9" t="n">
        <f aca="false">IF(H25&gt;0,G25*H25,0)</f>
        <v>0</v>
      </c>
      <c r="J25" s="5"/>
      <c r="K25" s="5"/>
      <c r="L25" s="5"/>
      <c r="M25" s="5"/>
      <c r="N25" s="5"/>
      <c r="O25" s="5"/>
      <c r="P25" s="5"/>
    </row>
    <row r="26" customFormat="false" ht="15" hidden="false" customHeight="false" outlineLevel="0" collapsed="false">
      <c r="A26" s="6" t="n">
        <v>22</v>
      </c>
      <c r="B26" s="7"/>
      <c r="C26" s="7"/>
      <c r="D26" s="7"/>
      <c r="E26" s="7"/>
      <c r="F26" s="7"/>
      <c r="G26" s="7"/>
      <c r="H26" s="7"/>
      <c r="I26" s="10" t="n">
        <f aca="false">IF(H26&gt;0,G26*H26,0)</f>
        <v>0</v>
      </c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4" t="n">
        <v>23</v>
      </c>
      <c r="B27" s="5"/>
      <c r="C27" s="5"/>
      <c r="D27" s="5"/>
      <c r="E27" s="5"/>
      <c r="F27" s="5"/>
      <c r="G27" s="5"/>
      <c r="H27" s="5"/>
      <c r="I27" s="9" t="n">
        <f aca="false">IF(H27&gt;0,G27*H27,0)</f>
        <v>0</v>
      </c>
      <c r="J27" s="5"/>
      <c r="K27" s="5"/>
      <c r="L27" s="5"/>
      <c r="M27" s="5"/>
      <c r="N27" s="5"/>
      <c r="O27" s="5"/>
      <c r="P27" s="5"/>
    </row>
    <row r="28" customFormat="false" ht="15" hidden="false" customHeight="false" outlineLevel="0" collapsed="false">
      <c r="A28" s="6" t="n">
        <v>24</v>
      </c>
      <c r="B28" s="7"/>
      <c r="C28" s="7"/>
      <c r="D28" s="7"/>
      <c r="E28" s="7"/>
      <c r="F28" s="7"/>
      <c r="G28" s="7"/>
      <c r="H28" s="7"/>
      <c r="I28" s="10" t="n">
        <f aca="false">IF(H28&gt;0,G28*H28,0)</f>
        <v>0</v>
      </c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4" t="n">
        <v>25</v>
      </c>
      <c r="B29" s="5"/>
      <c r="C29" s="5"/>
      <c r="D29" s="5"/>
      <c r="E29" s="5"/>
      <c r="F29" s="5"/>
      <c r="G29" s="5"/>
      <c r="H29" s="5"/>
      <c r="I29" s="9" t="n">
        <f aca="false">IF(H29&gt;0,G29*H29,0)</f>
        <v>0</v>
      </c>
      <c r="J29" s="5"/>
      <c r="K29" s="5"/>
      <c r="L29" s="5"/>
      <c r="M29" s="5"/>
      <c r="N29" s="5"/>
      <c r="O29" s="5"/>
      <c r="P29" s="5"/>
    </row>
    <row r="30" customFormat="false" ht="15" hidden="false" customHeight="false" outlineLevel="0" collapsed="false">
      <c r="A30" s="6" t="n">
        <v>26</v>
      </c>
      <c r="B30" s="7"/>
      <c r="C30" s="7"/>
      <c r="D30" s="7"/>
      <c r="E30" s="7"/>
      <c r="F30" s="7"/>
      <c r="G30" s="7"/>
      <c r="H30" s="7"/>
      <c r="I30" s="10" t="n">
        <f aca="false">IF(H30&gt;0,G30*H30,0)</f>
        <v>0</v>
      </c>
      <c r="J30" s="7"/>
      <c r="K30" s="7"/>
      <c r="L30" s="7"/>
      <c r="M30" s="7"/>
      <c r="N30" s="7"/>
      <c r="O30" s="7"/>
      <c r="P30" s="7"/>
    </row>
    <row r="31" customFormat="false" ht="15" hidden="false" customHeight="false" outlineLevel="0" collapsed="false">
      <c r="A31" s="4" t="n">
        <v>27</v>
      </c>
      <c r="B31" s="5"/>
      <c r="C31" s="5"/>
      <c r="D31" s="5"/>
      <c r="E31" s="5"/>
      <c r="F31" s="5"/>
      <c r="G31" s="5"/>
      <c r="H31" s="5"/>
      <c r="I31" s="9" t="n">
        <f aca="false">IF(H31&gt;0,G31*H31,0)</f>
        <v>0</v>
      </c>
      <c r="J31" s="5"/>
      <c r="K31" s="5"/>
      <c r="L31" s="5"/>
      <c r="M31" s="5"/>
      <c r="N31" s="5"/>
      <c r="O31" s="5"/>
      <c r="P31" s="5"/>
    </row>
    <row r="32" customFormat="false" ht="15" hidden="false" customHeight="false" outlineLevel="0" collapsed="false">
      <c r="A32" s="6" t="n">
        <v>28</v>
      </c>
      <c r="B32" s="7"/>
      <c r="C32" s="7"/>
      <c r="D32" s="7"/>
      <c r="E32" s="7"/>
      <c r="F32" s="7"/>
      <c r="G32" s="7"/>
      <c r="H32" s="7"/>
      <c r="I32" s="10" t="n">
        <f aca="false">IF(H32&gt;0,G32*H32,0)</f>
        <v>0</v>
      </c>
      <c r="J32" s="7"/>
      <c r="K32" s="7"/>
      <c r="L32" s="7"/>
      <c r="M32" s="7"/>
      <c r="N32" s="7"/>
      <c r="O32" s="7"/>
      <c r="P32" s="7"/>
    </row>
    <row r="33" customFormat="false" ht="15" hidden="false" customHeight="false" outlineLevel="0" collapsed="false">
      <c r="A33" s="4" t="n">
        <v>29</v>
      </c>
      <c r="B33" s="5"/>
      <c r="C33" s="5"/>
      <c r="D33" s="5"/>
      <c r="E33" s="5"/>
      <c r="F33" s="5"/>
      <c r="G33" s="5"/>
      <c r="H33" s="5"/>
      <c r="I33" s="9" t="n">
        <f aca="false">IF(H33&gt;0,G33*H33,0)</f>
        <v>0</v>
      </c>
      <c r="J33" s="5"/>
      <c r="K33" s="5"/>
      <c r="L33" s="5"/>
      <c r="M33" s="5"/>
      <c r="N33" s="5"/>
      <c r="O33" s="5"/>
      <c r="P33" s="5"/>
    </row>
    <row r="34" customFormat="false" ht="15" hidden="false" customHeight="false" outlineLevel="0" collapsed="false">
      <c r="A34" s="6" t="n">
        <v>30</v>
      </c>
      <c r="B34" s="7"/>
      <c r="C34" s="7"/>
      <c r="D34" s="7"/>
      <c r="E34" s="7"/>
      <c r="F34" s="7"/>
      <c r="G34" s="7"/>
      <c r="H34" s="7"/>
      <c r="I34" s="10" t="n">
        <f aca="false">IF(H34&gt;0,G34*H34,0)</f>
        <v>0</v>
      </c>
      <c r="J34" s="7"/>
      <c r="K34" s="7"/>
      <c r="L34" s="7"/>
      <c r="M34" s="7"/>
      <c r="N34" s="7"/>
      <c r="O34" s="7"/>
      <c r="P34" s="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3593"/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4"/>
    <col collapsed="false" customWidth="true" hidden="false" outlineLevel="0" max="14" min="14" style="0" width="18"/>
    <col collapsed="false" customWidth="true" hidden="false" outlineLevel="0" max="15" min="15" style="0" width="24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30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4.7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3.85" hidden="false" customHeight="false" outlineLevel="0" collapsed="false">
      <c r="A4" s="16" t="s">
        <v>2</v>
      </c>
      <c r="B4" s="16" t="s">
        <v>3</v>
      </c>
      <c r="C4" s="16" t="s">
        <v>65</v>
      </c>
      <c r="D4" s="16" t="s">
        <v>58</v>
      </c>
      <c r="E4" s="16" t="s">
        <v>66</v>
      </c>
      <c r="F4" s="16" t="s">
        <v>67</v>
      </c>
      <c r="G4" s="16" t="s">
        <v>32</v>
      </c>
      <c r="H4" s="16" t="s">
        <v>33</v>
      </c>
      <c r="I4" s="16" t="s">
        <v>34</v>
      </c>
      <c r="J4" s="16" t="s">
        <v>68</v>
      </c>
      <c r="K4" s="16" t="s">
        <v>69</v>
      </c>
      <c r="L4" s="16" t="s">
        <v>70</v>
      </c>
      <c r="M4" s="16" t="s">
        <v>71</v>
      </c>
      <c r="N4" s="16" t="s">
        <v>72</v>
      </c>
      <c r="O4" s="16" t="s">
        <v>73</v>
      </c>
      <c r="P4" s="16" t="s">
        <v>74</v>
      </c>
      <c r="Q4" s="16" t="s">
        <v>14</v>
      </c>
      <c r="R4" s="16" t="s">
        <v>15</v>
      </c>
    </row>
    <row r="5" customFormat="false" ht="15" hidden="false" customHeight="false" outlineLevel="0" collapsed="false">
      <c r="A5" s="4" t="n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6" t="n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customFormat="false" ht="15" hidden="false" customHeight="false" outlineLevel="0" collapsed="false">
      <c r="A7" s="4" t="n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6" t="n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customFormat="false" ht="15" hidden="false" customHeight="false" outlineLevel="0" collapsed="false">
      <c r="A9" s="4" t="n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6" t="n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customFormat="false" ht="15" hidden="false" customHeight="false" outlineLevel="0" collapsed="false">
      <c r="A11" s="4" t="n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customFormat="false" ht="15" hidden="false" customHeight="false" outlineLevel="0" collapsed="false">
      <c r="A12" s="6" t="n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customFormat="false" ht="15" hidden="false" customHeight="false" outlineLevel="0" collapsed="false">
      <c r="A13" s="4" t="n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customFormat="false" ht="15" hidden="false" customHeight="false" outlineLevel="0" collapsed="false">
      <c r="A14" s="6" t="n">
        <v>10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customFormat="false" ht="15" hidden="false" customHeight="false" outlineLevel="0" collapsed="false">
      <c r="A15" s="4" t="n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5" hidden="false" customHeight="false" outlineLevel="0" collapsed="false">
      <c r="A16" s="6" t="n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customFormat="false" ht="15" hidden="false" customHeight="false" outlineLevel="0" collapsed="false">
      <c r="A17" s="4" t="n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customFormat="false" ht="15" hidden="false" customHeight="false" outlineLevel="0" collapsed="false">
      <c r="A18" s="6" t="n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customFormat="false" ht="15" hidden="false" customHeight="false" outlineLevel="0" collapsed="false">
      <c r="A19" s="4" t="n">
        <v>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customFormat="false" ht="15" hidden="false" customHeight="false" outlineLevel="0" collapsed="false">
      <c r="A20" s="6" t="n">
        <v>16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customFormat="false" ht="15" hidden="false" customHeight="false" outlineLevel="0" collapsed="false">
      <c r="A21" s="4" t="n">
        <v>17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customFormat="false" ht="15" hidden="false" customHeight="false" outlineLevel="0" collapsed="false">
      <c r="A22" s="6" t="n">
        <v>18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customFormat="false" ht="15" hidden="false" customHeight="false" outlineLevel="0" collapsed="false">
      <c r="A23" s="4" t="n">
        <v>19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customFormat="false" ht="15" hidden="false" customHeight="false" outlineLevel="0" collapsed="false">
      <c r="A24" s="6" t="n">
        <v>20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customFormat="false" ht="15" hidden="false" customHeight="false" outlineLevel="0" collapsed="false">
      <c r="A25" s="4" t="n">
        <v>21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customFormat="false" ht="15" hidden="false" customHeight="false" outlineLevel="0" collapsed="false">
      <c r="A26" s="6" t="n">
        <v>22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customFormat="false" ht="15" hidden="false" customHeight="false" outlineLevel="0" collapsed="false">
      <c r="A27" s="4" t="n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customFormat="false" ht="15" hidden="false" customHeight="false" outlineLevel="0" collapsed="false">
      <c r="A28" s="6" t="n">
        <v>24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customFormat="false" ht="15" hidden="false" customHeight="false" outlineLevel="0" collapsed="false">
      <c r="A29" s="4" t="n">
        <v>25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customFormat="false" ht="15" hidden="false" customHeight="false" outlineLevel="0" collapsed="false">
      <c r="A30" s="6" t="n">
        <v>26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customFormat="false" ht="15" hidden="false" customHeight="false" outlineLevel="0" collapsed="false">
      <c r="A31" s="4" t="n">
        <v>27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customFormat="false" ht="15" hidden="false" customHeight="false" outlineLevel="0" collapsed="false">
      <c r="A32" s="6" t="n">
        <v>28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customFormat="false" ht="15" hidden="false" customHeight="false" outlineLevel="0" collapsed="false">
      <c r="A33" s="4" t="n">
        <v>29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customFormat="false" ht="15" hidden="false" customHeight="false" outlineLevel="0" collapsed="false">
      <c r="A34" s="6" t="n">
        <v>30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8"/>
    <col collapsed="false" customWidth="true" hidden="false" outlineLevel="0" max="12" min="4" style="0" width="14"/>
    <col collapsed="false" customWidth="true" hidden="false" outlineLevel="0" max="13" min="13" style="0" width="16"/>
    <col collapsed="false" customWidth="true" hidden="false" outlineLevel="0" max="14" min="14" style="0" width="20"/>
    <col collapsed="false" customWidth="true" hidden="false" outlineLevel="0" max="16" min="15" style="0" width="14"/>
  </cols>
  <sheetData>
    <row r="1" customFormat="false" ht="30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.75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17" t="s">
        <v>2</v>
      </c>
      <c r="B4" s="17" t="s">
        <v>3</v>
      </c>
      <c r="C4" s="17" t="s">
        <v>77</v>
      </c>
      <c r="D4" s="17" t="s">
        <v>78</v>
      </c>
      <c r="E4" s="17" t="s">
        <v>79</v>
      </c>
      <c r="F4" s="17" t="s">
        <v>80</v>
      </c>
      <c r="G4" s="17" t="s">
        <v>81</v>
      </c>
      <c r="H4" s="17" t="s">
        <v>82</v>
      </c>
      <c r="I4" s="17" t="s">
        <v>83</v>
      </c>
      <c r="J4" s="17" t="s">
        <v>84</v>
      </c>
      <c r="K4" s="17" t="s">
        <v>85</v>
      </c>
      <c r="L4" s="17" t="s">
        <v>86</v>
      </c>
      <c r="M4" s="17" t="s">
        <v>87</v>
      </c>
      <c r="N4" s="17" t="s">
        <v>88</v>
      </c>
      <c r="O4" s="17" t="s">
        <v>14</v>
      </c>
      <c r="P4" s="17" t="s">
        <v>15</v>
      </c>
    </row>
    <row r="5" customFormat="false" ht="15" hidden="false" customHeight="false" outlineLevel="0" collapsed="false">
      <c r="A5" s="4" t="n">
        <v>1</v>
      </c>
      <c r="B5" s="5"/>
      <c r="C5" s="18" t="s">
        <v>89</v>
      </c>
      <c r="D5" s="5"/>
      <c r="E5" s="5"/>
      <c r="F5" s="5"/>
      <c r="G5" s="5"/>
      <c r="H5" s="5"/>
      <c r="I5" s="19" t="n">
        <f aca="false">H5-D5</f>
        <v>0</v>
      </c>
      <c r="J5" s="19" t="n">
        <f aca="false">IF(COUNTA(D5:H5)&gt;0,AVERAGE(D5:H5),0)</f>
        <v>0</v>
      </c>
      <c r="K5" s="19" t="n">
        <f aca="false">MAX(D5:H5)</f>
        <v>0</v>
      </c>
      <c r="L5" s="19" t="n">
        <f aca="false">MIN(D5:H5)</f>
        <v>0</v>
      </c>
      <c r="M5" s="5"/>
      <c r="N5" s="5"/>
      <c r="O5" s="5"/>
      <c r="P5" s="5"/>
    </row>
    <row r="6" customFormat="false" ht="15" hidden="false" customHeight="false" outlineLevel="0" collapsed="false">
      <c r="A6" s="6" t="n">
        <v>2</v>
      </c>
      <c r="B6" s="7"/>
      <c r="C6" s="20" t="s">
        <v>90</v>
      </c>
      <c r="D6" s="7"/>
      <c r="E6" s="7"/>
      <c r="F6" s="7"/>
      <c r="G6" s="7"/>
      <c r="H6" s="7"/>
      <c r="I6" s="21" t="n">
        <f aca="false">H6-D6</f>
        <v>0</v>
      </c>
      <c r="J6" s="21" t="n">
        <f aca="false">IF(COUNTA(D6:H6)&gt;0,AVERAGE(D6:H6),0)</f>
        <v>0</v>
      </c>
      <c r="K6" s="21" t="n">
        <f aca="false">MAX(D6:H6)</f>
        <v>0</v>
      </c>
      <c r="L6" s="21" t="n">
        <f aca="false">MIN(D6:H6)</f>
        <v>0</v>
      </c>
      <c r="M6" s="7"/>
      <c r="N6" s="7"/>
      <c r="O6" s="7"/>
      <c r="P6" s="7"/>
    </row>
    <row r="7" customFormat="false" ht="23.85" hidden="false" customHeight="false" outlineLevel="0" collapsed="false">
      <c r="A7" s="4" t="n">
        <v>3</v>
      </c>
      <c r="B7" s="5"/>
      <c r="C7" s="18" t="s">
        <v>91</v>
      </c>
      <c r="D7" s="5"/>
      <c r="E7" s="5"/>
      <c r="F7" s="5"/>
      <c r="G7" s="5"/>
      <c r="H7" s="5"/>
      <c r="I7" s="19" t="n">
        <f aca="false">H7-D7</f>
        <v>0</v>
      </c>
      <c r="J7" s="19" t="n">
        <f aca="false">IF(COUNTA(D7:H7)&gt;0,AVERAGE(D7:H7),0)</f>
        <v>0</v>
      </c>
      <c r="K7" s="19" t="n">
        <f aca="false">MAX(D7:H7)</f>
        <v>0</v>
      </c>
      <c r="L7" s="19" t="n">
        <f aca="false">MIN(D7:H7)</f>
        <v>0</v>
      </c>
      <c r="M7" s="5"/>
      <c r="N7" s="5"/>
      <c r="O7" s="5"/>
      <c r="P7" s="5"/>
    </row>
    <row r="8" customFormat="false" ht="23.85" hidden="false" customHeight="false" outlineLevel="0" collapsed="false">
      <c r="A8" s="6" t="n">
        <v>4</v>
      </c>
      <c r="B8" s="7"/>
      <c r="C8" s="20" t="s">
        <v>92</v>
      </c>
      <c r="D8" s="7"/>
      <c r="E8" s="7"/>
      <c r="F8" s="7"/>
      <c r="G8" s="7"/>
      <c r="H8" s="7"/>
      <c r="I8" s="21" t="n">
        <f aca="false">H8-D8</f>
        <v>0</v>
      </c>
      <c r="J8" s="21" t="n">
        <f aca="false">IF(COUNTA(D8:H8)&gt;0,AVERAGE(D8:H8),0)</f>
        <v>0</v>
      </c>
      <c r="K8" s="21" t="n">
        <f aca="false">MAX(D8:H8)</f>
        <v>0</v>
      </c>
      <c r="L8" s="21" t="n">
        <f aca="false">MIN(D8:H8)</f>
        <v>0</v>
      </c>
      <c r="M8" s="7"/>
      <c r="N8" s="7"/>
      <c r="O8" s="7"/>
      <c r="P8" s="7"/>
    </row>
    <row r="9" customFormat="false" ht="15" hidden="false" customHeight="false" outlineLevel="0" collapsed="false">
      <c r="A9" s="4" t="n">
        <v>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6" t="n">
        <v>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customFormat="false" ht="15" hidden="false" customHeight="false" outlineLevel="0" collapsed="false">
      <c r="A11" s="4" t="n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6" t="n">
        <v>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4" t="n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customFormat="false" ht="15" hidden="false" customHeight="false" outlineLevel="0" collapsed="false">
      <c r="A14" s="6" t="n">
        <v>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4.75" hidden="false" customHeight="true" outlineLevel="0" collapsed="false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22" t="s">
        <v>2</v>
      </c>
      <c r="B4" s="22" t="s">
        <v>95</v>
      </c>
      <c r="C4" s="22" t="s">
        <v>96</v>
      </c>
      <c r="D4" s="22" t="s">
        <v>97</v>
      </c>
      <c r="E4" s="22" t="s">
        <v>98</v>
      </c>
      <c r="F4" s="22" t="s">
        <v>99</v>
      </c>
      <c r="G4" s="22" t="s">
        <v>100</v>
      </c>
      <c r="H4" s="22" t="s">
        <v>101</v>
      </c>
      <c r="I4" s="22" t="s">
        <v>102</v>
      </c>
      <c r="J4" s="22" t="s">
        <v>103</v>
      </c>
      <c r="K4" s="22" t="s">
        <v>104</v>
      </c>
      <c r="L4" s="22" t="s">
        <v>15</v>
      </c>
    </row>
    <row r="5" customFormat="false" ht="35.05" hidden="false" customHeight="false" outlineLevel="0" collapsed="false">
      <c r="A5" s="4" t="n">
        <v>1</v>
      </c>
      <c r="B5" s="23" t="s">
        <v>89</v>
      </c>
      <c r="C5" s="24" t="s">
        <v>105</v>
      </c>
      <c r="D5" s="24" t="s">
        <v>106</v>
      </c>
      <c r="E5" s="4" t="s">
        <v>107</v>
      </c>
      <c r="F5" s="5"/>
      <c r="G5" s="5"/>
      <c r="H5" s="5"/>
      <c r="I5" s="5"/>
      <c r="J5" s="5"/>
      <c r="K5" s="5"/>
      <c r="L5" s="5"/>
    </row>
    <row r="6" customFormat="false" ht="35.05" hidden="false" customHeight="false" outlineLevel="0" collapsed="false">
      <c r="A6" s="6" t="n">
        <v>2</v>
      </c>
      <c r="B6" s="25" t="s">
        <v>89</v>
      </c>
      <c r="C6" s="26" t="s">
        <v>108</v>
      </c>
      <c r="D6" s="26" t="s">
        <v>109</v>
      </c>
      <c r="E6" s="6" t="s">
        <v>110</v>
      </c>
      <c r="F6" s="7"/>
      <c r="G6" s="7"/>
      <c r="H6" s="7"/>
      <c r="I6" s="7"/>
      <c r="J6" s="7"/>
      <c r="K6" s="7"/>
      <c r="L6" s="7"/>
    </row>
    <row r="7" customFormat="false" ht="46.25" hidden="false" customHeight="false" outlineLevel="0" collapsed="false">
      <c r="A7" s="4" t="n">
        <v>3</v>
      </c>
      <c r="B7" s="23" t="s">
        <v>111</v>
      </c>
      <c r="C7" s="24" t="s">
        <v>112</v>
      </c>
      <c r="D7" s="24" t="s">
        <v>113</v>
      </c>
      <c r="E7" s="4" t="s">
        <v>114</v>
      </c>
      <c r="F7" s="5"/>
      <c r="G7" s="5"/>
      <c r="H7" s="5"/>
      <c r="I7" s="5"/>
      <c r="J7" s="5"/>
      <c r="K7" s="5"/>
      <c r="L7" s="5"/>
    </row>
    <row r="8" customFormat="false" ht="35.05" hidden="false" customHeight="false" outlineLevel="0" collapsed="false">
      <c r="A8" s="6" t="n">
        <v>4</v>
      </c>
      <c r="B8" s="25" t="s">
        <v>111</v>
      </c>
      <c r="C8" s="26" t="s">
        <v>115</v>
      </c>
      <c r="D8" s="26" t="s">
        <v>116</v>
      </c>
      <c r="E8" s="6" t="s">
        <v>117</v>
      </c>
      <c r="F8" s="7"/>
      <c r="G8" s="7"/>
      <c r="H8" s="7"/>
      <c r="I8" s="7"/>
      <c r="J8" s="7"/>
      <c r="K8" s="7"/>
      <c r="L8" s="7"/>
    </row>
    <row r="9" customFormat="false" ht="35.05" hidden="false" customHeight="false" outlineLevel="0" collapsed="false">
      <c r="A9" s="4" t="n">
        <v>5</v>
      </c>
      <c r="B9" s="23" t="s">
        <v>111</v>
      </c>
      <c r="C9" s="24" t="s">
        <v>118</v>
      </c>
      <c r="D9" s="24" t="s">
        <v>119</v>
      </c>
      <c r="E9" s="4" t="s">
        <v>120</v>
      </c>
      <c r="F9" s="5"/>
      <c r="G9" s="5"/>
      <c r="H9" s="5"/>
      <c r="I9" s="5"/>
      <c r="J9" s="5"/>
      <c r="K9" s="5"/>
      <c r="L9" s="5"/>
    </row>
    <row r="10" customFormat="false" ht="23.85" hidden="false" customHeight="false" outlineLevel="0" collapsed="false">
      <c r="A10" s="6" t="n">
        <v>6</v>
      </c>
      <c r="B10" s="25" t="s">
        <v>121</v>
      </c>
      <c r="C10" s="26" t="s">
        <v>122</v>
      </c>
      <c r="D10" s="26" t="s">
        <v>123</v>
      </c>
      <c r="E10" s="6" t="s">
        <v>124</v>
      </c>
      <c r="F10" s="7"/>
      <c r="G10" s="7"/>
      <c r="H10" s="7"/>
      <c r="I10" s="7"/>
      <c r="J10" s="7"/>
      <c r="K10" s="7"/>
      <c r="L10" s="7"/>
    </row>
    <row r="11" customFormat="false" ht="35.05" hidden="false" customHeight="false" outlineLevel="0" collapsed="false">
      <c r="A11" s="4" t="n">
        <v>7</v>
      </c>
      <c r="B11" s="23" t="s">
        <v>121</v>
      </c>
      <c r="C11" s="24" t="s">
        <v>125</v>
      </c>
      <c r="D11" s="24" t="s">
        <v>126</v>
      </c>
      <c r="E11" s="4" t="s">
        <v>127</v>
      </c>
      <c r="F11" s="5"/>
      <c r="G11" s="5"/>
      <c r="H11" s="5"/>
      <c r="I11" s="5"/>
      <c r="J11" s="5"/>
      <c r="K11" s="5"/>
      <c r="L11" s="5"/>
    </row>
    <row r="12" customFormat="false" ht="35.05" hidden="false" customHeight="false" outlineLevel="0" collapsed="false">
      <c r="A12" s="6" t="n">
        <v>8</v>
      </c>
      <c r="B12" s="25" t="s">
        <v>121</v>
      </c>
      <c r="C12" s="26" t="s">
        <v>128</v>
      </c>
      <c r="D12" s="26" t="s">
        <v>129</v>
      </c>
      <c r="E12" s="6" t="s">
        <v>130</v>
      </c>
      <c r="F12" s="7"/>
      <c r="G12" s="7"/>
      <c r="H12" s="7"/>
      <c r="I12" s="7"/>
      <c r="J12" s="7"/>
      <c r="K12" s="7"/>
      <c r="L12" s="7"/>
    </row>
    <row r="13" customFormat="false" ht="35.05" hidden="false" customHeight="false" outlineLevel="0" collapsed="false">
      <c r="A13" s="4" t="n">
        <v>9</v>
      </c>
      <c r="B13" s="23" t="s">
        <v>131</v>
      </c>
      <c r="C13" s="24" t="s">
        <v>132</v>
      </c>
      <c r="D13" s="24" t="s">
        <v>133</v>
      </c>
      <c r="E13" s="4" t="s">
        <v>134</v>
      </c>
      <c r="F13" s="5"/>
      <c r="G13" s="5"/>
      <c r="H13" s="5"/>
      <c r="I13" s="5"/>
      <c r="J13" s="5"/>
      <c r="K13" s="5"/>
      <c r="L13" s="5"/>
    </row>
    <row r="14" customFormat="false" ht="35.05" hidden="false" customHeight="false" outlineLevel="0" collapsed="false">
      <c r="A14" s="6" t="n">
        <v>10</v>
      </c>
      <c r="B14" s="25" t="s">
        <v>131</v>
      </c>
      <c r="C14" s="26" t="s">
        <v>135</v>
      </c>
      <c r="D14" s="26" t="s">
        <v>136</v>
      </c>
      <c r="E14" s="6" t="s">
        <v>137</v>
      </c>
      <c r="F14" s="7"/>
      <c r="G14" s="7"/>
      <c r="H14" s="7"/>
      <c r="I14" s="7"/>
      <c r="J14" s="7"/>
      <c r="K14" s="7"/>
      <c r="L14" s="7"/>
    </row>
    <row r="15" customFormat="false" ht="35.05" hidden="false" customHeight="false" outlineLevel="0" collapsed="false">
      <c r="A15" s="4" t="n">
        <v>11</v>
      </c>
      <c r="B15" s="23" t="s">
        <v>131</v>
      </c>
      <c r="C15" s="24" t="s">
        <v>138</v>
      </c>
      <c r="D15" s="24" t="s">
        <v>139</v>
      </c>
      <c r="E15" s="4" t="s">
        <v>140</v>
      </c>
      <c r="F15" s="5"/>
      <c r="G15" s="5"/>
      <c r="H15" s="5"/>
      <c r="I15" s="5"/>
      <c r="J15" s="5"/>
      <c r="K15" s="5"/>
      <c r="L15" s="5"/>
    </row>
    <row r="16" customFormat="false" ht="23.85" hidden="false" customHeight="false" outlineLevel="0" collapsed="false">
      <c r="A16" s="6" t="n">
        <v>12</v>
      </c>
      <c r="B16" s="25" t="s">
        <v>131</v>
      </c>
      <c r="C16" s="26" t="s">
        <v>141</v>
      </c>
      <c r="D16" s="26" t="s">
        <v>142</v>
      </c>
      <c r="E16" s="6" t="s">
        <v>143</v>
      </c>
      <c r="F16" s="7"/>
      <c r="G16" s="7"/>
      <c r="H16" s="7"/>
      <c r="I16" s="7"/>
      <c r="J16" s="7"/>
      <c r="K16" s="7"/>
      <c r="L16" s="7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95C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144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2" t="s">
        <v>145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146</v>
      </c>
      <c r="B4" s="3" t="s">
        <v>147</v>
      </c>
      <c r="C4" s="3" t="s">
        <v>148</v>
      </c>
      <c r="D4" s="3" t="s">
        <v>149</v>
      </c>
      <c r="E4" s="3" t="s">
        <v>150</v>
      </c>
      <c r="F4" s="3" t="s">
        <v>151</v>
      </c>
    </row>
    <row r="5" customFormat="false" ht="46.25" hidden="false" customHeight="false" outlineLevel="0" collapsed="false">
      <c r="A5" s="27" t="n">
        <v>1</v>
      </c>
      <c r="B5" s="28" t="s">
        <v>152</v>
      </c>
      <c r="C5" s="28" t="s">
        <v>153</v>
      </c>
      <c r="D5" s="28" t="s">
        <v>154</v>
      </c>
      <c r="E5" s="28" t="s">
        <v>155</v>
      </c>
      <c r="F5" s="28" t="s">
        <v>156</v>
      </c>
    </row>
    <row r="6" customFormat="false" ht="46.25" hidden="false" customHeight="false" outlineLevel="0" collapsed="false">
      <c r="A6" s="27" t="n">
        <v>2</v>
      </c>
      <c r="B6" s="28" t="s">
        <v>157</v>
      </c>
      <c r="C6" s="28" t="s">
        <v>158</v>
      </c>
      <c r="D6" s="28" t="s">
        <v>159</v>
      </c>
      <c r="E6" s="28" t="s">
        <v>160</v>
      </c>
      <c r="F6" s="28" t="s">
        <v>156</v>
      </c>
    </row>
    <row r="7" customFormat="false" ht="57.45" hidden="false" customHeight="false" outlineLevel="0" collapsed="false">
      <c r="A7" s="27" t="n">
        <v>3</v>
      </c>
      <c r="B7" s="28" t="s">
        <v>161</v>
      </c>
      <c r="C7" s="28" t="s">
        <v>158</v>
      </c>
      <c r="D7" s="28" t="s">
        <v>162</v>
      </c>
      <c r="E7" s="28" t="s">
        <v>163</v>
      </c>
      <c r="F7" s="28" t="s">
        <v>156</v>
      </c>
    </row>
    <row r="8" customFormat="false" ht="46.25" hidden="false" customHeight="false" outlineLevel="0" collapsed="false">
      <c r="A8" s="27" t="s">
        <v>164</v>
      </c>
      <c r="B8" s="28" t="s">
        <v>165</v>
      </c>
      <c r="C8" s="28" t="s">
        <v>166</v>
      </c>
      <c r="D8" s="28" t="s">
        <v>167</v>
      </c>
      <c r="E8" s="28" t="s">
        <v>168</v>
      </c>
      <c r="F8" s="28" t="s">
        <v>156</v>
      </c>
    </row>
    <row r="11" customFormat="false" ht="24.75" hidden="false" customHeight="true" outlineLevel="0" collapsed="false">
      <c r="A11" s="2" t="s">
        <v>169</v>
      </c>
      <c r="B11" s="2"/>
      <c r="C11" s="2"/>
      <c r="D11" s="2"/>
      <c r="E11" s="2"/>
      <c r="F11" s="2"/>
    </row>
    <row r="12" customFormat="false" ht="15" hidden="false" customHeight="true" outlineLevel="0" collapsed="false">
      <c r="A12" s="29" t="s">
        <v>170</v>
      </c>
      <c r="B12" s="29"/>
      <c r="C12" s="29"/>
      <c r="D12" s="29"/>
      <c r="E12" s="29"/>
      <c r="F12" s="29"/>
    </row>
    <row r="13" customFormat="false" ht="23.85" hidden="false" customHeight="true" outlineLevel="0" collapsed="false">
      <c r="A13" s="29" t="s">
        <v>171</v>
      </c>
      <c r="B13" s="29"/>
      <c r="C13" s="29"/>
      <c r="D13" s="29"/>
      <c r="E13" s="29"/>
      <c r="F13" s="29"/>
    </row>
    <row r="14" customFormat="false" ht="23.85" hidden="false" customHeight="true" outlineLevel="0" collapsed="false">
      <c r="A14" s="29" t="s">
        <v>172</v>
      </c>
      <c r="B14" s="29"/>
      <c r="C14" s="29"/>
      <c r="D14" s="29"/>
      <c r="E14" s="29"/>
      <c r="F14" s="29"/>
    </row>
    <row r="15" customFormat="false" ht="23.85" hidden="false" customHeight="true" outlineLevel="0" collapsed="false">
      <c r="A15" s="29" t="s">
        <v>173</v>
      </c>
      <c r="B15" s="29"/>
      <c r="C15" s="29"/>
      <c r="D15" s="29"/>
      <c r="E15" s="29"/>
      <c r="F15" s="29"/>
    </row>
    <row r="16" customFormat="false" ht="23.85" hidden="false" customHeight="true" outlineLevel="0" collapsed="false">
      <c r="A16" s="29" t="s">
        <v>174</v>
      </c>
      <c r="B16" s="29"/>
      <c r="C16" s="29"/>
      <c r="D16" s="29"/>
      <c r="E16" s="29"/>
      <c r="F16" s="29"/>
    </row>
    <row r="17" customFormat="false" ht="23.85" hidden="false" customHeight="true" outlineLevel="0" collapsed="false">
      <c r="A17" s="29" t="s">
        <v>175</v>
      </c>
      <c r="B17" s="29"/>
      <c r="C17" s="29"/>
      <c r="D17" s="29"/>
      <c r="E17" s="29"/>
      <c r="F17" s="29"/>
    </row>
    <row r="18" customFormat="false" ht="23.85" hidden="false" customHeight="true" outlineLevel="0" collapsed="false">
      <c r="A18" s="29" t="s">
        <v>176</v>
      </c>
      <c r="B18" s="29"/>
      <c r="C18" s="29"/>
      <c r="D18" s="29"/>
      <c r="E18" s="29"/>
      <c r="F18" s="29"/>
    </row>
    <row r="19" customFormat="false" ht="23.85" hidden="false" customHeight="true" outlineLevel="0" collapsed="false">
      <c r="A19" s="29" t="s">
        <v>177</v>
      </c>
      <c r="B19" s="29"/>
      <c r="C19" s="29"/>
      <c r="D19" s="29"/>
      <c r="E19" s="29"/>
      <c r="F19" s="29"/>
    </row>
    <row r="20" customFormat="false" ht="15" hidden="false" customHeight="true" outlineLevel="0" collapsed="false">
      <c r="A20" s="29" t="s">
        <v>178</v>
      </c>
      <c r="B20" s="29"/>
      <c r="C20" s="29"/>
      <c r="D20" s="29"/>
      <c r="E20" s="29"/>
      <c r="F20" s="29"/>
    </row>
    <row r="21" customFormat="false" ht="15" hidden="false" customHeight="true" outlineLevel="0" collapsed="false">
      <c r="A21" s="29" t="s">
        <v>179</v>
      </c>
      <c r="B21" s="29"/>
      <c r="C21" s="29"/>
      <c r="D21" s="29"/>
      <c r="E21" s="29"/>
      <c r="F21" s="29"/>
    </row>
    <row r="22" customFormat="false" ht="15" hidden="false" customHeight="true" outlineLevel="0" collapsed="false">
      <c r="A22" s="29" t="s">
        <v>180</v>
      </c>
      <c r="B22" s="29"/>
      <c r="C22" s="29"/>
      <c r="D22" s="29"/>
      <c r="E22" s="29"/>
      <c r="F22" s="29"/>
    </row>
    <row r="23" customFormat="false" ht="15" hidden="false" customHeight="true" outlineLevel="0" collapsed="false">
      <c r="A23" s="29" t="s">
        <v>181</v>
      </c>
      <c r="B23" s="29"/>
      <c r="C23" s="29"/>
      <c r="D23" s="29"/>
      <c r="E23" s="29"/>
      <c r="F23" s="29"/>
    </row>
    <row r="24" customFormat="false" ht="15" hidden="false" customHeight="true" outlineLevel="0" collapsed="false">
      <c r="A24" s="29" t="s">
        <v>182</v>
      </c>
      <c r="B24" s="29"/>
      <c r="C24" s="29"/>
      <c r="D24" s="29"/>
      <c r="E24" s="29"/>
      <c r="F24" s="29"/>
    </row>
    <row r="25" customFormat="false" ht="15" hidden="false" customHeight="true" outlineLevel="0" collapsed="false">
      <c r="A25" s="29" t="s">
        <v>183</v>
      </c>
      <c r="B25" s="29"/>
      <c r="C25" s="29"/>
      <c r="D25" s="29"/>
      <c r="E25" s="29"/>
      <c r="F25" s="29"/>
    </row>
    <row r="27" customFormat="false" ht="24.75" hidden="false" customHeight="true" outlineLevel="0" collapsed="false">
      <c r="A27" s="2" t="s">
        <v>184</v>
      </c>
      <c r="B27" s="2"/>
      <c r="C27" s="2"/>
      <c r="D27" s="2"/>
      <c r="E27" s="2"/>
      <c r="F27" s="2"/>
    </row>
    <row r="28" customFormat="false" ht="15" hidden="false" customHeight="true" outlineLevel="0" collapsed="false">
      <c r="A28" s="29" t="s">
        <v>185</v>
      </c>
      <c r="B28" s="29"/>
      <c r="C28" s="29"/>
      <c r="D28" s="29"/>
      <c r="E28" s="29"/>
      <c r="F28" s="29"/>
    </row>
    <row r="29" customFormat="false" ht="15" hidden="false" customHeight="true" outlineLevel="0" collapsed="false">
      <c r="A29" s="29" t="s">
        <v>186</v>
      </c>
      <c r="B29" s="29"/>
      <c r="C29" s="29"/>
      <c r="D29" s="29"/>
      <c r="E29" s="29"/>
      <c r="F29" s="29"/>
    </row>
    <row r="30" customFormat="false" ht="15" hidden="false" customHeight="true" outlineLevel="0" collapsed="false">
      <c r="A30" s="29" t="s">
        <v>187</v>
      </c>
      <c r="B30" s="29"/>
      <c r="C30" s="29"/>
      <c r="D30" s="29"/>
      <c r="E30" s="29"/>
      <c r="F30" s="29"/>
    </row>
    <row r="31" customFormat="false" ht="15" hidden="false" customHeight="true" outlineLevel="0" collapsed="false">
      <c r="A31" s="29" t="s">
        <v>188</v>
      </c>
      <c r="B31" s="29"/>
      <c r="C31" s="29"/>
      <c r="D31" s="29"/>
      <c r="E31" s="29"/>
      <c r="F31" s="29"/>
    </row>
    <row r="32" customFormat="false" ht="15" hidden="false" customHeight="true" outlineLevel="0" collapsed="false">
      <c r="A32" s="29" t="s">
        <v>189</v>
      </c>
      <c r="B32" s="29"/>
      <c r="C32" s="29"/>
      <c r="D32" s="29"/>
      <c r="E32" s="29"/>
      <c r="F32" s="29"/>
    </row>
    <row r="33" customFormat="false" ht="15" hidden="false" customHeight="true" outlineLevel="0" collapsed="false">
      <c r="A33" s="29" t="s">
        <v>190</v>
      </c>
      <c r="B33" s="29"/>
      <c r="C33" s="29"/>
      <c r="D33" s="29"/>
      <c r="E33" s="29"/>
      <c r="F33" s="29"/>
    </row>
  </sheetData>
  <mergeCells count="24">
    <mergeCell ref="A1:F1"/>
    <mergeCell ref="A3:F3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7:F27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2026-04-13T12:16:51Z</dcterms:created>
  <dc:creator>openpyxl</dc:creator>
  <dc:description/>
  <dc:language>en-US</dc:language>
  <cp:lastModifiedBy/>
  <dcterms:modified xsi:type="dcterms:W3CDTF">2026-04-13T12:16:51Z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