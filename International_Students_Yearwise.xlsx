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tional_Students_Master" sheetId="1" r:id="rId1"/>
    <sheet name="Formulas" sheetId="2" r:id="rId2"/>
    <sheet name="Country_Wise_Statistics" sheetId="3" r:id="rId3"/>
    <sheet name="THE_International_Rule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<sst xmlns="http://schemas.openxmlformats.org/spreadsheetml/2006/main" count="72" uniqueCount="68">
  <si>
    <t>Academic_Year</t>
  </si>
  <si>
    <t>Department</t>
  </si>
  <si>
    <t>Program_Level (UG/PG/PhD)</t>
  </si>
  <si>
    <t>Total_Students</t>
  </si>
  <si>
    <t>International_Students</t>
  </si>
  <si>
    <t>Male_International</t>
  </si>
  <si>
    <t>Female_International</t>
  </si>
  <si>
    <t>Country</t>
  </si>
  <si>
    <t>Region (Asia/Europe/Africa/NA/SA/Oceania)</t>
  </si>
  <si>
    <t>Visa_Type</t>
  </si>
  <si>
    <t>Enrollment_Status (Full-Time/Exchange)</t>
  </si>
  <si>
    <t>Hostel_Availability (Yes/No)</t>
  </si>
  <si>
    <t>Scholarship (Yes/No)</t>
  </si>
  <si>
    <t>Evidence_File</t>
  </si>
  <si>
    <t>Remarks</t>
  </si>
  <si>
    <t>Metric</t>
  </si>
  <si>
    <t>Formula</t>
  </si>
  <si>
    <t>Explanation</t>
  </si>
  <si>
    <t>International Student % (Overall)</t>
  </si>
  <si>
    <t>International Student % (UG)</t>
  </si>
  <si>
    <t>International Student % (PG)</t>
  </si>
  <si>
    <t>International Student % (PhD)</t>
  </si>
  <si>
    <t>Male : Female Ratio (International)</t>
  </si>
  <si>
    <t>Used in THE International Outlook (7.5%).</t>
  </si>
  <si>
    <t>Shows UG-level internationalization.</t>
  </si>
  <si>
    <t>Shows PG-level global diversity.</t>
  </si>
  <si>
    <t>PhD-level international participation boosts research culture.</t>
  </si>
  <si>
    <t>Gender-balanced intake indicates global inclusiveness.</t>
  </si>
  <si>
    <t>Region</t>
  </si>
  <si>
    <t>Total_International_Students</t>
  </si>
  <si>
    <t>UG_International</t>
  </si>
  <si>
    <t>PG_International</t>
  </si>
  <si>
    <t>PhD_International</t>
  </si>
  <si>
    <t>Growth_Rate_Yearwise</t>
  </si>
  <si>
    <t>Scholarship_Count</t>
  </si>
  <si>
    <t>Visa_Category</t>
  </si>
  <si>
    <t>Rule</t>
  </si>
  <si>
    <t>International students must be counted based on nationality, not birthplace.</t>
  </si>
  <si>
    <t>Exchange students should not be counted unless enrolled for full academic term.</t>
  </si>
  <si>
    <t>PhD scholars counted only if fully registered.</t>
  </si>
  <si>
    <t>THE requires gender distribution for accurate demographic representation.</t>
  </si>
  <si>
    <t>Visa documentation must match enrollment records.</t>
  </si>
  <si>
    <t>Country data must match passport/official identity.</t>
  </si>
  <si>
    <t>Ensures compliance with global ranking methodology.</t>
  </si>
  <si>
    <t>Avoids inflation of international student numbers.</t>
  </si>
  <si>
    <t>Ensures research-level accuracy for international enrolment.</t>
  </si>
  <si>
    <t>Gender metrics influence diversity reporting.</t>
  </si>
  <si>
    <t>Visa types confirm authenticity of international status.</t>
  </si>
  <si>
    <t>Prevents data inconsistencies during THE audit.</t>
  </si>
  <si>
    <t>Requirement</t>
  </si>
  <si>
    <t>Evidence_Required</t>
  </si>
  <si>
    <t>Status</t>
  </si>
  <si>
    <t>Nationality verified for all students</t>
  </si>
  <si>
    <t>Exchange &amp; short-term students excluded</t>
  </si>
  <si>
    <t>UG/PG/PhD segmentation verified</t>
  </si>
  <si>
    <t>Visa/passport data validated</t>
  </si>
  <si>
    <t>Country-wise classification accurate</t>
  </si>
  <si>
    <t>Notes</t>
  </si>
  <si>
    <t>Recommended Visualizations:</t>
  </si>
  <si>
    <t>• Yearwise growth of international students</t>
  </si>
  <si>
    <t>• Country-wise and region-wise heatmaps</t>
  </si>
  <si>
    <t>• Program-level (UG/PG/PhD) global diversity bars</t>
  </si>
  <si>
    <t>• Male-Female distribution among international students</t>
  </si>
  <si>
    <t>Insights:</t>
  </si>
  <si>
    <t>• Critical for THE International Outlook (7.5%).</t>
  </si>
  <si>
    <t>• Helps institution track and improve global reach.</t>
  </si>
  <si>
    <t>• Useful for international recruitment strategy.</t>
  </si>
  <si>
    <t>• Supports accreditation and annual reporting dashboards.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</si>
</sst>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>
        <f>International_Students / Total_Students</f>
        <v>0</v>
      </c>
      <c r="C2" t="s">
        <v>23</v>
      </c>
    </row>
    <row r="3" spans="1:3">
      <c r="A3" t="s">
        <v>19</v>
      </c>
      <c r="B3">
        <f>SUM(International UG) / SUM(UG Students)</f>
        <v>0</v>
      </c>
      <c r="C3" t="s">
        <v>24</v>
      </c>
    </row>
    <row r="4" spans="1:3">
      <c r="A4" t="s">
        <v>20</v>
      </c>
      <c r="B4">
        <f>SUM(International PG) / SUM(PG Students)</f>
        <v>0</v>
      </c>
      <c r="C4" t="s">
        <v>25</v>
      </c>
    </row>
    <row r="5" spans="1:3">
      <c r="A5" t="s">
        <v>21</v>
      </c>
      <c r="B5">
        <f>SUM(International PhD) / SUM(PhD Students)</f>
        <v>0</v>
      </c>
      <c r="C5" t="s">
        <v>26</v>
      </c>
    </row>
    <row r="6" spans="1:3">
      <c r="A6" t="s">
        <v>22</v>
      </c>
      <c r="B6">
        <f>Male_International / Female_International</f>
        <v>0</v>
      </c>
      <c r="C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36</v>
      </c>
      <c r="B1" s="1" t="s">
        <v>17</v>
      </c>
    </row>
    <row r="2" spans="1:2">
      <c r="A2" t="s">
        <v>37</v>
      </c>
      <c r="B2" t="s">
        <v>43</v>
      </c>
    </row>
    <row r="3" spans="1:2">
      <c r="A3" t="s">
        <v>38</v>
      </c>
      <c r="B3" t="s">
        <v>44</v>
      </c>
    </row>
    <row r="4" spans="1:2">
      <c r="A4" t="s">
        <v>39</v>
      </c>
      <c r="B4" t="s">
        <v>45</v>
      </c>
    </row>
    <row r="5" spans="1:2">
      <c r="A5" t="s">
        <v>40</v>
      </c>
      <c r="B5" t="s">
        <v>46</v>
      </c>
    </row>
    <row r="6" spans="1:2">
      <c r="A6" t="s">
        <v>41</v>
      </c>
      <c r="B6" t="s">
        <v>47</v>
      </c>
    </row>
    <row r="7" spans="1:2">
      <c r="A7" t="s">
        <v>42</v>
      </c>
      <c r="B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49</v>
      </c>
      <c r="B1" s="1" t="s">
        <v>50</v>
      </c>
      <c r="C1" s="1" t="s">
        <v>51</v>
      </c>
      <c r="D1" s="1" t="s">
        <v>14</v>
      </c>
    </row>
    <row r="2" spans="1:4">
      <c r="A2" t="s">
        <v>52</v>
      </c>
    </row>
    <row r="3" spans="1:4">
      <c r="A3" t="s">
        <v>53</v>
      </c>
    </row>
    <row r="4" spans="1:4">
      <c r="A4" t="s">
        <v>54</v>
      </c>
    </row>
    <row r="5" spans="1:4">
      <c r="A5" t="s">
        <v>55</v>
      </c>
    </row>
    <row r="6" spans="1:4">
      <c r="A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57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  <row r="8" spans="1:1">
      <c r="A8" t="s">
        <v>63</v>
      </c>
    </row>
    <row r="9" spans="1:1">
      <c r="A9" t="s">
        <v>64</v>
      </c>
    </row>
    <row r="10" spans="1:1">
      <c r="A10" t="s">
        <v>65</v>
      </c>
    </row>
    <row r="11" spans="1:1">
      <c r="A11" t="s">
        <v>66</v>
      </c>
    </row>
    <row r="12" spans="1:1">
      <c r="A1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International_Students_Master</vt:lpstr>
      <vt:lpstr>Formulas</vt:lpstr>
      <vt:lpstr>Country_Wise_Statistics</vt:lpstr>
      <vt:lpstr>THE_International_Rules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2025-12-07T04:02:41Z</dcterms:created>
  <dcterms:modified xsi:type="dcterms:W3CDTF">2025-12-07T04:02:41Z</dcterms:modified>
</cp:coreProperties>
</file>