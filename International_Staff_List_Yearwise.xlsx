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tional_Staff_Master" sheetId="1" r:id="rId1"/>
    <sheet name="Yearwise_Summary" sheetId="2" r:id="rId2"/>
    <sheet name="Formulas" sheetId="3" r:id="rId3"/>
    <sheet name="THE_Rules" sheetId="4" r:id="rId4"/>
    <sheet name="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<sst xmlns="http://schemas.openxmlformats.org/spreadsheetml/2006/main" count="77" uniqueCount="73">
  <si>
    <t>Academic_Year</t>
  </si>
  <si>
    <t>Staff_ID</t>
  </si>
  <si>
    <t>Staff_Name</t>
  </si>
  <si>
    <t>Gender</t>
  </si>
  <si>
    <t>Nationality</t>
  </si>
  <si>
    <t>Passport_No</t>
  </si>
  <si>
    <t>Country_of_Origin</t>
  </si>
  <si>
    <t>Department</t>
  </si>
  <si>
    <t>Designation</t>
  </si>
  <si>
    <t>Employment_Type (Full-Time/Visiting)</t>
  </si>
  <si>
    <t>Visa_Type</t>
  </si>
  <si>
    <t>Contract_Start_Date</t>
  </si>
  <si>
    <t>Contract_End_Date</t>
  </si>
  <si>
    <t>Is_Full_Time (Yes/No)</t>
  </si>
  <si>
    <t>Is_Teaching_Staff (Yes/No)</t>
  </si>
  <si>
    <t>Is_Research_Staff (Yes/No)</t>
  </si>
  <si>
    <t>Evidence_File</t>
  </si>
  <si>
    <t>Remarks</t>
  </si>
  <si>
    <t>Total_Staff</t>
  </si>
  <si>
    <t>International_Staff</t>
  </si>
  <si>
    <t>International_Staff_Percentage</t>
  </si>
  <si>
    <t>Teaching_International_Staff</t>
  </si>
  <si>
    <t>Research_International_Staff</t>
  </si>
  <si>
    <t>Male_International</t>
  </si>
  <si>
    <t>Female_International</t>
  </si>
  <si>
    <t>FullTime_International</t>
  </si>
  <si>
    <t>Visiting_International</t>
  </si>
  <si>
    <t>Metric</t>
  </si>
  <si>
    <t>Formula</t>
  </si>
  <si>
    <t>Explanation</t>
  </si>
  <si>
    <t>International Staff %</t>
  </si>
  <si>
    <t>Male:Female Ratio (International)</t>
  </si>
  <si>
    <t>Teaching International %</t>
  </si>
  <si>
    <t>Research International %</t>
  </si>
  <si>
    <t>Full-Time International %</t>
  </si>
  <si>
    <t>Proportion of global faculty presence, required for THE.</t>
  </si>
  <si>
    <t>Shows gender balance among international staff.</t>
  </si>
  <si>
    <t>Indicates contribution of global talent to teaching.</t>
  </si>
  <si>
    <t>Reflects research-oriented internationalisation.</t>
  </si>
  <si>
    <t>Shows dependence on full-time international workforce.</t>
  </si>
  <si>
    <t>Rule</t>
  </si>
  <si>
    <t>International staff counted based on nationality, not previous employment country.</t>
  </si>
  <si>
    <t>Full-time international staff are required for THE submission.</t>
  </si>
  <si>
    <t>Visiting faculty counted only if contract is semester-level or year-level.</t>
  </si>
  <si>
    <t>Visa/passport verification mandatory.</t>
  </si>
  <si>
    <t>Staff roles must be categorized as Teaching / Research accurately.</t>
  </si>
  <si>
    <t>Contract dates must fall within the reporting year.</t>
  </si>
  <si>
    <t>Aligns with THE International Outlook guidelines.</t>
  </si>
  <si>
    <t>Part-time/short-term faculty cannot be included.</t>
  </si>
  <si>
    <t>Avoids artificial inflation of international staff count.</t>
  </si>
  <si>
    <t>Ensures correct nationality authentication.</t>
  </si>
  <si>
    <t>Supports valid classification for ranking metrics.</t>
  </si>
  <si>
    <t>Ensures temporal accuracy in yearly reporting.</t>
  </si>
  <si>
    <t>Requirement</t>
  </si>
  <si>
    <t>Evidence_Required</t>
  </si>
  <si>
    <t>Status</t>
  </si>
  <si>
    <t>Nationality verified for all staff</t>
  </si>
  <si>
    <t>Full-time vs visiting categorised correctly</t>
  </si>
  <si>
    <t>Visa/passport documentation approved</t>
  </si>
  <si>
    <t>Teaching/Research roles validated</t>
  </si>
  <si>
    <t>Contract dates checked for reporting year</t>
  </si>
  <si>
    <t>Notes</t>
  </si>
  <si>
    <t>Recommended Visualizations:</t>
  </si>
  <si>
    <t>• Yearwise International Staff Trend</t>
  </si>
  <si>
    <t>• Departmentwise International Staff Distribution</t>
  </si>
  <si>
    <t>• Full-Time vs Visiting Ratio</t>
  </si>
  <si>
    <t>• Male/Female International Staff Split</t>
  </si>
  <si>
    <t>• Teaching vs Research International Staff Chart</t>
  </si>
  <si>
    <t>Insights:</t>
  </si>
  <si>
    <t>• Helps prepare data for THE International Outlook.</t>
  </si>
  <si>
    <t>• Identifies departments with strong global faculty presence.</t>
  </si>
  <si>
    <t>• Supports HR and recruitment planning.</t>
  </si>
  <si>
    <t>• Useful for IQAC, NAAC, and ranking dashboards.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</si>
</sst>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27</v>
      </c>
      <c r="B1" s="1" t="s">
        <v>28</v>
      </c>
      <c r="C1" s="1" t="s">
        <v>29</v>
      </c>
    </row>
    <row r="2" spans="1:3">
      <c r="A2" t="s">
        <v>30</v>
      </c>
      <c r="B2">
        <f>International_Staff / Total_Staff</f>
        <v>0</v>
      </c>
      <c r="C2" t="s">
        <v>35</v>
      </c>
    </row>
    <row r="3" spans="1:3">
      <c r="A3" t="s">
        <v>31</v>
      </c>
      <c r="B3">
        <f>Male_International / Female_International</f>
        <v>0</v>
      </c>
      <c r="C3" t="s">
        <v>36</v>
      </c>
    </row>
    <row r="4" spans="1:3">
      <c r="A4" t="s">
        <v>32</v>
      </c>
      <c r="B4">
        <f>Teaching_International_Staff / International_Staff</f>
        <v>0</v>
      </c>
      <c r="C4" t="s">
        <v>37</v>
      </c>
    </row>
    <row r="5" spans="1:3">
      <c r="A5" t="s">
        <v>33</v>
      </c>
      <c r="B5">
        <f>Research_International_Staff / International_Staff</f>
        <v>0</v>
      </c>
      <c r="C5" t="s">
        <v>38</v>
      </c>
    </row>
    <row r="6" spans="1:3">
      <c r="A6" t="s">
        <v>34</v>
      </c>
      <c r="B6">
        <f>FullTime_International / International_Staff</f>
        <v>0</v>
      </c>
      <c r="C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40</v>
      </c>
      <c r="B1" s="1" t="s">
        <v>29</v>
      </c>
    </row>
    <row r="2" spans="1:2">
      <c r="A2" t="s">
        <v>41</v>
      </c>
      <c r="B2" t="s">
        <v>47</v>
      </c>
    </row>
    <row r="3" spans="1:2">
      <c r="A3" t="s">
        <v>42</v>
      </c>
      <c r="B3" t="s">
        <v>48</v>
      </c>
    </row>
    <row r="4" spans="1:2">
      <c r="A4" t="s">
        <v>43</v>
      </c>
      <c r="B4" t="s">
        <v>49</v>
      </c>
    </row>
    <row r="5" spans="1:2">
      <c r="A5" t="s">
        <v>44</v>
      </c>
      <c r="B5" t="s">
        <v>50</v>
      </c>
    </row>
    <row r="6" spans="1:2">
      <c r="A6" t="s">
        <v>45</v>
      </c>
      <c r="B6" t="s">
        <v>51</v>
      </c>
    </row>
    <row r="7" spans="1:2">
      <c r="A7" t="s">
        <v>46</v>
      </c>
      <c r="B7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53</v>
      </c>
      <c r="B1" s="1" t="s">
        <v>54</v>
      </c>
      <c r="C1" s="1" t="s">
        <v>55</v>
      </c>
      <c r="D1" s="1" t="s">
        <v>17</v>
      </c>
    </row>
    <row r="2" spans="1:4">
      <c r="A2" t="s">
        <v>56</v>
      </c>
    </row>
    <row r="3" spans="1:4">
      <c r="A3" t="s">
        <v>57</v>
      </c>
    </row>
    <row r="4" spans="1:4">
      <c r="A4" t="s">
        <v>58</v>
      </c>
    </row>
    <row r="5" spans="1:4">
      <c r="A5" t="s">
        <v>59</v>
      </c>
    </row>
    <row r="6" spans="1:4">
      <c r="A6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61</v>
      </c>
    </row>
    <row r="2" spans="1:1">
      <c r="A2" t="s">
        <v>62</v>
      </c>
    </row>
    <row r="3" spans="1:1">
      <c r="A3" t="s">
        <v>63</v>
      </c>
    </row>
    <row r="4" spans="1:1">
      <c r="A4" t="s">
        <v>64</v>
      </c>
    </row>
    <row r="5" spans="1:1">
      <c r="A5" t="s">
        <v>65</v>
      </c>
    </row>
    <row r="6" spans="1:1">
      <c r="A6" t="s">
        <v>66</v>
      </c>
    </row>
    <row r="7" spans="1:1">
      <c r="A7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  <row r="13" spans="1:1">
      <c r="A1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International_Staff_Master</vt:lpstr>
      <vt:lpstr>Yearwise_Summary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2025-12-07T04:35:47Z</dcterms:created>
  <dcterms:modified xsi:type="dcterms:W3CDTF">2025-12-07T04:35:47Z</dcterms:modified>
</cp:coreProperties>
</file>