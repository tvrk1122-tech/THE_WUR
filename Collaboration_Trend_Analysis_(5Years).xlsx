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wise_Trend" sheetId="1" r:id="rId1"/>
    <sheet name="Countrywise_Trend" sheetId="2" r:id="rId2"/>
    <sheet name="Institutionwise_Trend" sheetId="3" r:id="rId3"/>
    <sheet name="FWCI_Trend" sheetId="4" r:id="rId4"/>
    <sheet name="Formulas" sheetId="5" r:id="rId5"/>
    <sheet name="THE_Rules" sheetId="6" r:id="rId6"/>
    <sheet name="Compliance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<sst xmlns="http://schemas.openxmlformats.org/spreadsheetml/2006/main" count="93" uniqueCount="83">
  <si>
    <t>Year</t>
  </si>
  <si>
    <t>Total_Publications</t>
  </si>
  <si>
    <t>International_Collaboration_Papers</t>
  </si>
  <si>
    <t>Domestic_Collaboration_Papers</t>
  </si>
  <si>
    <t>Solo_Author_Papers</t>
  </si>
  <si>
    <t>Citations_Total</t>
  </si>
  <si>
    <t>Citations_International</t>
  </si>
  <si>
    <t>Citations_Domestic</t>
  </si>
  <si>
    <t>Avg_FWCI_All</t>
  </si>
  <si>
    <t>Avg_FWCI_International</t>
  </si>
  <si>
    <t>Avg_FWCI_Domestic</t>
  </si>
  <si>
    <t>Top10%_Papers_All</t>
  </si>
  <si>
    <t>Top10%_Papers_International</t>
  </si>
  <si>
    <t>Top1%_Papers_All</t>
  </si>
  <si>
    <t>Top1%_Papers_International</t>
  </si>
  <si>
    <t>Remarks</t>
  </si>
  <si>
    <t>Country</t>
  </si>
  <si>
    <t>Year1_Publications</t>
  </si>
  <si>
    <t>Year2_Publications</t>
  </si>
  <si>
    <t>Year3_Publications</t>
  </si>
  <si>
    <t>Year4_Publications</t>
  </si>
  <si>
    <t>Year5_Publications</t>
  </si>
  <si>
    <t>5Year_Total_Collaborations</t>
  </si>
  <si>
    <t>5Year_Avg_FWCI</t>
  </si>
  <si>
    <t>5Year_Top10%_Count</t>
  </si>
  <si>
    <t>5Year_Top1%_Count</t>
  </si>
  <si>
    <t>Institution_Name</t>
  </si>
  <si>
    <t>Y1_Collab</t>
  </si>
  <si>
    <t>Y2_Collab</t>
  </si>
  <si>
    <t>Y3_Collab</t>
  </si>
  <si>
    <t>Y4_Collab</t>
  </si>
  <si>
    <t>Y5_Collab</t>
  </si>
  <si>
    <t>Total_5Year_Collab</t>
  </si>
  <si>
    <t>Avg_FWCI_5Year</t>
  </si>
  <si>
    <t>Strong_Partner (Yes/No)</t>
  </si>
  <si>
    <t>FWCI_Growth_Rate (%)</t>
  </si>
  <si>
    <t>Metric</t>
  </si>
  <si>
    <t>Formula</t>
  </si>
  <si>
    <t>Explanation</t>
  </si>
  <si>
    <t>International Collaboration %</t>
  </si>
  <si>
    <t>Domestic Collaboration %</t>
  </si>
  <si>
    <t>FWCI Growth Rate</t>
  </si>
  <si>
    <t>5-Year Collaboration Growth</t>
  </si>
  <si>
    <t>Strong Collaboration Flag</t>
  </si>
  <si>
    <t>Shows share of international collaboration output.</t>
  </si>
  <si>
    <t>Shows share of domestic collaboration output.</t>
  </si>
  <si>
    <t>Tracks how FWCI improves over time.</t>
  </si>
  <si>
    <t>Measures overall collaboration trend over 5 years.</t>
  </si>
  <si>
    <t>Labels institutions with significant sustained collaboration.</t>
  </si>
  <si>
    <t>Rule</t>
  </si>
  <si>
    <t>Only Scopus-indexed publications considered for trend analysis.</t>
  </si>
  <si>
    <t>FWCI must be normalized per field using Scopus/SciVal.</t>
  </si>
  <si>
    <t>International collaboration defined by multi-country affiliations.</t>
  </si>
  <si>
    <t>Top1% and Top10% must use Scopus global citation thresholds.</t>
  </si>
  <si>
    <t>5-year window must align with THE ranking cycle.</t>
  </si>
  <si>
    <t>Institution names must match Scopus affiliation database.</t>
  </si>
  <si>
    <t>Ensures accurate bibliometric tracking.</t>
  </si>
  <si>
    <t>Ensures cross-disciplinary comparability.</t>
  </si>
  <si>
    <t>THE requires nationality-based collaboration tracking.</t>
  </si>
  <si>
    <t>Reflects high-impact research performance.</t>
  </si>
  <si>
    <t>THE uses multi-year performance trends.</t>
  </si>
  <si>
    <t>Avoids duplicate or misclassified partner institutions.</t>
  </si>
  <si>
    <t>Requirement</t>
  </si>
  <si>
    <t>Evidence_Required</t>
  </si>
  <si>
    <t>Status</t>
  </si>
  <si>
    <t>Scopus data for 5 years imported</t>
  </si>
  <si>
    <t>Affiliation country mapping validated</t>
  </si>
  <si>
    <t>FWCI extracted from SciVal/Scopus</t>
  </si>
  <si>
    <t>Top1%/Top10% citations verified</t>
  </si>
  <si>
    <t>Institution names standardised</t>
  </si>
  <si>
    <t>Notes</t>
  </si>
  <si>
    <t>Recommended Dashboards:</t>
  </si>
  <si>
    <t>• 5-Year International Collaboration Trend Line</t>
  </si>
  <si>
    <t>• Country-wise Collaboration Bar Chart</t>
  </si>
  <si>
    <t>• FWCI Growth Visualization</t>
  </si>
  <si>
    <t>• Institution-wise Collaboration Heatmap</t>
  </si>
  <si>
    <t>• 5-Year High-Impact (Top 10% &amp; Top 1%) Publication Chart</t>
  </si>
  <si>
    <t>Insights:</t>
  </si>
  <si>
    <t>• Identifies collaboration growth patterns.</t>
  </si>
  <si>
    <t>• Reveals top-performing partner countries.</t>
  </si>
  <si>
    <t>• Shows which institutions drive high-impact research.</t>
  </si>
  <si>
    <t>• Supports THE Research Quality &amp; International Outlook.</t>
  </si>
  <si>
    <t>• Helps strategic planning for global partnerships.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</si>
</sst>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26</v>
      </c>
      <c r="B1" s="1" t="s">
        <v>16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8</v>
      </c>
      <c r="C1" s="1" t="s">
        <v>9</v>
      </c>
      <c r="D1" s="1" t="s">
        <v>10</v>
      </c>
      <c r="E1" s="1" t="s">
        <v>35</v>
      </c>
      <c r="F1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36</v>
      </c>
      <c r="B1" s="1" t="s">
        <v>37</v>
      </c>
      <c r="C1" s="1" t="s">
        <v>38</v>
      </c>
    </row>
    <row r="2" spans="1:3">
      <c r="A2" t="s">
        <v>39</v>
      </c>
      <c r="B2">
        <f>International_Collaboration_Papers / Total_Publications</f>
        <v>0</v>
      </c>
      <c r="C2" t="s">
        <v>44</v>
      </c>
    </row>
    <row r="3" spans="1:3">
      <c r="A3" t="s">
        <v>40</v>
      </c>
      <c r="B3">
        <f>Domestic_Collaboration_Papers / Total_Publications</f>
        <v>0</v>
      </c>
      <c r="C3" t="s">
        <v>45</v>
      </c>
    </row>
    <row r="4" spans="1:3">
      <c r="A4" t="s">
        <v>41</v>
      </c>
      <c r="B4">
        <f>((Current_FWCI - Previous_FWCI)/Previous_FWCI)</f>
        <v>0</v>
      </c>
      <c r="C4" t="s">
        <v>46</v>
      </c>
    </row>
    <row r="5" spans="1:3">
      <c r="A5" t="s">
        <v>42</v>
      </c>
      <c r="B5">
        <f>(Year5 - Year1) / Year1</f>
        <v>0</v>
      </c>
      <c r="C5" t="s">
        <v>47</v>
      </c>
    </row>
    <row r="6" spans="1:3">
      <c r="A6" t="s">
        <v>43</v>
      </c>
      <c r="B6">
        <f>IF(Total_5Year_Collab &gt; 10, "Strong", "Moderate")</f>
        <v>0</v>
      </c>
      <c r="C6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49</v>
      </c>
      <c r="B1" s="1" t="s">
        <v>38</v>
      </c>
    </row>
    <row r="2" spans="1:2">
      <c r="A2" t="s">
        <v>50</v>
      </c>
      <c r="B2" t="s">
        <v>56</v>
      </c>
    </row>
    <row r="3" spans="1:2">
      <c r="A3" t="s">
        <v>51</v>
      </c>
      <c r="B3" t="s">
        <v>57</v>
      </c>
    </row>
    <row r="4" spans="1:2">
      <c r="A4" t="s">
        <v>52</v>
      </c>
      <c r="B4" t="s">
        <v>58</v>
      </c>
    </row>
    <row r="5" spans="1:2">
      <c r="A5" t="s">
        <v>53</v>
      </c>
      <c r="B5" t="s">
        <v>59</v>
      </c>
    </row>
    <row r="6" spans="1:2">
      <c r="A6" t="s">
        <v>54</v>
      </c>
      <c r="B6" t="s">
        <v>60</v>
      </c>
    </row>
    <row r="7" spans="1:2">
      <c r="A7" t="s">
        <v>55</v>
      </c>
      <c r="B7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62</v>
      </c>
      <c r="B1" s="1" t="s">
        <v>63</v>
      </c>
      <c r="C1" s="1" t="s">
        <v>64</v>
      </c>
      <c r="D1" s="1" t="s">
        <v>15</v>
      </c>
    </row>
    <row r="2" spans="1:4">
      <c r="A2" t="s">
        <v>65</v>
      </c>
    </row>
    <row r="3" spans="1:4">
      <c r="A3" t="s">
        <v>66</v>
      </c>
    </row>
    <row r="4" spans="1:4">
      <c r="A4" t="s">
        <v>67</v>
      </c>
    </row>
    <row r="5" spans="1:4">
      <c r="A5" t="s">
        <v>68</v>
      </c>
    </row>
    <row r="6" spans="1:4">
      <c r="A6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sheetData>
    <row r="1" spans="1:1">
      <c r="A1" s="1" t="s">
        <v>70</v>
      </c>
    </row>
    <row r="2" spans="1:1">
      <c r="A2" t="s">
        <v>71</v>
      </c>
    </row>
    <row r="3" spans="1:1">
      <c r="A3" t="s">
        <v>72</v>
      </c>
    </row>
    <row r="4" spans="1:1">
      <c r="A4" t="s">
        <v>73</v>
      </c>
    </row>
    <row r="5" spans="1:1">
      <c r="A5" t="s">
        <v>74</v>
      </c>
    </row>
    <row r="6" spans="1:1">
      <c r="A6" t="s">
        <v>75</v>
      </c>
    </row>
    <row r="7" spans="1:1">
      <c r="A7" t="s">
        <v>76</v>
      </c>
    </row>
    <row r="9" spans="1:1">
      <c r="A9" t="s">
        <v>77</v>
      </c>
    </row>
    <row r="10" spans="1:1">
      <c r="A10" t="s">
        <v>78</v>
      </c>
    </row>
    <row r="11" spans="1:1">
      <c r="A11" t="s">
        <v>79</v>
      </c>
    </row>
    <row r="12" spans="1:1">
      <c r="A12" t="s">
        <v>80</v>
      </c>
    </row>
    <row r="13" spans="1:1">
      <c r="A13" t="s">
        <v>81</v>
      </c>
    </row>
    <row r="14" spans="1:1">
      <c r="A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Yearwise_Trend</vt:lpstr>
      <vt:lpstr>Countrywise_Trend</vt:lpstr>
      <vt:lpstr>Institutionwise_Trend</vt:lpstr>
      <vt:lpstr>FWCI_Trend</vt:lpstr>
      <vt:lpstr>Formulas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2025-12-07T06:12:50Z</dcterms:created>
  <dcterms:modified xsi:type="dcterms:W3CDTF">2025-12-07T06:12:50Z</dcterms:modified>
</cp:coreProperties>
</file>