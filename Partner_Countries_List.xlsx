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ner_Country_Master" sheetId="1" r:id="rId1"/>
    <sheet name="Regionwise_Summary" sheetId="2" r:id="rId2"/>
    <sheet name="Formulas" sheetId="3" r:id="rId3"/>
    <sheet name="THE_Rules" sheetId="4" r:id="rId4"/>
    <sheet name="Compliance" sheetId="5" r:id="rId5"/>
    <sheet name="Dashboard_Notes" sheetId="6" r:id="rId6"/>
  </sheets>
  <calcPr calcId="124519" fullCalcOnLoad="1"/>
</workbook>
</file>

<file path=xl/sharedStrings.xml><?xml version="1.0" encoding="utf-8"?>
<sst xmlns="http://schemas.openxmlformats.org/spreadsheetml/2006/main" count="68" uniqueCount="62">
  <si>
    <t>Country</t>
  </si>
  <si>
    <t>Region</t>
  </si>
  <si>
    <t>Number_of_Collaborations</t>
  </si>
  <si>
    <t>Total_Joint_Publications</t>
  </si>
  <si>
    <t>International_Collaboration_Flag (Yes/No)</t>
  </si>
  <si>
    <t>Top_Partner_Institutions</t>
  </si>
  <si>
    <t>Top_Collab_Subject_Areas</t>
  </si>
  <si>
    <t>Avg_FWCI_of_Collab</t>
  </si>
  <si>
    <t>Total_Citations_from_Collab</t>
  </si>
  <si>
    <t>Active_MoUs</t>
  </si>
  <si>
    <t>Collaboration_Type (Research/Academic/Both)</t>
  </si>
  <si>
    <t>Last_Collaboration_Year</t>
  </si>
  <si>
    <t>Evidence_File</t>
  </si>
  <si>
    <t>Remarks</t>
  </si>
  <si>
    <t>Total_Countries</t>
  </si>
  <si>
    <t>Total_Collaborations</t>
  </si>
  <si>
    <t>Average_FWCI</t>
  </si>
  <si>
    <t>Top_Collaboration_Country</t>
  </si>
  <si>
    <t>Metric</t>
  </si>
  <si>
    <t>Formula</t>
  </si>
  <si>
    <t>Explanation</t>
  </si>
  <si>
    <t>Collaboration Strength</t>
  </si>
  <si>
    <t>Region Contribution %</t>
  </si>
  <si>
    <t>High-impact Collaboration Flag</t>
  </si>
  <si>
    <t>Average FWCI per Region</t>
  </si>
  <si>
    <t>Determines whether a country partnership is strong.</t>
  </si>
  <si>
    <t>Shows how much each region contributes to collaborations.</t>
  </si>
  <si>
    <t>Identifies impactful collaborations based on FWCI.</t>
  </si>
  <si>
    <t>Computes region-wise average FWCI.</t>
  </si>
  <si>
    <t>Rule</t>
  </si>
  <si>
    <t>Partner country must be defined based on author affiliation country in Scopus.</t>
  </si>
  <si>
    <t>Only Scopus-indexed collaborative publications are counted.</t>
  </si>
  <si>
    <t>FWCI values must be sourced from Scopus/SciVal.</t>
  </si>
  <si>
    <t>MoU presence strengthens collaboration evidence.</t>
  </si>
  <si>
    <t>Subject-area mapping must follow ASJC classification.</t>
  </si>
  <si>
    <t>Collaboration year must fall within THE reporting window.</t>
  </si>
  <si>
    <t>Required for accurate international collaboration validation.</t>
  </si>
  <si>
    <t>Aligns with THE methodology.</t>
  </si>
  <si>
    <t>Ensures citation impact accuracy.</t>
  </si>
  <si>
    <t>Supports institutional partnership validation.</t>
  </si>
  <si>
    <t>Maintains correct benchmarking standards.</t>
  </si>
  <si>
    <t>Ensures temporal accuracy for rankings.</t>
  </si>
  <si>
    <t>Requirement</t>
  </si>
  <si>
    <t>Evidence_Required</t>
  </si>
  <si>
    <t>Status</t>
  </si>
  <si>
    <t>List of partner countries validated</t>
  </si>
  <si>
    <t>Scopus international collaboration verification completed</t>
  </si>
  <si>
    <t>FWCI values checked for accuracy</t>
  </si>
  <si>
    <t>MoUs reviewed and updated</t>
  </si>
  <si>
    <t>ASJC subject mapping confirmed</t>
  </si>
  <si>
    <t>Notes</t>
  </si>
  <si>
    <t>Recommended Dashboards:</t>
  </si>
  <si>
    <t>• World map of partner countries</t>
  </si>
  <si>
    <t>• Region-wise collaboration heatmap</t>
  </si>
  <si>
    <t>• High-impact collaboration (FWCI) chart</t>
  </si>
  <si>
    <t>• Top partner institutions by output</t>
  </si>
  <si>
    <t>• Year-wise collaboration trend</t>
  </si>
  <si>
    <t>Insights:</t>
  </si>
  <si>
    <t>• Identifies strongest global collaboration hubs.</t>
  </si>
  <si>
    <t>• Helps prioritise international partnerships.</t>
  </si>
  <si>
    <t>• Useful for THE International Outlook and Research Quality.</t>
  </si>
  <si>
    <t>• Supports MoU decisions and global strategy planning.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</si>
</sst>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1</v>
      </c>
      <c r="B1" s="1" t="s">
        <v>14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9</v>
      </c>
      <c r="H1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18</v>
      </c>
      <c r="B1" s="1" t="s">
        <v>19</v>
      </c>
      <c r="C1" s="1" t="s">
        <v>20</v>
      </c>
    </row>
    <row r="2" spans="1:3">
      <c r="A2" t="s">
        <v>21</v>
      </c>
      <c r="B2">
        <f>IF(Number_of_Collaborations&gt;5, "Strong", "Moderate")</f>
        <v>0</v>
      </c>
      <c r="C2" t="s">
        <v>25</v>
      </c>
    </row>
    <row r="3" spans="1:3">
      <c r="A3" t="s">
        <v>22</v>
      </c>
      <c r="B3">
        <f>Total_Collaborations / SUM(All_Regions_Collaborations)</f>
        <v>0</v>
      </c>
      <c r="C3" t="s">
        <v>26</v>
      </c>
    </row>
    <row r="4" spans="1:3">
      <c r="A4" t="s">
        <v>23</v>
      </c>
      <c r="B4">
        <f>IF(Avg_FWCI_of_Collab&gt;=1.0, "High Impact", "Low Impact")</f>
        <v>0</v>
      </c>
      <c r="C4" t="s">
        <v>27</v>
      </c>
    </row>
    <row r="5" spans="1:3">
      <c r="A5" t="s">
        <v>24</v>
      </c>
      <c r="B5">
        <f>AVERAGE(Avg_FWCI_of_Collab)</f>
        <v>0</v>
      </c>
      <c r="C5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29</v>
      </c>
      <c r="B1" s="1" t="s">
        <v>20</v>
      </c>
    </row>
    <row r="2" spans="1:2">
      <c r="A2" t="s">
        <v>30</v>
      </c>
      <c r="B2" t="s">
        <v>36</v>
      </c>
    </row>
    <row r="3" spans="1:2">
      <c r="A3" t="s">
        <v>31</v>
      </c>
      <c r="B3" t="s">
        <v>37</v>
      </c>
    </row>
    <row r="4" spans="1:2">
      <c r="A4" t="s">
        <v>32</v>
      </c>
      <c r="B4" t="s">
        <v>38</v>
      </c>
    </row>
    <row r="5" spans="1:2">
      <c r="A5" t="s">
        <v>33</v>
      </c>
      <c r="B5" t="s">
        <v>39</v>
      </c>
    </row>
    <row r="6" spans="1:2">
      <c r="A6" t="s">
        <v>34</v>
      </c>
      <c r="B6" t="s">
        <v>40</v>
      </c>
    </row>
    <row r="7" spans="1:2">
      <c r="A7" t="s">
        <v>35</v>
      </c>
      <c r="B7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42</v>
      </c>
      <c r="B1" s="1" t="s">
        <v>43</v>
      </c>
      <c r="C1" s="1" t="s">
        <v>44</v>
      </c>
      <c r="D1" s="1" t="s">
        <v>13</v>
      </c>
    </row>
    <row r="2" spans="1:4">
      <c r="A2" t="s">
        <v>45</v>
      </c>
    </row>
    <row r="3" spans="1:4">
      <c r="A3" t="s">
        <v>46</v>
      </c>
    </row>
    <row r="4" spans="1:4">
      <c r="A4" t="s">
        <v>47</v>
      </c>
    </row>
    <row r="5" spans="1:4">
      <c r="A5" t="s">
        <v>48</v>
      </c>
    </row>
    <row r="6" spans="1:4">
      <c r="A6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FormatPr defaultRowHeight="15"/>
  <sheetData>
    <row r="1" spans="1:1">
      <c r="A1" s="1" t="s">
        <v>50</v>
      </c>
    </row>
    <row r="2" spans="1:1">
      <c r="A2" t="s">
        <v>51</v>
      </c>
    </row>
    <row r="3" spans="1:1">
      <c r="A3" t="s">
        <v>52</v>
      </c>
    </row>
    <row r="4" spans="1:1">
      <c r="A4" t="s">
        <v>53</v>
      </c>
    </row>
    <row r="5" spans="1:1">
      <c r="A5" t="s">
        <v>54</v>
      </c>
    </row>
    <row r="6" spans="1:1">
      <c r="A6" t="s">
        <v>55</v>
      </c>
    </row>
    <row r="7" spans="1:1">
      <c r="A7" t="s">
        <v>56</v>
      </c>
    </row>
    <row r="9" spans="1:1">
      <c r="A9" t="s">
        <v>57</v>
      </c>
    </row>
    <row r="10" spans="1:1">
      <c r="A10" t="s">
        <v>58</v>
      </c>
    </row>
    <row r="11" spans="1:1">
      <c r="A11" t="s">
        <v>59</v>
      </c>
    </row>
    <row r="12" spans="1:1">
      <c r="A12" t="s">
        <v>60</v>
      </c>
    </row>
    <row r="13" spans="1:1">
      <c r="A13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Partner_Country_Master</vt:lpstr>
      <vt:lpstr>Regionwise_Summary</vt:lpstr>
      <vt:lpstr>Formulas</vt:lpstr>
      <vt:lpstr>THE_Rules</vt:lpstr>
      <vt:lpstr>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2025-12-07T05:54:38Z</dcterms:created>
  <dcterms:modified xsi:type="dcterms:W3CDTF">2025-12-07T05:54:38Z</dcterms:modified>
</cp:coreProperties>
</file>