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Respondent Profile" sheetId="2" state="visible" r:id="rId4"/>
    <sheet name="2. Pre-Selected Pool" sheetId="3" state="visible" r:id="rId5"/>
    <sheet name="3. Pairwise Rankings" sheetId="4" state="visible" r:id="rId6"/>
    <sheet name="4. Teaching Criteria" sheetId="5" state="visible" r:id="rId7"/>
    <sheet name="5. Pairwise Matrix" sheetId="6" state="visible" r:id="rId8"/>
    <sheet name="6. Pairwise Scoring" sheetId="7" state="visible" r:id="rId9"/>
    <sheet name="7. Voter Diversity" sheetId="8" state="visible" r:id="rId10"/>
    <sheet name="8. Vote Counts" sheetId="9" state="visible" r:id="rId11"/>
    <sheet name="9. Composite Score" sheetId="10" state="visible" r:id="rId12"/>
    <sheet name="10. Combined WRR Score" sheetId="11" state="visible" r:id="rId13"/>
    <sheet name="11. Data Quality Audit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<sst xmlns="http://schemas.openxmlformats.org/spreadsheetml/2006/main" count="443" uniqueCount="375">
  <si>
    <t xml:space="preserve">THE World Reputation Rankings — Teaching Pairwise Comparison</t>
  </si>
  <si>
    <t xml:space="preserve">Methodology Reference (WRR 2025 Revamped Framework)</t>
  </si>
  <si>
    <t xml:space="preserve">#</t>
  </si>
  <si>
    <t xml:space="preserve">Pillar / Indicator</t>
  </si>
  <si>
    <t xml:space="preserve">Description</t>
  </si>
  <si>
    <t xml:space="preserve">Weight (Teaching)</t>
  </si>
  <si>
    <t xml:space="preserve">Weight (Research)</t>
  </si>
  <si>
    <t xml:space="preserve">Vote Counts — Teaching</t>
  </si>
  <si>
    <t xml:space="preserve">Number of votes for teaching excellence from the Global Academic Reputation Survey (cumulative scoring function from 2025). Each respondent may nominate up to 15 institutions for teaching in their field.</t>
  </si>
  <si>
    <t xml:space="preserve">20%</t>
  </si>
  <si>
    <t xml:space="preserve">—</t>
  </si>
  <si>
    <t xml:space="preserve">Pairwise Comparison — Teaching</t>
  </si>
  <si>
    <t xml:space="preserve">Respondents order 5 pre-selected universities from 1 to 5 for TEACHING quality; builds a mini-ranking that feeds a pairwise hierarchy algorithm</t>
  </si>
  <si>
    <t xml:space="preserve">10%</t>
  </si>
  <si>
    <t xml:space="preserve">Voter Diversity — Teaching</t>
  </si>
  <si>
    <t xml:space="preserve">Entropy-based measure rewarding institutions with teaching votes from a wide range of countries/territories and subject areas</t>
  </si>
  <si>
    <t xml:space="preserve">3.33%</t>
  </si>
  <si>
    <t xml:space="preserve">Vote Counts — Research</t>
  </si>
  <si>
    <t xml:space="preserve">Research pillar companion metric (shown for reference)</t>
  </si>
  <si>
    <t xml:space="preserve">40%</t>
  </si>
  <si>
    <t xml:space="preserve">Pairwise Comparison — Research</t>
  </si>
  <si>
    <t xml:space="preserve">Voter Diversity — Research</t>
  </si>
  <si>
    <t xml:space="preserve">6.67%</t>
  </si>
  <si>
    <t xml:space="preserve">Key Facts About the Teaching Pairwise Comparison</t>
  </si>
  <si>
    <t xml:space="preserve">• Research:Teaching weighting = 2:1 — Teaching pillar carries ONE-THIRD of total WRR weight.</t>
  </si>
  <si>
    <t xml:space="preserve">• Rationale for lower weight: THE's expert advisers report lower confidence in respondents' ability to judge teaching quality externally (compared to research).</t>
  </si>
  <si>
    <t xml:space="preserve">• Each respondent is shown 5 pre-selected universities based on their discipline/region.</t>
  </si>
  <si>
    <t xml:space="preserve">• Respondent must rank the 5 universities from 1 (best) to 5 (least preferred) for TEACHING excellence.</t>
  </si>
  <si>
    <t xml:space="preserve">• Teaching pairwise uses the same hierarchy algorithm as research, but produces an independent score.</t>
  </si>
  <si>
    <t xml:space="preserve">• Final scoring passes through a normal scoring function yielding a 0–100 teaching score.</t>
  </si>
  <si>
    <t xml:space="preserve">• Pairwise comparison counters 'super-brand' dominance by forcing comparison with mid-tier universities.</t>
  </si>
  <si>
    <t xml:space="preserve">• Teaching reputation signals also feed into the main World University Rankings (15% of Teaching pillar).</t>
  </si>
  <si>
    <t xml:space="preserve">• Global Academic Reputation Survey is available in 13 languages (2025 cycle).</t>
  </si>
  <si>
    <t xml:space="preserve">• 2025 WRR ranks 300 institutions from 38 countries using balanced global spread of respondents.</t>
  </si>
  <si>
    <t xml:space="preserve">• Self-votes on teaching are diluted; VPRI (Vote-Per-Respondent-Index) capped where thresholds exceeded.</t>
  </si>
  <si>
    <t xml:space="preserve">• Respondent diversity uses entropy on country × subject-area combinations for each institution.</t>
  </si>
  <si>
    <t xml:space="preserve">Respondent Profile — Teaching Pairwise Survey Data Collection</t>
  </si>
  <si>
    <t xml:space="preserve">Captures demographic &amp; academic profile of each invited, published scholar responding on TEACHING</t>
  </si>
  <si>
    <t xml:space="preserve">Resp. ID</t>
  </si>
  <si>
    <t xml:space="preserve">Survey Wave</t>
  </si>
  <si>
    <t xml:space="preserve">Invitation Date</t>
  </si>
  <si>
    <t xml:space="preserve">Country / Territory</t>
  </si>
  <si>
    <t xml:space="preserve">Primary Subject Area</t>
  </si>
  <si>
    <t xml:space="preserve">Secondary Subject Area</t>
  </si>
  <si>
    <t xml:space="preserve">Teaching Role / Seniority</t>
  </si>
  <si>
    <t xml:space="preserve">Years Teaching Experience</t>
  </si>
  <si>
    <t xml:space="preserve">Supervised PG/PhD (Y/N)</t>
  </si>
  <si>
    <t xml:space="preserve">Home Institution</t>
  </si>
  <si>
    <t xml:space="preserve">Response Language</t>
  </si>
  <si>
    <t xml:space="preserve">Teaching Section Completed (Y/N)</t>
  </si>
  <si>
    <t xml:space="preserve">RT-0001</t>
  </si>
  <si>
    <t xml:space="preserve">RT-0002</t>
  </si>
  <si>
    <t xml:space="preserve">RT-0003</t>
  </si>
  <si>
    <t xml:space="preserve">RT-0004</t>
  </si>
  <si>
    <t xml:space="preserve">RT-0005</t>
  </si>
  <si>
    <t xml:space="preserve">RT-0006</t>
  </si>
  <si>
    <t xml:space="preserve">RT-0007</t>
  </si>
  <si>
    <t xml:space="preserve">RT-0008</t>
  </si>
  <si>
    <t xml:space="preserve">RT-0009</t>
  </si>
  <si>
    <t xml:space="preserve">RT-0010</t>
  </si>
  <si>
    <t xml:space="preserve">RT-0011</t>
  </si>
  <si>
    <t xml:space="preserve">RT-0012</t>
  </si>
  <si>
    <t xml:space="preserve">RT-0013</t>
  </si>
  <si>
    <t xml:space="preserve">RT-0014</t>
  </si>
  <si>
    <t xml:space="preserve">RT-0015</t>
  </si>
  <si>
    <t xml:space="preserve">RT-0016</t>
  </si>
  <si>
    <t xml:space="preserve">RT-0017</t>
  </si>
  <si>
    <t xml:space="preserve">RT-0018</t>
  </si>
  <si>
    <t xml:space="preserve">RT-0019</t>
  </si>
  <si>
    <t xml:space="preserve">RT-0020</t>
  </si>
  <si>
    <t xml:space="preserve">RT-0021</t>
  </si>
  <si>
    <t xml:space="preserve">RT-0022</t>
  </si>
  <si>
    <t xml:space="preserve">RT-0023</t>
  </si>
  <si>
    <t xml:space="preserve">RT-0024</t>
  </si>
  <si>
    <t xml:space="preserve">RT-0025</t>
  </si>
  <si>
    <t xml:space="preserve">RT-0026</t>
  </si>
  <si>
    <t xml:space="preserve">RT-0027</t>
  </si>
  <si>
    <t xml:space="preserve">RT-0028</t>
  </si>
  <si>
    <t xml:space="preserve">RT-0029</t>
  </si>
  <si>
    <t xml:space="preserve">RT-0030</t>
  </si>
  <si>
    <t xml:space="preserve">RT-0031</t>
  </si>
  <si>
    <t xml:space="preserve">RT-0032</t>
  </si>
  <si>
    <t xml:space="preserve">RT-0033</t>
  </si>
  <si>
    <t xml:space="preserve">RT-0034</t>
  </si>
  <si>
    <t xml:space="preserve">RT-0035</t>
  </si>
  <si>
    <t xml:space="preserve">RT-0036</t>
  </si>
  <si>
    <t xml:space="preserve">RT-0037</t>
  </si>
  <si>
    <t xml:space="preserve">RT-0038</t>
  </si>
  <si>
    <t xml:space="preserve">RT-0039</t>
  </si>
  <si>
    <t xml:space="preserve">RT-0040</t>
  </si>
  <si>
    <t xml:space="preserve">Validation Checks</t>
  </si>
  <si>
    <t xml:space="preserve">Total Invited Respondents</t>
  </si>
  <si>
    <t xml:space="preserve">Total Completed (Teaching Section)</t>
  </si>
  <si>
    <t xml:space="preserve">Teaching Section Completion Rate (%)</t>
  </si>
  <si>
    <t xml:space="preserve">Respondents Who Supervise PG/PhD</t>
  </si>
  <si>
    <t xml:space="preserve">Unique Countries/Territories</t>
  </si>
  <si>
    <t xml:space="preserve">Unique Subject Areas</t>
  </si>
  <si>
    <t xml:space="preserve">Pre-Selected Universities Pool for Teaching Pairwise Comparison</t>
  </si>
  <si>
    <t xml:space="preserve">Pool of 5 universities pre-selected per respondent based on their discipline &amp; region (teaching pillar)</t>
  </si>
  <si>
    <t xml:space="preserve">S.No.</t>
  </si>
  <si>
    <t xml:space="preserve">University Name</t>
  </si>
  <si>
    <t xml:space="preserve">Country</t>
  </si>
  <si>
    <t xml:space="preserve">Subject Area / Discipline</t>
  </si>
  <si>
    <t xml:space="preserve">Prior Year Teaching Rank</t>
  </si>
  <si>
    <t xml:space="preserve">Current Pool Bucket</t>
  </si>
  <si>
    <t xml:space="preserve">Super-Brand (Y/N)</t>
  </si>
  <si>
    <t xml:space="preserve">Times Presented</t>
  </si>
  <si>
    <t xml:space="preserve">Avg Teaching Rank Received</t>
  </si>
  <si>
    <t xml:space="preserve">Median Rank</t>
  </si>
  <si>
    <t xml:space="preserve">Included in Pool (Y/N)</t>
  </si>
  <si>
    <t xml:space="preserve">Notes</t>
  </si>
  <si>
    <t xml:space="preserve">Pairwise Comparison — Teaching Rankings (Raw Response Data)</t>
  </si>
  <si>
    <t xml:space="preserve">Each respondent ranks 5 pre-selected universities from 1 (best) to 5 (least) for TEACHING quality</t>
  </si>
  <si>
    <t xml:space="preserve">Entry ID</t>
  </si>
  <si>
    <t xml:space="preserve">Respondent ID</t>
  </si>
  <si>
    <t xml:space="preserve">Respondent Country</t>
  </si>
  <si>
    <t xml:space="preserve">Respondent Subject</t>
  </si>
  <si>
    <t xml:space="preserve">Bundle ID</t>
  </si>
  <si>
    <t xml:space="preserve">Teaching Rank Assigned (1–5)</t>
  </si>
  <si>
    <t xml:space="preserve">Inverse Score (6–Rank)</t>
  </si>
  <si>
    <t xml:space="preserve">Justification / Teaching Criterion</t>
  </si>
  <si>
    <t xml:space="preserve">Response Date</t>
  </si>
  <si>
    <t xml:space="preserve">Excluded (Y/N)</t>
  </si>
  <si>
    <t xml:space="preserve">PT-00001</t>
  </si>
  <si>
    <t xml:space="preserve">PT-00002</t>
  </si>
  <si>
    <t xml:space="preserve">PT-00003</t>
  </si>
  <si>
    <t xml:space="preserve">PT-00004</t>
  </si>
  <si>
    <t xml:space="preserve">PT-00005</t>
  </si>
  <si>
    <t xml:space="preserve">PT-00006</t>
  </si>
  <si>
    <t xml:space="preserve">PT-00007</t>
  </si>
  <si>
    <t xml:space="preserve">PT-00008</t>
  </si>
  <si>
    <t xml:space="preserve">PT-00009</t>
  </si>
  <si>
    <t xml:space="preserve">PT-00010</t>
  </si>
  <si>
    <t xml:space="preserve">PT-00011</t>
  </si>
  <si>
    <t xml:space="preserve">PT-00012</t>
  </si>
  <si>
    <t xml:space="preserve">PT-00013</t>
  </si>
  <si>
    <t xml:space="preserve">PT-00014</t>
  </si>
  <si>
    <t xml:space="preserve">PT-00015</t>
  </si>
  <si>
    <t xml:space="preserve">PT-00016</t>
  </si>
  <si>
    <t xml:space="preserve">PT-00017</t>
  </si>
  <si>
    <t xml:space="preserve">PT-00018</t>
  </si>
  <si>
    <t xml:space="preserve">PT-00019</t>
  </si>
  <si>
    <t xml:space="preserve">PT-00020</t>
  </si>
  <si>
    <t xml:space="preserve">PT-00021</t>
  </si>
  <si>
    <t xml:space="preserve">PT-00022</t>
  </si>
  <si>
    <t xml:space="preserve">PT-00023</t>
  </si>
  <si>
    <t xml:space="preserve">PT-00024</t>
  </si>
  <si>
    <t xml:space="preserve">PT-00025</t>
  </si>
  <si>
    <t xml:space="preserve">PT-00026</t>
  </si>
  <si>
    <t xml:space="preserve">PT-00027</t>
  </si>
  <si>
    <t xml:space="preserve">PT-00028</t>
  </si>
  <si>
    <t xml:space="preserve">PT-00029</t>
  </si>
  <si>
    <t xml:space="preserve">PT-00030</t>
  </si>
  <si>
    <t xml:space="preserve">PT-00031</t>
  </si>
  <si>
    <t xml:space="preserve">PT-00032</t>
  </si>
  <si>
    <t xml:space="preserve">PT-00033</t>
  </si>
  <si>
    <t xml:space="preserve">PT-00034</t>
  </si>
  <si>
    <t xml:space="preserve">PT-00035</t>
  </si>
  <si>
    <t xml:space="preserve">PT-00036</t>
  </si>
  <si>
    <t xml:space="preserve">PT-00037</t>
  </si>
  <si>
    <t xml:space="preserve">PT-00038</t>
  </si>
  <si>
    <t xml:space="preserve">PT-00039</t>
  </si>
  <si>
    <t xml:space="preserve">PT-00040</t>
  </si>
  <si>
    <t xml:space="preserve">PT-00041</t>
  </si>
  <si>
    <t xml:space="preserve">PT-00042</t>
  </si>
  <si>
    <t xml:space="preserve">PT-00043</t>
  </si>
  <si>
    <t xml:space="preserve">PT-00044</t>
  </si>
  <si>
    <t xml:space="preserve">PT-00045</t>
  </si>
  <si>
    <t xml:space="preserve">PT-00046</t>
  </si>
  <si>
    <t xml:space="preserve">PT-00047</t>
  </si>
  <si>
    <t xml:space="preserve">PT-00048</t>
  </si>
  <si>
    <t xml:space="preserve">PT-00049</t>
  </si>
  <si>
    <t xml:space="preserve">PT-00050</t>
  </si>
  <si>
    <t xml:space="preserve">PT-00051</t>
  </si>
  <si>
    <t xml:space="preserve">PT-00052</t>
  </si>
  <si>
    <t xml:space="preserve">PT-00053</t>
  </si>
  <si>
    <t xml:space="preserve">PT-00054</t>
  </si>
  <si>
    <t xml:space="preserve">PT-00055</t>
  </si>
  <si>
    <t xml:space="preserve">PT-00056</t>
  </si>
  <si>
    <t xml:space="preserve">PT-00057</t>
  </si>
  <si>
    <t xml:space="preserve">PT-00058</t>
  </si>
  <si>
    <t xml:space="preserve">PT-00059</t>
  </si>
  <si>
    <t xml:space="preserve">PT-00060</t>
  </si>
  <si>
    <t xml:space="preserve">PT-00061</t>
  </si>
  <si>
    <t xml:space="preserve">PT-00062</t>
  </si>
  <si>
    <t xml:space="preserve">PT-00063</t>
  </si>
  <si>
    <t xml:space="preserve">PT-00064</t>
  </si>
  <si>
    <t xml:space="preserve">PT-00065</t>
  </si>
  <si>
    <t xml:space="preserve">PT-00066</t>
  </si>
  <si>
    <t xml:space="preserve">PT-00067</t>
  </si>
  <si>
    <t xml:space="preserve">PT-00068</t>
  </si>
  <si>
    <t xml:space="preserve">PT-00069</t>
  </si>
  <si>
    <t xml:space="preserve">PT-00070</t>
  </si>
  <si>
    <t xml:space="preserve">PT-00071</t>
  </si>
  <si>
    <t xml:space="preserve">PT-00072</t>
  </si>
  <si>
    <t xml:space="preserve">PT-00073</t>
  </si>
  <si>
    <t xml:space="preserve">PT-00074</t>
  </si>
  <si>
    <t xml:space="preserve">PT-00075</t>
  </si>
  <si>
    <t xml:space="preserve">PT-00076</t>
  </si>
  <si>
    <t xml:space="preserve">PT-00077</t>
  </si>
  <si>
    <t xml:space="preserve">PT-00078</t>
  </si>
  <si>
    <t xml:space="preserve">PT-00079</t>
  </si>
  <si>
    <t xml:space="preserve">PT-00080</t>
  </si>
  <si>
    <t xml:space="preserve">PT-00081</t>
  </si>
  <si>
    <t xml:space="preserve">PT-00082</t>
  </si>
  <si>
    <t xml:space="preserve">PT-00083</t>
  </si>
  <si>
    <t xml:space="preserve">PT-00084</t>
  </si>
  <si>
    <t xml:space="preserve">PT-00085</t>
  </si>
  <si>
    <t xml:space="preserve">PT-00086</t>
  </si>
  <si>
    <t xml:space="preserve">PT-00087</t>
  </si>
  <si>
    <t xml:space="preserve">PT-00088</t>
  </si>
  <si>
    <t xml:space="preserve">PT-00089</t>
  </si>
  <si>
    <t xml:space="preserve">PT-00090</t>
  </si>
  <si>
    <t xml:space="preserve">PT-00091</t>
  </si>
  <si>
    <t xml:space="preserve">PT-00092</t>
  </si>
  <si>
    <t xml:space="preserve">PT-00093</t>
  </si>
  <si>
    <t xml:space="preserve">PT-00094</t>
  </si>
  <si>
    <t xml:space="preserve">PT-00095</t>
  </si>
  <si>
    <t xml:space="preserve">PT-00096</t>
  </si>
  <si>
    <t xml:space="preserve">PT-00097</t>
  </si>
  <si>
    <t xml:space="preserve">PT-00098</t>
  </si>
  <si>
    <t xml:space="preserve">PT-00099</t>
  </si>
  <si>
    <t xml:space="preserve">PT-00100</t>
  </si>
  <si>
    <t xml:space="preserve">Teaching Quality Criteria — Evaluation Framework for Respondents</t>
  </si>
  <si>
    <t xml:space="preserve">Teaching quality dimensions respondents should consider when ranking the 5 universities</t>
  </si>
  <si>
    <t xml:space="preserve">Teaching Criterion</t>
  </si>
  <si>
    <t xml:space="preserve">Description / Respondent Guidance</t>
  </si>
  <si>
    <t xml:space="preserve">Weight (Implicit)</t>
  </si>
  <si>
    <t xml:space="preserve">Reference Source</t>
  </si>
  <si>
    <t xml:space="preserve">Learning environment quality</t>
  </si>
  <si>
    <t xml:space="preserve">Overall quality of the teaching &amp; learning ecosystem — classrooms, labs, libraries, online platforms</t>
  </si>
  <si>
    <t xml:space="preserve">High</t>
  </si>
  <si>
    <t xml:space="preserve">THE Teaching pillar</t>
  </si>
  <si>
    <t xml:space="preserve">Staff-to-student ratio</t>
  </si>
  <si>
    <t xml:space="preserve">Extent to which the institution provides personal attention and mentorship</t>
  </si>
  <si>
    <t xml:space="preserve">Medium</t>
  </si>
  <si>
    <t xml:space="preserve">THE WUR indicator</t>
  </si>
  <si>
    <t xml:space="preserve">Doctoral / Bachelor ratio</t>
  </si>
  <si>
    <t xml:space="preserve">Commitment to postgraduate research training and advanced-level teaching</t>
  </si>
  <si>
    <t xml:space="preserve">Doctorates awarded per academic staff</t>
  </si>
  <si>
    <t xml:space="preserve">Productivity and depth of PhD supervision</t>
  </si>
  <si>
    <t xml:space="preserve">Pedagogical innovation</t>
  </si>
  <si>
    <t xml:space="preserve">Evidence of teaching innovation, blended/online learning, curriculum design</t>
  </si>
  <si>
    <t xml:space="preserve">Academic perception</t>
  </si>
  <si>
    <t xml:space="preserve">Employability of graduates</t>
  </si>
  <si>
    <t xml:space="preserve">Graduate outcomes, industry readiness, employer reputation</t>
  </si>
  <si>
    <t xml:space="preserve">International teaching exposure</t>
  </si>
  <si>
    <t xml:space="preserve">Opportunities for students to engage with international faculty/peers</t>
  </si>
  <si>
    <t xml:space="preserve">Low-Medium</t>
  </si>
  <si>
    <t xml:space="preserve">THE International Outlook</t>
  </si>
  <si>
    <t xml:space="preserve">Quality of curriculum</t>
  </si>
  <si>
    <t xml:space="preserve">Rigour, currency, and relevance of programmes in respondent's field</t>
  </si>
  <si>
    <t xml:space="preserve">Teaching awards &amp; recognition</t>
  </si>
  <si>
    <t xml:space="preserve">Institutional recognition by teaching excellence bodies</t>
  </si>
  <si>
    <t xml:space="preserve">Low</t>
  </si>
  <si>
    <t xml:space="preserve">External bodies</t>
  </si>
  <si>
    <t xml:space="preserve">Alumni success / reputation</t>
  </si>
  <si>
    <t xml:space="preserve">Success of graduates in academic, industry, policy, or public life</t>
  </si>
  <si>
    <t xml:space="preserve">Alumni surveys</t>
  </si>
  <si>
    <t xml:space="preserve">Student satisfaction / feedback</t>
  </si>
  <si>
    <t xml:space="preserve">Reported student satisfaction with teaching quality</t>
  </si>
  <si>
    <t xml:space="preserve">NSS, alumni surveys</t>
  </si>
  <si>
    <t xml:space="preserve">Accessibility &amp; inclusivity</t>
  </si>
  <si>
    <t xml:space="preserve">Inclusive teaching practices, scholarships, accessibility features</t>
  </si>
  <si>
    <t xml:space="preserve">Institutional reporting</t>
  </si>
  <si>
    <t xml:space="preserve">Teaching Pairwise Win-Loss Matrix (Head-to-Head Comparisons)</t>
  </si>
  <si>
    <t xml:space="preserve">Cell (i,j) = number of times University i was ranked HIGHER than University j for TEACHING across all bundles</t>
  </si>
  <si>
    <t xml:space="preserve">University ↓ vs. →</t>
  </si>
  <si>
    <t xml:space="preserve">Univ 1</t>
  </si>
  <si>
    <t xml:space="preserve">Univ 2</t>
  </si>
  <si>
    <t xml:space="preserve">Univ 3</t>
  </si>
  <si>
    <t xml:space="preserve">Univ 4</t>
  </si>
  <si>
    <t xml:space="preserve">Univ 5</t>
  </si>
  <si>
    <t xml:space="preserve">Univ 6</t>
  </si>
  <si>
    <t xml:space="preserve">Univ 7</t>
  </si>
  <si>
    <t xml:space="preserve">Univ 8</t>
  </si>
  <si>
    <t xml:space="preserve">Univ 9</t>
  </si>
  <si>
    <t xml:space="preserve">Univ 10</t>
  </si>
  <si>
    <t xml:space="preserve">Univ 11</t>
  </si>
  <si>
    <t xml:space="preserve">Univ 12</t>
  </si>
  <si>
    <t xml:space="preserve">Univ 13</t>
  </si>
  <si>
    <t xml:space="preserve">Univ 14</t>
  </si>
  <si>
    <t xml:space="preserve">Univ 15</t>
  </si>
  <si>
    <t xml:space="preserve">Total Wins</t>
  </si>
  <si>
    <t xml:space="preserve">Win Rate (%)</t>
  </si>
  <si>
    <t xml:space="preserve">Teaching Pairwise Score Calculation (0–100 Normalized)</t>
  </si>
  <si>
    <t xml:space="preserve">Aggregates teaching pairwise data into Z-scored / normalized score per THE methodology (exponential component)</t>
  </si>
  <si>
    <t xml:space="preserve">Total Bundles</t>
  </si>
  <si>
    <t xml:space="preserve">Total Wins (Rank 1-2)</t>
  </si>
  <si>
    <t xml:space="preserve">Total Losses (Rank 4-5)</t>
  </si>
  <si>
    <t xml:space="preserve">Sum Inverse Scores</t>
  </si>
  <si>
    <t xml:space="preserve">Avg Teaching Rank</t>
  </si>
  <si>
    <t xml:space="preserve">Raw Pairwise Score</t>
  </si>
  <si>
    <t xml:space="preserve">Z-Score</t>
  </si>
  <si>
    <t xml:space="preserve">Normalized Teaching Score (0–100)</t>
  </si>
  <si>
    <t xml:space="preserve">Voter Diversity — Teaching (Entropy Calculation)</t>
  </si>
  <si>
    <t xml:space="preserve">Entropy of country × subject-area distribution for teaching votes — broader base = more robust teaching reputation</t>
  </si>
  <si>
    <t xml:space="preserve">Total Teaching Votes</t>
  </si>
  <si>
    <t xml:space="preserve">Unique Countries</t>
  </si>
  <si>
    <t xml:space="preserve">Unique Subjects</t>
  </si>
  <si>
    <t xml:space="preserve">Unique Country×Subject Pairs</t>
  </si>
  <si>
    <t xml:space="preserve">Entropy Score (H)</t>
  </si>
  <si>
    <t xml:space="preserve">Diversity Score (0–100)</t>
  </si>
  <si>
    <t xml:space="preserve">Entropy Formula Reference</t>
  </si>
  <si>
    <t xml:space="preserve">H = − Σ pᵢ × log(pᵢ)   where pᵢ = proportion of teaching votes from country-subject bucket i. Higher H = more diverse respondent base.</t>
  </si>
  <si>
    <t xml:space="preserve">Vote Counts — Teaching (Nominations from Academic Reputation Survey)</t>
  </si>
  <si>
    <t xml:space="preserve">Respondents nominate up to 15 institutions for TEACHING excellence | 2025: cumulative scoring function applied</t>
  </si>
  <si>
    <t xml:space="preserve">Teaching Votes (Raw)</t>
  </si>
  <si>
    <t xml:space="preserve">Research Votes (Raw)</t>
  </si>
  <si>
    <t xml:space="preserve">Self-Vote Dilution Applied (Y/N)</t>
  </si>
  <si>
    <t xml:space="preserve">VPRI Capped (Y/N)</t>
  </si>
  <si>
    <t xml:space="preserve">Adjusted Votes (Teaching)</t>
  </si>
  <si>
    <t xml:space="preserve">Cumulative Score</t>
  </si>
  <si>
    <t xml:space="preserve">Final Teaching Vote-Count Score (0–100)</t>
  </si>
  <si>
    <t xml:space="preserve">Final Teaching Reputation Score — Composite of 3 Pillars</t>
  </si>
  <si>
    <t xml:space="preserve">Teaching Score = (Vote Counts × 60%) + (Pairwise Comparison × 30%) + (Voter Diversity × 10%) [illustrative weights]</t>
  </si>
  <si>
    <t xml:space="preserve">Vote Count Score (A)</t>
  </si>
  <si>
    <t xml:space="preserve">Pairwise Score (B)</t>
  </si>
  <si>
    <t xml:space="preserve">Diversity Score (C)</t>
  </si>
  <si>
    <t xml:space="preserve">Composite Teaching Score</t>
  </si>
  <si>
    <t xml:space="preserve">Global Teaching Rank</t>
  </si>
  <si>
    <t xml:space="preserve">Weights →</t>
  </si>
  <si>
    <t xml:space="preserve">Combined Overall WRR Score — Research + Teaching (2:1 Ratio)</t>
  </si>
  <si>
    <t xml:space="preserve">Overall WRR Score = (Research × 2/3) + (Teaching × 1/3) — reflecting THE's 2:1 weighting rationale</t>
  </si>
  <si>
    <t xml:space="preserve">Research Composite Score</t>
  </si>
  <si>
    <t xml:space="preserve">Teaching Composite Score</t>
  </si>
  <si>
    <t xml:space="preserve">Overall WRR Score (2:1 blend)</t>
  </si>
  <si>
    <t xml:space="preserve">Final WRR Rank</t>
  </si>
  <si>
    <t xml:space="preserve">Note: Research Composite Score (Col C) should be pasted from the companion Research Pairwise Workbook (Sheet '8. Composite Score'). Teaching score (Col D) is auto-pulled from this workbook.</t>
  </si>
  <si>
    <t xml:space="preserve">Teaching Pairwise — Data Quality, Bias &amp; Audit Checklist</t>
  </si>
  <si>
    <t xml:space="preserve">Pre- &amp; post-processing checks aligned with THE methodology safeguards (teaching-specific considerations)</t>
  </si>
  <si>
    <t xml:space="preserve">Quality Check</t>
  </si>
  <si>
    <t xml:space="preserve">Status (✓/✗/IP)</t>
  </si>
  <si>
    <t xml:space="preserve">Date Performed</t>
  </si>
  <si>
    <t xml:space="preserve">Reviewer</t>
  </si>
  <si>
    <t xml:space="preserve">Self-vote detection (Teaching)</t>
  </si>
  <si>
    <t xml:space="preserve">Flag and dilute teaching votes where respondent's home institution is being rated</t>
  </si>
  <si>
    <t xml:space="preserve">VPRI threshold check (Teaching)</t>
  </si>
  <si>
    <t xml:space="preserve">Cap Vote-Per-Respondent-Index where any single respondent's teaching influence is disproportionate</t>
  </si>
  <si>
    <t xml:space="preserve">Teaching-judgement confidence warning</t>
  </si>
  <si>
    <t xml:space="preserve">Flag respondents rating institutions outside their immediate discipline/region (lower confidence in external teaching judgement)</t>
  </si>
  <si>
    <t xml:space="preserve">Sample balance (country)</t>
  </si>
  <si>
    <t xml:space="preserve">Ensure no single country over-represents teaching votes; weight responses where needed</t>
  </si>
  <si>
    <t xml:space="preserve">Sample balance (subject)</t>
  </si>
  <si>
    <t xml:space="preserve">Ensure balanced spread across all subject disciplines for teaching evaluation</t>
  </si>
  <si>
    <t xml:space="preserve">Language coverage check</t>
  </si>
  <si>
    <t xml:space="preserve">Confirm teaching section was available in all 13 languages and translations validated</t>
  </si>
  <si>
    <t xml:space="preserve">Teaching section completion</t>
  </si>
  <si>
    <t xml:space="preserve">Verify respondents completed BOTH vote-count and pairwise sections for teaching (some may skip)</t>
  </si>
  <si>
    <t xml:space="preserve">Bundle randomization</t>
  </si>
  <si>
    <t xml:space="preserve">Confirm 5-university bundles were randomized &amp; match respondent's discipline/region</t>
  </si>
  <si>
    <t xml:space="preserve">Super-brand dilution</t>
  </si>
  <si>
    <t xml:space="preserve">Verify pairwise methodology is forcing consideration of non-top-20 universities on teaching</t>
  </si>
  <si>
    <t xml:space="preserve">Entropy bucket integrity</t>
  </si>
  <si>
    <t xml:space="preserve">Validate country × subject buckets correctly computed for teaching diversity</t>
  </si>
  <si>
    <t xml:space="preserve">Outlier detection</t>
  </si>
  <si>
    <t xml:space="preserve">Identify and investigate statistical outliers in teaching vote counts or rankings</t>
  </si>
  <si>
    <t xml:space="preserve">Duplicate respondent check</t>
  </si>
  <si>
    <t xml:space="preserve">Ensure no single respondent submitted multiple teaching responses</t>
  </si>
  <si>
    <t xml:space="preserve">Data exclusion log</t>
  </si>
  <si>
    <t xml:space="preserve">Maintain log of all excluded teaching responses with documented rationale</t>
  </si>
  <si>
    <t xml:space="preserve">Merger / rebranding adjustments</t>
  </si>
  <si>
    <t xml:space="preserve">Account for institutional mergers (cf. Adelaide, Institute of Science Tokyo, City St George's 2025)</t>
  </si>
  <si>
    <t xml:space="preserve">Cumulative scoring function</t>
  </si>
  <si>
    <t xml:space="preserve">Confirm switch from proportional to cumulative scoring function (2025+ change) for teaching votes</t>
  </si>
  <si>
    <t xml:space="preserve">Pairwise hierarchy algorithm</t>
  </si>
  <si>
    <t xml:space="preserve">Validate pairwise algorithm converged correctly for teaching relative performance</t>
  </si>
  <si>
    <t xml:space="preserve">Z-score normalization</t>
  </si>
  <si>
    <t xml:space="preserve">Check z-scoring with exponential component applied to teaching reputation</t>
  </si>
  <si>
    <t xml:space="preserve">Research:Teaching 2:1 blend check</t>
  </si>
  <si>
    <t xml:space="preserve">Confirm final WRR score applies the 2:1 research:teaching weighting correctly</t>
  </si>
  <si>
    <t xml:space="preserve">Teaching pillar cross-check with WUR</t>
  </si>
  <si>
    <t xml:space="preserve">Ensure teaching reputation data feeds correctly into main WUR Teaching pillar (15% weight)</t>
  </si>
  <si>
    <t xml:space="preserve">Corrections &amp; disputes log</t>
  </si>
  <si>
    <t xml:space="preserve">Track any corrections under THE corrections policy post-publication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</si>
</sst>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General"/>
    <numFmt numFmtId="168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5F6A"/>
        <bgColor rgb="FF008080"/>
      </patternFill>
    </fill>
    <fill>
      <patternFill patternType="solid">
        <fgColor rgb="FF2F8F9D"/>
        <bgColor rgb="FF2E75B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C8102E"/>
        <bgColor rgb="FF993300"/>
      </patternFill>
    </fill>
    <fill>
      <patternFill patternType="solid">
        <fgColor rgb="FF548235"/>
        <bgColor rgb="FF808080"/>
      </patternFill>
    </fill>
    <fill>
      <patternFill patternType="solid">
        <fgColor rgb="FFE2EFDA"/>
        <bgColor rgb="FFF2F2F2"/>
      </patternFill>
    </fill>
    <fill>
      <patternFill patternType="solid">
        <fgColor rgb="FFBF8F00"/>
        <bgColor rgb="FFED7D31"/>
      </patternFill>
    </fill>
    <fill>
      <patternFill patternType="solid">
        <fgColor rgb="FFED7D31"/>
        <bgColor rgb="FFFF8080"/>
      </patternFill>
    </fill>
    <fill>
      <patternFill patternType="solid">
        <fgColor rgb="FFFCE4D6"/>
        <bgColor rgb="FFFFF5D9"/>
      </patternFill>
    </fill>
    <fill>
      <patternFill patternType="solid">
        <fgColor rgb="FF7030A0"/>
        <bgColor rgb="FF993366"/>
      </patternFill>
    </fill>
    <fill>
      <patternFill patternType="solid">
        <fgColor rgb="FF1A2E4F"/>
        <bgColor rgb="FF404040"/>
      </patternFill>
    </fill>
    <fill>
      <patternFill patternType="solid">
        <fgColor rgb="FFE4D5F0"/>
        <bgColor rgb="FFD0D0D0"/>
      </patternFill>
    </fill>
    <fill>
      <patternFill patternType="solid">
        <fgColor rgb="FFD0D0D0"/>
        <bgColor rgb="FFE4D5F0"/>
      </patternFill>
    </fill>
    <fill>
      <patternFill patternType="solid">
        <fgColor rgb="FF2E75B6"/>
        <bgColor rgb="FF2F8F9D"/>
      </patternFill>
    </fill>
    <fill>
      <patternFill patternType="solid">
        <fgColor rgb="FFFFF5D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1F5F6A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E4D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D0D0D0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6A"/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5" min="4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54.75" hidden="false" customHeight="true" outlineLevel="0" collapsed="false">
      <c r="A5" s="4" t="n">
        <v>1</v>
      </c>
      <c r="B5" s="5" t="s">
        <v>7</v>
      </c>
      <c r="C5" s="6" t="s">
        <v>8</v>
      </c>
      <c r="D5" s="7" t="s">
        <v>9</v>
      </c>
      <c r="E5" s="7" t="s">
        <v>10</v>
      </c>
    </row>
    <row r="6" customFormat="false" ht="54.75" hidden="false" customHeight="true" outlineLevel="0" collapsed="false">
      <c r="A6" s="8" t="n">
        <v>2</v>
      </c>
      <c r="B6" s="9" t="s">
        <v>11</v>
      </c>
      <c r="C6" s="10" t="s">
        <v>12</v>
      </c>
      <c r="D6" s="11" t="s">
        <v>13</v>
      </c>
      <c r="E6" s="11" t="s">
        <v>10</v>
      </c>
    </row>
    <row r="7" customFormat="false" ht="54.75" hidden="false" customHeight="true" outlineLevel="0" collapsed="false">
      <c r="A7" s="4" t="n">
        <v>3</v>
      </c>
      <c r="B7" s="5" t="s">
        <v>14</v>
      </c>
      <c r="C7" s="6" t="s">
        <v>15</v>
      </c>
      <c r="D7" s="7" t="s">
        <v>16</v>
      </c>
      <c r="E7" s="7" t="s">
        <v>10</v>
      </c>
    </row>
    <row r="8" customFormat="false" ht="54.75" hidden="false" customHeight="true" outlineLevel="0" collapsed="false">
      <c r="A8" s="8" t="n">
        <v>4</v>
      </c>
      <c r="B8" s="9" t="s">
        <v>17</v>
      </c>
      <c r="C8" s="10" t="s">
        <v>18</v>
      </c>
      <c r="D8" s="11" t="s">
        <v>10</v>
      </c>
      <c r="E8" s="11" t="s">
        <v>19</v>
      </c>
    </row>
    <row r="9" customFormat="false" ht="54.75" hidden="false" customHeight="true" outlineLevel="0" collapsed="false">
      <c r="A9" s="4" t="n">
        <v>5</v>
      </c>
      <c r="B9" s="5" t="s">
        <v>20</v>
      </c>
      <c r="C9" s="6" t="s">
        <v>18</v>
      </c>
      <c r="D9" s="7" t="s">
        <v>10</v>
      </c>
      <c r="E9" s="7" t="s">
        <v>9</v>
      </c>
    </row>
    <row r="10" customFormat="false" ht="54.75" hidden="false" customHeight="true" outlineLevel="0" collapsed="false">
      <c r="A10" s="8" t="n">
        <v>6</v>
      </c>
      <c r="B10" s="9" t="s">
        <v>21</v>
      </c>
      <c r="C10" s="10" t="s">
        <v>18</v>
      </c>
      <c r="D10" s="11" t="s">
        <v>10</v>
      </c>
      <c r="E10" s="11" t="s">
        <v>22</v>
      </c>
    </row>
    <row r="12" customFormat="false" ht="25.5" hidden="false" customHeight="true" outlineLevel="0" collapsed="false">
      <c r="A12" s="12" t="s">
        <v>23</v>
      </c>
      <c r="B12" s="12"/>
      <c r="C12" s="12"/>
      <c r="D12" s="12"/>
      <c r="E12" s="12"/>
    </row>
    <row r="13" customFormat="false" ht="19.5" hidden="false" customHeight="true" outlineLevel="0" collapsed="false">
      <c r="A13" s="13" t="s">
        <v>24</v>
      </c>
      <c r="B13" s="13"/>
      <c r="C13" s="13"/>
      <c r="D13" s="13"/>
      <c r="E13" s="13"/>
    </row>
    <row r="14" customFormat="false" ht="19.5" hidden="false" customHeight="true" outlineLevel="0" collapsed="false">
      <c r="A14" s="13" t="s">
        <v>25</v>
      </c>
      <c r="B14" s="13"/>
      <c r="C14" s="13"/>
      <c r="D14" s="13"/>
      <c r="E14" s="13"/>
    </row>
    <row r="15" customFormat="false" ht="19.5" hidden="false" customHeight="true" outlineLevel="0" collapsed="false">
      <c r="A15" s="13" t="s">
        <v>26</v>
      </c>
      <c r="B15" s="13"/>
      <c r="C15" s="13"/>
      <c r="D15" s="13"/>
      <c r="E15" s="13"/>
    </row>
    <row r="16" customFormat="false" ht="19.5" hidden="false" customHeight="true" outlineLevel="0" collapsed="false">
      <c r="A16" s="13" t="s">
        <v>27</v>
      </c>
      <c r="B16" s="13"/>
      <c r="C16" s="13"/>
      <c r="D16" s="13"/>
      <c r="E16" s="13"/>
    </row>
    <row r="17" customFormat="false" ht="19.5" hidden="false" customHeight="true" outlineLevel="0" collapsed="false">
      <c r="A17" s="13" t="s">
        <v>28</v>
      </c>
      <c r="B17" s="13"/>
      <c r="C17" s="13"/>
      <c r="D17" s="13"/>
      <c r="E17" s="13"/>
    </row>
    <row r="18" customFormat="false" ht="19.5" hidden="false" customHeight="true" outlineLevel="0" collapsed="false">
      <c r="A18" s="13" t="s">
        <v>29</v>
      </c>
      <c r="B18" s="13"/>
      <c r="C18" s="13"/>
      <c r="D18" s="13"/>
      <c r="E18" s="13"/>
    </row>
    <row r="19" customFormat="false" ht="19.5" hidden="false" customHeight="true" outlineLevel="0" collapsed="false">
      <c r="A19" s="13" t="s">
        <v>30</v>
      </c>
      <c r="B19" s="13"/>
      <c r="C19" s="13"/>
      <c r="D19" s="13"/>
      <c r="E19" s="13"/>
    </row>
    <row r="20" customFormat="false" ht="19.5" hidden="false" customHeight="true" outlineLevel="0" collapsed="false">
      <c r="A20" s="13" t="s">
        <v>31</v>
      </c>
      <c r="B20" s="13"/>
      <c r="C20" s="13"/>
      <c r="D20" s="13"/>
      <c r="E20" s="13"/>
    </row>
    <row r="21" customFormat="false" ht="19.5" hidden="false" customHeight="true" outlineLevel="0" collapsed="false">
      <c r="A21" s="13" t="s">
        <v>32</v>
      </c>
      <c r="B21" s="13"/>
      <c r="C21" s="13"/>
      <c r="D21" s="13"/>
      <c r="E21" s="13"/>
    </row>
    <row r="22" customFormat="false" ht="19.5" hidden="false" customHeight="true" outlineLevel="0" collapsed="false">
      <c r="A22" s="13" t="s">
        <v>33</v>
      </c>
      <c r="B22" s="13"/>
      <c r="C22" s="13"/>
      <c r="D22" s="13"/>
      <c r="E22" s="13"/>
    </row>
    <row r="23" customFormat="false" ht="19.5" hidden="false" customHeight="true" outlineLevel="0" collapsed="false">
      <c r="A23" s="13" t="s">
        <v>34</v>
      </c>
      <c r="B23" s="13"/>
      <c r="C23" s="13"/>
      <c r="D23" s="13"/>
      <c r="E23" s="13"/>
    </row>
    <row r="24" customFormat="false" ht="19.5" hidden="false" customHeight="true" outlineLevel="0" collapsed="false">
      <c r="A24" s="13" t="s">
        <v>35</v>
      </c>
      <c r="B24" s="13"/>
      <c r="C24" s="13"/>
      <c r="D24" s="13"/>
      <c r="E24" s="13"/>
    </row>
  </sheetData>
  <mergeCells count="15">
    <mergeCell ref="A1:E1"/>
    <mergeCell ref="A2:E2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6" min="5" style="0" width="24"/>
    <col collapsed="false" customWidth="true" hidden="false" outlineLevel="0" max="7" min="7" style="0" width="16"/>
    <col collapsed="false" customWidth="true" hidden="false" outlineLevel="0" max="9" min="8" style="0" width="18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22"/>
  </cols>
  <sheetData>
    <row r="1" customFormat="false" ht="33.75" hidden="false" customHeight="true" outlineLevel="0" collapsed="false">
      <c r="A1" s="14" t="s">
        <v>36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25.5" hidden="false" customHeight="true" outlineLevel="0" collapsed="false">
      <c r="A2" s="2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3.85" hidden="false" customHeight="false" outlineLevel="0" collapsed="false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  <c r="F3" s="15" t="s">
        <v>43</v>
      </c>
      <c r="G3" s="15" t="s">
        <v>44</v>
      </c>
      <c r="H3" s="15" t="s">
        <v>45</v>
      </c>
      <c r="I3" s="15" t="s">
        <v>46</v>
      </c>
      <c r="J3" s="15" t="s">
        <v>47</v>
      </c>
      <c r="K3" s="15" t="s">
        <v>48</v>
      </c>
      <c r="L3" s="15" t="s">
        <v>49</v>
      </c>
    </row>
    <row r="4" customFormat="false" ht="23.85" hidden="false" customHeight="false" outlineLevel="0" collapsed="false">
      <c r="A4" s="11" t="s">
        <v>50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customFormat="false" ht="23.85" hidden="false" customHeight="false" outlineLevel="0" collapsed="false">
      <c r="A5" s="7" t="s">
        <v>51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customFormat="false" ht="23.85" hidden="false" customHeight="false" outlineLevel="0" collapsed="false">
      <c r="A6" s="11" t="s">
        <v>52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23.85" hidden="false" customHeight="false" outlineLevel="0" collapsed="false">
      <c r="A7" s="7" t="s">
        <v>53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customFormat="false" ht="23.85" hidden="false" customHeight="false" outlineLevel="0" collapsed="false">
      <c r="A8" s="11" t="s">
        <v>54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customFormat="false" ht="23.85" hidden="false" customHeight="false" outlineLevel="0" collapsed="false">
      <c r="A9" s="7" t="s">
        <v>55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customFormat="false" ht="23.85" hidden="false" customHeight="false" outlineLevel="0" collapsed="false">
      <c r="A10" s="11" t="s">
        <v>56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customFormat="false" ht="23.85" hidden="false" customHeight="false" outlineLevel="0" collapsed="false">
      <c r="A11" s="7" t="s">
        <v>57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customFormat="false" ht="23.85" hidden="false" customHeight="false" outlineLevel="0" collapsed="false">
      <c r="A12" s="11" t="s">
        <v>58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customFormat="false" ht="23.85" hidden="false" customHeight="false" outlineLevel="0" collapsed="false">
      <c r="A13" s="7" t="s">
        <v>59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customFormat="false" ht="23.85" hidden="false" customHeight="false" outlineLevel="0" collapsed="false">
      <c r="A14" s="11" t="s">
        <v>60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customFormat="false" ht="23.85" hidden="false" customHeight="false" outlineLevel="0" collapsed="false">
      <c r="A15" s="7" t="s">
        <v>61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customFormat="false" ht="23.85" hidden="false" customHeight="false" outlineLevel="0" collapsed="false">
      <c r="A16" s="11" t="s">
        <v>62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customFormat="false" ht="23.85" hidden="false" customHeight="false" outlineLevel="0" collapsed="false">
      <c r="A17" s="7" t="s">
        <v>63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</row>
    <row r="18" customFormat="false" ht="23.85" hidden="false" customHeight="false" outlineLevel="0" collapsed="false">
      <c r="A18" s="11" t="s">
        <v>64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customFormat="false" ht="23.85" hidden="false" customHeight="false" outlineLevel="0" collapsed="false">
      <c r="A19" s="7" t="s">
        <v>65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customFormat="false" ht="23.85" hidden="false" customHeight="false" outlineLevel="0" collapsed="false">
      <c r="A20" s="11" t="s">
        <v>66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customFormat="false" ht="23.85" hidden="false" customHeight="false" outlineLevel="0" collapsed="false">
      <c r="A21" s="7" t="s">
        <v>67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customFormat="false" ht="23.85" hidden="false" customHeight="false" outlineLevel="0" collapsed="false">
      <c r="A22" s="11" t="s">
        <v>68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customFormat="false" ht="23.85" hidden="false" customHeight="false" outlineLevel="0" collapsed="false">
      <c r="A23" s="7" t="s">
        <v>69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customFormat="false" ht="23.85" hidden="false" customHeight="false" outlineLevel="0" collapsed="false">
      <c r="A24" s="11" t="s">
        <v>70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customFormat="false" ht="23.85" hidden="false" customHeight="false" outlineLevel="0" collapsed="false">
      <c r="A25" s="7" t="s">
        <v>71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customFormat="false" ht="23.85" hidden="false" customHeight="false" outlineLevel="0" collapsed="false">
      <c r="A26" s="11" t="s">
        <v>72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customFormat="false" ht="23.85" hidden="false" customHeight="false" outlineLevel="0" collapsed="false">
      <c r="A27" s="7" t="s">
        <v>73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customFormat="false" ht="23.85" hidden="false" customHeight="false" outlineLevel="0" collapsed="false">
      <c r="A28" s="11" t="s">
        <v>74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customFormat="false" ht="23.85" hidden="false" customHeight="false" outlineLevel="0" collapsed="false">
      <c r="A29" s="7" t="s">
        <v>75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customFormat="false" ht="23.85" hidden="false" customHeight="false" outlineLevel="0" collapsed="false">
      <c r="A30" s="11" t="s">
        <v>76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customFormat="false" ht="23.85" hidden="false" customHeight="false" outlineLevel="0" collapsed="false">
      <c r="A31" s="7" t="s">
        <v>77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customFormat="false" ht="23.85" hidden="false" customHeight="false" outlineLevel="0" collapsed="false">
      <c r="A32" s="11" t="s">
        <v>78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customFormat="false" ht="23.85" hidden="false" customHeight="false" outlineLevel="0" collapsed="false">
      <c r="A33" s="7" t="s">
        <v>79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customFormat="false" ht="23.85" hidden="false" customHeight="false" outlineLevel="0" collapsed="false">
      <c r="A34" s="11" t="s">
        <v>80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customFormat="false" ht="23.85" hidden="false" customHeight="false" outlineLevel="0" collapsed="false">
      <c r="A35" s="7" t="s">
        <v>81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customFormat="false" ht="23.85" hidden="false" customHeight="false" outlineLevel="0" collapsed="false">
      <c r="A36" s="11" t="s">
        <v>82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customFormat="false" ht="23.85" hidden="false" customHeight="false" outlineLevel="0" collapsed="false">
      <c r="A37" s="7" t="s">
        <v>83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customFormat="false" ht="23.85" hidden="false" customHeight="false" outlineLevel="0" collapsed="false">
      <c r="A38" s="11" t="s">
        <v>84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customFormat="false" ht="23.85" hidden="false" customHeight="false" outlineLevel="0" collapsed="false">
      <c r="A39" s="7" t="s">
        <v>85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customFormat="false" ht="23.85" hidden="false" customHeight="false" outlineLevel="0" collapsed="false">
      <c r="A40" s="11" t="s">
        <v>86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customFormat="false" ht="23.85" hidden="false" customHeight="false" outlineLevel="0" collapsed="false">
      <c r="A41" s="7" t="s">
        <v>87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customFormat="false" ht="23.85" hidden="false" customHeight="false" outlineLevel="0" collapsed="false">
      <c r="A42" s="11" t="s">
        <v>88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customFormat="false" ht="23.85" hidden="false" customHeight="false" outlineLevel="0" collapsed="false">
      <c r="A43" s="7" t="s">
        <v>89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5" customFormat="false" ht="25.5" hidden="false" customHeight="true" outlineLevel="0" collapsed="false">
      <c r="A45" s="18" t="s">
        <v>90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customFormat="false" ht="15" hidden="false" customHeight="true" outlineLevel="0" collapsed="false">
      <c r="A46" s="19" t="s">
        <v>91</v>
      </c>
      <c r="B46" s="19"/>
      <c r="C46" s="19"/>
      <c r="D46" s="19"/>
      <c r="E46" s="19"/>
      <c r="F46" s="19"/>
      <c r="G46" s="20" t="n">
        <f aca="false">COUNTA(A4:A43)</f>
        <v>40</v>
      </c>
      <c r="H46" s="21"/>
      <c r="I46" s="21"/>
      <c r="J46" s="21"/>
      <c r="K46" s="21"/>
      <c r="L46" s="21"/>
    </row>
    <row r="47" customFormat="false" ht="15" hidden="false" customHeight="true" outlineLevel="0" collapsed="false">
      <c r="A47" s="19" t="s">
        <v>92</v>
      </c>
      <c r="B47" s="19"/>
      <c r="C47" s="19"/>
      <c r="D47" s="19"/>
      <c r="E47" s="19"/>
      <c r="F47" s="19"/>
      <c r="G47" s="20" t="n">
        <f aca="false">COUNTIF(L4:L43,"Y")</f>
        <v>0</v>
      </c>
      <c r="H47" s="21"/>
      <c r="I47" s="21"/>
      <c r="J47" s="21"/>
      <c r="K47" s="21"/>
      <c r="L47" s="21"/>
    </row>
    <row r="48" customFormat="false" ht="15" hidden="false" customHeight="true" outlineLevel="0" collapsed="false">
      <c r="A48" s="19" t="s">
        <v>93</v>
      </c>
      <c r="B48" s="19"/>
      <c r="C48" s="19"/>
      <c r="D48" s="19"/>
      <c r="E48" s="19"/>
      <c r="F48" s="19"/>
      <c r="G48" s="20" t="n">
        <f aca="false">IF(COUNTA(A4:A43)&gt;0,COUNTIF(L4:L43,"Y")/COUNTA(A4:A43)*100,0)</f>
        <v>0</v>
      </c>
      <c r="H48" s="21"/>
      <c r="I48" s="21"/>
      <c r="J48" s="21"/>
      <c r="K48" s="21"/>
      <c r="L48" s="21"/>
    </row>
    <row r="49" customFormat="false" ht="15" hidden="false" customHeight="true" outlineLevel="0" collapsed="false">
      <c r="A49" s="19" t="s">
        <v>94</v>
      </c>
      <c r="B49" s="19"/>
      <c r="C49" s="19"/>
      <c r="D49" s="19"/>
      <c r="E49" s="19"/>
      <c r="F49" s="19"/>
      <c r="G49" s="20" t="n">
        <f aca="false">COUNTIF(I4:I43,"Y")</f>
        <v>0</v>
      </c>
      <c r="H49" s="21"/>
      <c r="I49" s="21"/>
      <c r="J49" s="21"/>
      <c r="K49" s="21"/>
      <c r="L49" s="21"/>
    </row>
    <row r="50" customFormat="false" ht="15" hidden="false" customHeight="true" outlineLevel="0" collapsed="false">
      <c r="A50" s="19" t="s">
        <v>95</v>
      </c>
      <c r="B50" s="19"/>
      <c r="C50" s="19"/>
      <c r="D50" s="19"/>
      <c r="E50" s="19"/>
      <c r="F50" s="19"/>
      <c r="G50" s="20" t="n">
        <f aca="false">SUMPRODUCT((D4:D43&lt;&gt;"")/COUNTIF(D4:D43,D4:D43&amp;""))</f>
        <v>0</v>
      </c>
      <c r="H50" s="21"/>
      <c r="I50" s="21"/>
      <c r="J50" s="21"/>
      <c r="K50" s="21"/>
      <c r="L50" s="21"/>
    </row>
    <row r="51" customFormat="false" ht="15" hidden="false" customHeight="true" outlineLevel="0" collapsed="false">
      <c r="A51" s="19" t="s">
        <v>96</v>
      </c>
      <c r="B51" s="19"/>
      <c r="C51" s="19"/>
      <c r="D51" s="19"/>
      <c r="E51" s="19"/>
      <c r="F51" s="19"/>
      <c r="G51" s="20" t="n">
        <f aca="false">SUMPRODUCT((E4:E43&lt;&gt;"")/COUNTIF(E4:E43,E4:E43&amp;""))</f>
        <v>0</v>
      </c>
      <c r="H51" s="21"/>
      <c r="I51" s="21"/>
      <c r="J51" s="21"/>
      <c r="K51" s="21"/>
      <c r="L51" s="21"/>
    </row>
  </sheetData>
  <mergeCells count="9">
    <mergeCell ref="A1:L1"/>
    <mergeCell ref="A2:L2"/>
    <mergeCell ref="A45:L45"/>
    <mergeCell ref="A46:F46"/>
    <mergeCell ref="A47:F47"/>
    <mergeCell ref="A48:F48"/>
    <mergeCell ref="A49:F49"/>
    <mergeCell ref="A50:F50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6" min="5" style="0" width="18"/>
    <col collapsed="false" customWidth="true" hidden="false" outlineLevel="0" max="10" min="7" style="0" width="14"/>
    <col collapsed="false" customWidth="true" hidden="false" outlineLevel="0" max="12" min="11" style="0" width="16"/>
  </cols>
  <sheetData>
    <row r="1" customFormat="false" ht="33.75" hidden="false" customHeight="true" outlineLevel="0" collapsed="false">
      <c r="A1" s="22" t="s">
        <v>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customFormat="false" ht="25.5" hidden="false" customHeight="true" outlineLevel="0" collapsed="false">
      <c r="A2" s="23" t="s">
        <v>98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customFormat="false" ht="23.85" hidden="false" customHeight="false" outlineLevel="0" collapsed="false">
      <c r="A3" s="24" t="s">
        <v>99</v>
      </c>
      <c r="B3" s="24" t="s">
        <v>100</v>
      </c>
      <c r="C3" s="24" t="s">
        <v>101</v>
      </c>
      <c r="D3" s="24" t="s">
        <v>102</v>
      </c>
      <c r="E3" s="24" t="s">
        <v>103</v>
      </c>
      <c r="F3" s="24" t="s">
        <v>104</v>
      </c>
      <c r="G3" s="24" t="s">
        <v>105</v>
      </c>
      <c r="H3" s="24" t="s">
        <v>106</v>
      </c>
      <c r="I3" s="24" t="s">
        <v>107</v>
      </c>
      <c r="J3" s="24" t="s">
        <v>108</v>
      </c>
      <c r="K3" s="24" t="s">
        <v>109</v>
      </c>
      <c r="L3" s="24" t="s">
        <v>110</v>
      </c>
    </row>
    <row r="4" customFormat="false" ht="15" hidden="false" customHeight="false" outlineLevel="0" collapsed="false">
      <c r="A4" s="11" t="n">
        <v>1</v>
      </c>
      <c r="B4" s="16"/>
      <c r="C4" s="16"/>
      <c r="D4" s="16"/>
      <c r="E4" s="16"/>
      <c r="F4" s="16"/>
      <c r="G4" s="16"/>
      <c r="H4" s="16"/>
      <c r="I4" s="25" t="str">
        <f aca="false">IFERROR(AVERAGEIF('3. Pairwise Rankings'!B:B,B4,'3. Pairwise Rankings'!G:G),"")</f>
        <v/>
      </c>
      <c r="J4" s="25" t="str">
        <f aca="false">IFERROR(AVERAGEIF('3. Pairwise Rankings'!B:B,B4,'3. Pairwise Rankings'!G:G),"")</f>
        <v/>
      </c>
      <c r="K4" s="16"/>
      <c r="L4" s="16"/>
    </row>
    <row r="5" customFormat="false" ht="15" hidden="false" customHeight="false" outlineLevel="0" collapsed="false">
      <c r="A5" s="7" t="n">
        <v>2</v>
      </c>
      <c r="B5" s="17"/>
      <c r="C5" s="17"/>
      <c r="D5" s="17"/>
      <c r="E5" s="17"/>
      <c r="F5" s="17"/>
      <c r="G5" s="17"/>
      <c r="H5" s="17"/>
      <c r="I5" s="26" t="str">
        <f aca="false">IFERROR(AVERAGEIF('3. Pairwise Rankings'!B:B,B5,'3. Pairwise Rankings'!G:G),"")</f>
        <v/>
      </c>
      <c r="J5" s="26" t="str">
        <f aca="false">IFERROR(AVERAGEIF('3. Pairwise Rankings'!B:B,B5,'3. Pairwise Rankings'!G:G),"")</f>
        <v/>
      </c>
      <c r="K5" s="17"/>
      <c r="L5" s="17"/>
    </row>
    <row r="6" customFormat="false" ht="15" hidden="false" customHeight="false" outlineLevel="0" collapsed="false">
      <c r="A6" s="11" t="n">
        <v>3</v>
      </c>
      <c r="B6" s="16"/>
      <c r="C6" s="16"/>
      <c r="D6" s="16"/>
      <c r="E6" s="16"/>
      <c r="F6" s="16"/>
      <c r="G6" s="16"/>
      <c r="H6" s="16"/>
      <c r="I6" s="25" t="str">
        <f aca="false">IFERROR(AVERAGEIF('3. Pairwise Rankings'!B:B,B6,'3. Pairwise Rankings'!G:G),"")</f>
        <v/>
      </c>
      <c r="J6" s="25" t="str">
        <f aca="false">IFERROR(AVERAGEIF('3. Pairwise Rankings'!B:B,B6,'3. Pairwise Rankings'!G:G),"")</f>
        <v/>
      </c>
      <c r="K6" s="16"/>
      <c r="L6" s="16"/>
    </row>
    <row r="7" customFormat="false" ht="15" hidden="false" customHeight="false" outlineLevel="0" collapsed="false">
      <c r="A7" s="7" t="n">
        <v>4</v>
      </c>
      <c r="B7" s="17"/>
      <c r="C7" s="17"/>
      <c r="D7" s="17"/>
      <c r="E7" s="17"/>
      <c r="F7" s="17"/>
      <c r="G7" s="17"/>
      <c r="H7" s="17"/>
      <c r="I7" s="26" t="str">
        <f aca="false">IFERROR(AVERAGEIF('3. Pairwise Rankings'!B:B,B7,'3. Pairwise Rankings'!G:G),"")</f>
        <v/>
      </c>
      <c r="J7" s="26" t="str">
        <f aca="false">IFERROR(AVERAGEIF('3. Pairwise Rankings'!B:B,B7,'3. Pairwise Rankings'!G:G),"")</f>
        <v/>
      </c>
      <c r="K7" s="17"/>
      <c r="L7" s="17"/>
    </row>
    <row r="8" customFormat="false" ht="15" hidden="false" customHeight="false" outlineLevel="0" collapsed="false">
      <c r="A8" s="11" t="n">
        <v>5</v>
      </c>
      <c r="B8" s="16"/>
      <c r="C8" s="16"/>
      <c r="D8" s="16"/>
      <c r="E8" s="16"/>
      <c r="F8" s="16"/>
      <c r="G8" s="16"/>
      <c r="H8" s="16"/>
      <c r="I8" s="25" t="str">
        <f aca="false">IFERROR(AVERAGEIF('3. Pairwise Rankings'!B:B,B8,'3. Pairwise Rankings'!G:G),"")</f>
        <v/>
      </c>
      <c r="J8" s="25" t="str">
        <f aca="false">IFERROR(AVERAGEIF('3. Pairwise Rankings'!B:B,B8,'3. Pairwise Rankings'!G:G),"")</f>
        <v/>
      </c>
      <c r="K8" s="16"/>
      <c r="L8" s="16"/>
    </row>
    <row r="9" customFormat="false" ht="15" hidden="false" customHeight="false" outlineLevel="0" collapsed="false">
      <c r="A9" s="7" t="n">
        <v>6</v>
      </c>
      <c r="B9" s="17"/>
      <c r="C9" s="17"/>
      <c r="D9" s="17"/>
      <c r="E9" s="17"/>
      <c r="F9" s="17"/>
      <c r="G9" s="17"/>
      <c r="H9" s="17"/>
      <c r="I9" s="26" t="str">
        <f aca="false">IFERROR(AVERAGEIF('3. Pairwise Rankings'!B:B,B9,'3. Pairwise Rankings'!G:G),"")</f>
        <v/>
      </c>
      <c r="J9" s="26" t="str">
        <f aca="false">IFERROR(AVERAGEIF('3. Pairwise Rankings'!B:B,B9,'3. Pairwise Rankings'!G:G),"")</f>
        <v/>
      </c>
      <c r="K9" s="17"/>
      <c r="L9" s="17"/>
    </row>
    <row r="10" customFormat="false" ht="15" hidden="false" customHeight="false" outlineLevel="0" collapsed="false">
      <c r="A10" s="11" t="n">
        <v>7</v>
      </c>
      <c r="B10" s="16"/>
      <c r="C10" s="16"/>
      <c r="D10" s="16"/>
      <c r="E10" s="16"/>
      <c r="F10" s="16"/>
      <c r="G10" s="16"/>
      <c r="H10" s="16"/>
      <c r="I10" s="25" t="str">
        <f aca="false">IFERROR(AVERAGEIF('3. Pairwise Rankings'!B:B,B10,'3. Pairwise Rankings'!G:G),"")</f>
        <v/>
      </c>
      <c r="J10" s="25" t="str">
        <f aca="false">IFERROR(AVERAGEIF('3. Pairwise Rankings'!B:B,B10,'3. Pairwise Rankings'!G:G),"")</f>
        <v/>
      </c>
      <c r="K10" s="16"/>
      <c r="L10" s="16"/>
    </row>
    <row r="11" customFormat="false" ht="15" hidden="false" customHeight="false" outlineLevel="0" collapsed="false">
      <c r="A11" s="7" t="n">
        <v>8</v>
      </c>
      <c r="B11" s="17"/>
      <c r="C11" s="17"/>
      <c r="D11" s="17"/>
      <c r="E11" s="17"/>
      <c r="F11" s="17"/>
      <c r="G11" s="17"/>
      <c r="H11" s="17"/>
      <c r="I11" s="26" t="str">
        <f aca="false">IFERROR(AVERAGEIF('3. Pairwise Rankings'!B:B,B11,'3. Pairwise Rankings'!G:G),"")</f>
        <v/>
      </c>
      <c r="J11" s="26" t="str">
        <f aca="false">IFERROR(AVERAGEIF('3. Pairwise Rankings'!B:B,B11,'3. Pairwise Rankings'!G:G),"")</f>
        <v/>
      </c>
      <c r="K11" s="17"/>
      <c r="L11" s="17"/>
    </row>
    <row r="12" customFormat="false" ht="15" hidden="false" customHeight="false" outlineLevel="0" collapsed="false">
      <c r="A12" s="11" t="n">
        <v>9</v>
      </c>
      <c r="B12" s="16"/>
      <c r="C12" s="16"/>
      <c r="D12" s="16"/>
      <c r="E12" s="16"/>
      <c r="F12" s="16"/>
      <c r="G12" s="16"/>
      <c r="H12" s="16"/>
      <c r="I12" s="25" t="str">
        <f aca="false">IFERROR(AVERAGEIF('3. Pairwise Rankings'!B:B,B12,'3. Pairwise Rankings'!G:G),"")</f>
        <v/>
      </c>
      <c r="J12" s="25" t="str">
        <f aca="false">IFERROR(AVERAGEIF('3. Pairwise Rankings'!B:B,B12,'3. Pairwise Rankings'!G:G),"")</f>
        <v/>
      </c>
      <c r="K12" s="16"/>
      <c r="L12" s="16"/>
    </row>
    <row r="13" customFormat="false" ht="15" hidden="false" customHeight="false" outlineLevel="0" collapsed="false">
      <c r="A13" s="7" t="n">
        <v>10</v>
      </c>
      <c r="B13" s="17"/>
      <c r="C13" s="17"/>
      <c r="D13" s="17"/>
      <c r="E13" s="17"/>
      <c r="F13" s="17"/>
      <c r="G13" s="17"/>
      <c r="H13" s="17"/>
      <c r="I13" s="26" t="str">
        <f aca="false">IFERROR(AVERAGEIF('3. Pairwise Rankings'!B:B,B13,'3. Pairwise Rankings'!G:G),"")</f>
        <v/>
      </c>
      <c r="J13" s="26" t="str">
        <f aca="false">IFERROR(AVERAGEIF('3. Pairwise Rankings'!B:B,B13,'3. Pairwise Rankings'!G:G),"")</f>
        <v/>
      </c>
      <c r="K13" s="17"/>
      <c r="L13" s="17"/>
    </row>
    <row r="14" customFormat="false" ht="15" hidden="false" customHeight="false" outlineLevel="0" collapsed="false">
      <c r="A14" s="11" t="n">
        <v>11</v>
      </c>
      <c r="B14" s="16"/>
      <c r="C14" s="16"/>
      <c r="D14" s="16"/>
      <c r="E14" s="16"/>
      <c r="F14" s="16"/>
      <c r="G14" s="16"/>
      <c r="H14" s="16"/>
      <c r="I14" s="25" t="str">
        <f aca="false">IFERROR(AVERAGEIF('3. Pairwise Rankings'!B:B,B14,'3. Pairwise Rankings'!G:G),"")</f>
        <v/>
      </c>
      <c r="J14" s="25" t="str">
        <f aca="false">IFERROR(AVERAGEIF('3. Pairwise Rankings'!B:B,B14,'3. Pairwise Rankings'!G:G),"")</f>
        <v/>
      </c>
      <c r="K14" s="16"/>
      <c r="L14" s="16"/>
    </row>
    <row r="15" customFormat="false" ht="15" hidden="false" customHeight="false" outlineLevel="0" collapsed="false">
      <c r="A15" s="7" t="n">
        <v>12</v>
      </c>
      <c r="B15" s="17"/>
      <c r="C15" s="17"/>
      <c r="D15" s="17"/>
      <c r="E15" s="17"/>
      <c r="F15" s="17"/>
      <c r="G15" s="17"/>
      <c r="H15" s="17"/>
      <c r="I15" s="26" t="str">
        <f aca="false">IFERROR(AVERAGEIF('3. Pairwise Rankings'!B:B,B15,'3. Pairwise Rankings'!G:G),"")</f>
        <v/>
      </c>
      <c r="J15" s="26" t="str">
        <f aca="false">IFERROR(AVERAGEIF('3. Pairwise Rankings'!B:B,B15,'3. Pairwise Rankings'!G:G),"")</f>
        <v/>
      </c>
      <c r="K15" s="17"/>
      <c r="L15" s="17"/>
    </row>
    <row r="16" customFormat="false" ht="15" hidden="false" customHeight="false" outlineLevel="0" collapsed="false">
      <c r="A16" s="11" t="n">
        <v>13</v>
      </c>
      <c r="B16" s="16"/>
      <c r="C16" s="16"/>
      <c r="D16" s="16"/>
      <c r="E16" s="16"/>
      <c r="F16" s="16"/>
      <c r="G16" s="16"/>
      <c r="H16" s="16"/>
      <c r="I16" s="25" t="str">
        <f aca="false">IFERROR(AVERAGEIF('3. Pairwise Rankings'!B:B,B16,'3. Pairwise Rankings'!G:G),"")</f>
        <v/>
      </c>
      <c r="J16" s="25" t="str">
        <f aca="false">IFERROR(AVERAGEIF('3. Pairwise Rankings'!B:B,B16,'3. Pairwise Rankings'!G:G),"")</f>
        <v/>
      </c>
      <c r="K16" s="16"/>
      <c r="L16" s="16"/>
    </row>
    <row r="17" customFormat="false" ht="15" hidden="false" customHeight="false" outlineLevel="0" collapsed="false">
      <c r="A17" s="7" t="n">
        <v>14</v>
      </c>
      <c r="B17" s="17"/>
      <c r="C17" s="17"/>
      <c r="D17" s="17"/>
      <c r="E17" s="17"/>
      <c r="F17" s="17"/>
      <c r="G17" s="17"/>
      <c r="H17" s="17"/>
      <c r="I17" s="26" t="str">
        <f aca="false">IFERROR(AVERAGEIF('3. Pairwise Rankings'!B:B,B17,'3. Pairwise Rankings'!G:G),"")</f>
        <v/>
      </c>
      <c r="J17" s="26" t="str">
        <f aca="false">IFERROR(AVERAGEIF('3. Pairwise Rankings'!B:B,B17,'3. Pairwise Rankings'!G:G),"")</f>
        <v/>
      </c>
      <c r="K17" s="17"/>
      <c r="L17" s="17"/>
    </row>
    <row r="18" customFormat="false" ht="15" hidden="false" customHeight="false" outlineLevel="0" collapsed="false">
      <c r="A18" s="11" t="n">
        <v>15</v>
      </c>
      <c r="B18" s="16"/>
      <c r="C18" s="16"/>
      <c r="D18" s="16"/>
      <c r="E18" s="16"/>
      <c r="F18" s="16"/>
      <c r="G18" s="16"/>
      <c r="H18" s="16"/>
      <c r="I18" s="25" t="str">
        <f aca="false">IFERROR(AVERAGEIF('3. Pairwise Rankings'!B:B,B18,'3. Pairwise Rankings'!G:G),"")</f>
        <v/>
      </c>
      <c r="J18" s="25" t="str">
        <f aca="false">IFERROR(AVERAGEIF('3. Pairwise Rankings'!B:B,B18,'3. Pairwise Rankings'!G:G),"")</f>
        <v/>
      </c>
      <c r="K18" s="16"/>
      <c r="L18" s="16"/>
    </row>
    <row r="19" customFormat="false" ht="15" hidden="false" customHeight="false" outlineLevel="0" collapsed="false">
      <c r="A19" s="7" t="n">
        <v>16</v>
      </c>
      <c r="B19" s="17"/>
      <c r="C19" s="17"/>
      <c r="D19" s="17"/>
      <c r="E19" s="17"/>
      <c r="F19" s="17"/>
      <c r="G19" s="17"/>
      <c r="H19" s="17"/>
      <c r="I19" s="26" t="str">
        <f aca="false">IFERROR(AVERAGEIF('3. Pairwise Rankings'!B:B,B19,'3. Pairwise Rankings'!G:G),"")</f>
        <v/>
      </c>
      <c r="J19" s="26" t="str">
        <f aca="false">IFERROR(AVERAGEIF('3. Pairwise Rankings'!B:B,B19,'3. Pairwise Rankings'!G:G),"")</f>
        <v/>
      </c>
      <c r="K19" s="17"/>
      <c r="L19" s="17"/>
    </row>
    <row r="20" customFormat="false" ht="15" hidden="false" customHeight="false" outlineLevel="0" collapsed="false">
      <c r="A20" s="11" t="n">
        <v>17</v>
      </c>
      <c r="B20" s="16"/>
      <c r="C20" s="16"/>
      <c r="D20" s="16"/>
      <c r="E20" s="16"/>
      <c r="F20" s="16"/>
      <c r="G20" s="16"/>
      <c r="H20" s="16"/>
      <c r="I20" s="25" t="str">
        <f aca="false">IFERROR(AVERAGEIF('3. Pairwise Rankings'!B:B,B20,'3. Pairwise Rankings'!G:G),"")</f>
        <v/>
      </c>
      <c r="J20" s="25" t="str">
        <f aca="false">IFERROR(AVERAGEIF('3. Pairwise Rankings'!B:B,B20,'3. Pairwise Rankings'!G:G),"")</f>
        <v/>
      </c>
      <c r="K20" s="16"/>
      <c r="L20" s="16"/>
    </row>
    <row r="21" customFormat="false" ht="15" hidden="false" customHeight="false" outlineLevel="0" collapsed="false">
      <c r="A21" s="7" t="n">
        <v>18</v>
      </c>
      <c r="B21" s="17"/>
      <c r="C21" s="17"/>
      <c r="D21" s="17"/>
      <c r="E21" s="17"/>
      <c r="F21" s="17"/>
      <c r="G21" s="17"/>
      <c r="H21" s="17"/>
      <c r="I21" s="26" t="str">
        <f aca="false">IFERROR(AVERAGEIF('3. Pairwise Rankings'!B:B,B21,'3. Pairwise Rankings'!G:G),"")</f>
        <v/>
      </c>
      <c r="J21" s="26" t="str">
        <f aca="false">IFERROR(AVERAGEIF('3. Pairwise Rankings'!B:B,B21,'3. Pairwise Rankings'!G:G),"")</f>
        <v/>
      </c>
      <c r="K21" s="17"/>
      <c r="L21" s="17"/>
    </row>
    <row r="22" customFormat="false" ht="15" hidden="false" customHeight="false" outlineLevel="0" collapsed="false">
      <c r="A22" s="11" t="n">
        <v>19</v>
      </c>
      <c r="B22" s="16"/>
      <c r="C22" s="16"/>
      <c r="D22" s="16"/>
      <c r="E22" s="16"/>
      <c r="F22" s="16"/>
      <c r="G22" s="16"/>
      <c r="H22" s="16"/>
      <c r="I22" s="25" t="str">
        <f aca="false">IFERROR(AVERAGEIF('3. Pairwise Rankings'!B:B,B22,'3. Pairwise Rankings'!G:G),"")</f>
        <v/>
      </c>
      <c r="J22" s="25" t="str">
        <f aca="false">IFERROR(AVERAGEIF('3. Pairwise Rankings'!B:B,B22,'3. Pairwise Rankings'!G:G),"")</f>
        <v/>
      </c>
      <c r="K22" s="16"/>
      <c r="L22" s="16"/>
    </row>
    <row r="23" customFormat="false" ht="15" hidden="false" customHeight="false" outlineLevel="0" collapsed="false">
      <c r="A23" s="7" t="n">
        <v>20</v>
      </c>
      <c r="B23" s="17"/>
      <c r="C23" s="17"/>
      <c r="D23" s="17"/>
      <c r="E23" s="17"/>
      <c r="F23" s="17"/>
      <c r="G23" s="17"/>
      <c r="H23" s="17"/>
      <c r="I23" s="26" t="str">
        <f aca="false">IFERROR(AVERAGEIF('3. Pairwise Rankings'!B:B,B23,'3. Pairwise Rankings'!G:G),"")</f>
        <v/>
      </c>
      <c r="J23" s="26" t="str">
        <f aca="false">IFERROR(AVERAGEIF('3. Pairwise Rankings'!B:B,B23,'3. Pairwise Rankings'!G:G),"")</f>
        <v/>
      </c>
      <c r="K23" s="17"/>
      <c r="L23" s="17"/>
    </row>
    <row r="24" customFormat="false" ht="15" hidden="false" customHeight="false" outlineLevel="0" collapsed="false">
      <c r="A24" s="11" t="n">
        <v>21</v>
      </c>
      <c r="B24" s="16"/>
      <c r="C24" s="16"/>
      <c r="D24" s="16"/>
      <c r="E24" s="16"/>
      <c r="F24" s="16"/>
      <c r="G24" s="16"/>
      <c r="H24" s="16"/>
      <c r="I24" s="25" t="str">
        <f aca="false">IFERROR(AVERAGEIF('3. Pairwise Rankings'!B:B,B24,'3. Pairwise Rankings'!G:G),"")</f>
        <v/>
      </c>
      <c r="J24" s="25" t="str">
        <f aca="false">IFERROR(AVERAGEIF('3. Pairwise Rankings'!B:B,B24,'3. Pairwise Rankings'!G:G),"")</f>
        <v/>
      </c>
      <c r="K24" s="16"/>
      <c r="L24" s="16"/>
    </row>
    <row r="25" customFormat="false" ht="15" hidden="false" customHeight="false" outlineLevel="0" collapsed="false">
      <c r="A25" s="7" t="n">
        <v>22</v>
      </c>
      <c r="B25" s="17"/>
      <c r="C25" s="17"/>
      <c r="D25" s="17"/>
      <c r="E25" s="17"/>
      <c r="F25" s="17"/>
      <c r="G25" s="17"/>
      <c r="H25" s="17"/>
      <c r="I25" s="26" t="str">
        <f aca="false">IFERROR(AVERAGEIF('3. Pairwise Rankings'!B:B,B25,'3. Pairwise Rankings'!G:G),"")</f>
        <v/>
      </c>
      <c r="J25" s="26" t="str">
        <f aca="false">IFERROR(AVERAGEIF('3. Pairwise Rankings'!B:B,B25,'3. Pairwise Rankings'!G:G),"")</f>
        <v/>
      </c>
      <c r="K25" s="17"/>
      <c r="L25" s="17"/>
    </row>
    <row r="26" customFormat="false" ht="15" hidden="false" customHeight="false" outlineLevel="0" collapsed="false">
      <c r="A26" s="11" t="n">
        <v>23</v>
      </c>
      <c r="B26" s="16"/>
      <c r="C26" s="16"/>
      <c r="D26" s="16"/>
      <c r="E26" s="16"/>
      <c r="F26" s="16"/>
      <c r="G26" s="16"/>
      <c r="H26" s="16"/>
      <c r="I26" s="25" t="str">
        <f aca="false">IFERROR(AVERAGEIF('3. Pairwise Rankings'!B:B,B26,'3. Pairwise Rankings'!G:G),"")</f>
        <v/>
      </c>
      <c r="J26" s="25" t="str">
        <f aca="false">IFERROR(AVERAGEIF('3. Pairwise Rankings'!B:B,B26,'3. Pairwise Rankings'!G:G),"")</f>
        <v/>
      </c>
      <c r="K26" s="16"/>
      <c r="L26" s="16"/>
    </row>
    <row r="27" customFormat="false" ht="15" hidden="false" customHeight="false" outlineLevel="0" collapsed="false">
      <c r="A27" s="7" t="n">
        <v>24</v>
      </c>
      <c r="B27" s="17"/>
      <c r="C27" s="17"/>
      <c r="D27" s="17"/>
      <c r="E27" s="17"/>
      <c r="F27" s="17"/>
      <c r="G27" s="17"/>
      <c r="H27" s="17"/>
      <c r="I27" s="26" t="str">
        <f aca="false">IFERROR(AVERAGEIF('3. Pairwise Rankings'!B:B,B27,'3. Pairwise Rankings'!G:G),"")</f>
        <v/>
      </c>
      <c r="J27" s="26" t="str">
        <f aca="false">IFERROR(AVERAGEIF('3. Pairwise Rankings'!B:B,B27,'3. Pairwise Rankings'!G:G),"")</f>
        <v/>
      </c>
      <c r="K27" s="17"/>
      <c r="L27" s="17"/>
    </row>
    <row r="28" customFormat="false" ht="15" hidden="false" customHeight="false" outlineLevel="0" collapsed="false">
      <c r="A28" s="11" t="n">
        <v>25</v>
      </c>
      <c r="B28" s="16"/>
      <c r="C28" s="16"/>
      <c r="D28" s="16"/>
      <c r="E28" s="16"/>
      <c r="F28" s="16"/>
      <c r="G28" s="16"/>
      <c r="H28" s="16"/>
      <c r="I28" s="25" t="str">
        <f aca="false">IFERROR(AVERAGEIF('3. Pairwise Rankings'!B:B,B28,'3. Pairwise Rankings'!G:G),"")</f>
        <v/>
      </c>
      <c r="J28" s="25" t="str">
        <f aca="false">IFERROR(AVERAGEIF('3. Pairwise Rankings'!B:B,B28,'3. Pairwise Rankings'!G:G),"")</f>
        <v/>
      </c>
      <c r="K28" s="16"/>
      <c r="L28" s="16"/>
    </row>
    <row r="29" customFormat="false" ht="15" hidden="false" customHeight="false" outlineLevel="0" collapsed="false">
      <c r="A29" s="7" t="n">
        <v>26</v>
      </c>
      <c r="B29" s="17"/>
      <c r="C29" s="17"/>
      <c r="D29" s="17"/>
      <c r="E29" s="17"/>
      <c r="F29" s="17"/>
      <c r="G29" s="17"/>
      <c r="H29" s="17"/>
      <c r="I29" s="26" t="str">
        <f aca="false">IFERROR(AVERAGEIF('3. Pairwise Rankings'!B:B,B29,'3. Pairwise Rankings'!G:G),"")</f>
        <v/>
      </c>
      <c r="J29" s="26" t="str">
        <f aca="false">IFERROR(AVERAGEIF('3. Pairwise Rankings'!B:B,B29,'3. Pairwise Rankings'!G:G),"")</f>
        <v/>
      </c>
      <c r="K29" s="17"/>
      <c r="L29" s="17"/>
    </row>
    <row r="30" customFormat="false" ht="15" hidden="false" customHeight="false" outlineLevel="0" collapsed="false">
      <c r="A30" s="11" t="n">
        <v>27</v>
      </c>
      <c r="B30" s="16"/>
      <c r="C30" s="16"/>
      <c r="D30" s="16"/>
      <c r="E30" s="16"/>
      <c r="F30" s="16"/>
      <c r="G30" s="16"/>
      <c r="H30" s="16"/>
      <c r="I30" s="25" t="str">
        <f aca="false">IFERROR(AVERAGEIF('3. Pairwise Rankings'!B:B,B30,'3. Pairwise Rankings'!G:G),"")</f>
        <v/>
      </c>
      <c r="J30" s="25" t="str">
        <f aca="false">IFERROR(AVERAGEIF('3. Pairwise Rankings'!B:B,B30,'3. Pairwise Rankings'!G:G),"")</f>
        <v/>
      </c>
      <c r="K30" s="16"/>
      <c r="L30" s="16"/>
    </row>
    <row r="31" customFormat="false" ht="15" hidden="false" customHeight="false" outlineLevel="0" collapsed="false">
      <c r="A31" s="7" t="n">
        <v>28</v>
      </c>
      <c r="B31" s="17"/>
      <c r="C31" s="17"/>
      <c r="D31" s="17"/>
      <c r="E31" s="17"/>
      <c r="F31" s="17"/>
      <c r="G31" s="17"/>
      <c r="H31" s="17"/>
      <c r="I31" s="26" t="str">
        <f aca="false">IFERROR(AVERAGEIF('3. Pairwise Rankings'!B:B,B31,'3. Pairwise Rankings'!G:G),"")</f>
        <v/>
      </c>
      <c r="J31" s="26" t="str">
        <f aca="false">IFERROR(AVERAGEIF('3. Pairwise Rankings'!B:B,B31,'3. Pairwise Rankings'!G:G),"")</f>
        <v/>
      </c>
      <c r="K31" s="17"/>
      <c r="L31" s="17"/>
    </row>
    <row r="32" customFormat="false" ht="15" hidden="false" customHeight="false" outlineLevel="0" collapsed="false">
      <c r="A32" s="11" t="n">
        <v>29</v>
      </c>
      <c r="B32" s="16"/>
      <c r="C32" s="16"/>
      <c r="D32" s="16"/>
      <c r="E32" s="16"/>
      <c r="F32" s="16"/>
      <c r="G32" s="16"/>
      <c r="H32" s="16"/>
      <c r="I32" s="25" t="str">
        <f aca="false">IFERROR(AVERAGEIF('3. Pairwise Rankings'!B:B,B32,'3. Pairwise Rankings'!G:G),"")</f>
        <v/>
      </c>
      <c r="J32" s="25" t="str">
        <f aca="false">IFERROR(AVERAGEIF('3. Pairwise Rankings'!B:B,B32,'3. Pairwise Rankings'!G:G),"")</f>
        <v/>
      </c>
      <c r="K32" s="16"/>
      <c r="L32" s="16"/>
    </row>
    <row r="33" customFormat="false" ht="15" hidden="false" customHeight="false" outlineLevel="0" collapsed="false">
      <c r="A33" s="7" t="n">
        <v>30</v>
      </c>
      <c r="B33" s="17"/>
      <c r="C33" s="17"/>
      <c r="D33" s="17"/>
      <c r="E33" s="17"/>
      <c r="F33" s="17"/>
      <c r="G33" s="17"/>
      <c r="H33" s="17"/>
      <c r="I33" s="26" t="str">
        <f aca="false">IFERROR(AVERAGEIF('3. Pairwise Rankings'!B:B,B33,'3. Pairwise Rankings'!G:G),"")</f>
        <v/>
      </c>
      <c r="J33" s="26" t="str">
        <f aca="false">IFERROR(AVERAGEIF('3. Pairwise Rankings'!B:B,B33,'3. Pairwise Rankings'!G:G),"")</f>
        <v/>
      </c>
      <c r="K33" s="17"/>
      <c r="L33" s="17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K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27" t="s">
        <v>111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customFormat="false" ht="25.5" hidden="false" customHeight="true" outlineLevel="0" collapsed="false">
      <c r="A2" s="12" t="s">
        <v>112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customFormat="false" ht="46.25" hidden="false" customHeight="false" outlineLevel="0" collapsed="false">
      <c r="A3" s="28" t="s">
        <v>113</v>
      </c>
      <c r="B3" s="28" t="s">
        <v>100</v>
      </c>
      <c r="C3" s="28" t="s">
        <v>114</v>
      </c>
      <c r="D3" s="28" t="s">
        <v>115</v>
      </c>
      <c r="E3" s="28" t="s">
        <v>116</v>
      </c>
      <c r="F3" s="28" t="s">
        <v>117</v>
      </c>
      <c r="G3" s="28" t="s">
        <v>118</v>
      </c>
      <c r="H3" s="28" t="s">
        <v>119</v>
      </c>
      <c r="I3" s="28" t="s">
        <v>120</v>
      </c>
      <c r="J3" s="28" t="s">
        <v>121</v>
      </c>
      <c r="K3" s="28" t="s">
        <v>122</v>
      </c>
    </row>
    <row r="4" customFormat="false" ht="23.85" hidden="false" customHeight="false" outlineLevel="0" collapsed="false">
      <c r="A4" s="11" t="s">
        <v>123</v>
      </c>
      <c r="B4" s="16"/>
      <c r="C4" s="16"/>
      <c r="D4" s="16"/>
      <c r="E4" s="16"/>
      <c r="F4" s="16"/>
      <c r="G4" s="16"/>
      <c r="H4" s="11" t="n">
        <f aca="false">IFERROR(6-G4,"")</f>
        <v>6</v>
      </c>
      <c r="I4" s="16"/>
      <c r="J4" s="16"/>
      <c r="K4" s="16"/>
    </row>
    <row r="5" customFormat="false" ht="23.85" hidden="false" customHeight="false" outlineLevel="0" collapsed="false">
      <c r="A5" s="7" t="s">
        <v>124</v>
      </c>
      <c r="B5" s="17"/>
      <c r="C5" s="17"/>
      <c r="D5" s="17"/>
      <c r="E5" s="17"/>
      <c r="F5" s="17"/>
      <c r="G5" s="17"/>
      <c r="H5" s="7" t="n">
        <f aca="false">IFERROR(6-G5,"")</f>
        <v>6</v>
      </c>
      <c r="I5" s="17"/>
      <c r="J5" s="17"/>
      <c r="K5" s="17"/>
    </row>
    <row r="6" customFormat="false" ht="23.85" hidden="false" customHeight="false" outlineLevel="0" collapsed="false">
      <c r="A6" s="11" t="s">
        <v>125</v>
      </c>
      <c r="B6" s="16"/>
      <c r="C6" s="16"/>
      <c r="D6" s="16"/>
      <c r="E6" s="16"/>
      <c r="F6" s="16"/>
      <c r="G6" s="16"/>
      <c r="H6" s="11" t="n">
        <f aca="false">IFERROR(6-G6,"")</f>
        <v>6</v>
      </c>
      <c r="I6" s="16"/>
      <c r="J6" s="16"/>
      <c r="K6" s="16"/>
    </row>
    <row r="7" customFormat="false" ht="23.85" hidden="false" customHeight="false" outlineLevel="0" collapsed="false">
      <c r="A7" s="7" t="s">
        <v>126</v>
      </c>
      <c r="B7" s="17"/>
      <c r="C7" s="17"/>
      <c r="D7" s="17"/>
      <c r="E7" s="17"/>
      <c r="F7" s="17"/>
      <c r="G7" s="17"/>
      <c r="H7" s="7" t="n">
        <f aca="false">IFERROR(6-G7,"")</f>
        <v>6</v>
      </c>
      <c r="I7" s="17"/>
      <c r="J7" s="17"/>
      <c r="K7" s="17"/>
    </row>
    <row r="8" customFormat="false" ht="23.85" hidden="false" customHeight="false" outlineLevel="0" collapsed="false">
      <c r="A8" s="11" t="s">
        <v>127</v>
      </c>
      <c r="B8" s="16"/>
      <c r="C8" s="16"/>
      <c r="D8" s="16"/>
      <c r="E8" s="16"/>
      <c r="F8" s="16"/>
      <c r="G8" s="16"/>
      <c r="H8" s="11" t="n">
        <f aca="false">IFERROR(6-G8,"")</f>
        <v>6</v>
      </c>
      <c r="I8" s="16"/>
      <c r="J8" s="16"/>
      <c r="K8" s="16"/>
    </row>
    <row r="9" customFormat="false" ht="23.85" hidden="false" customHeight="false" outlineLevel="0" collapsed="false">
      <c r="A9" s="7" t="s">
        <v>128</v>
      </c>
      <c r="B9" s="17"/>
      <c r="C9" s="17"/>
      <c r="D9" s="17"/>
      <c r="E9" s="17"/>
      <c r="F9" s="17"/>
      <c r="G9" s="17"/>
      <c r="H9" s="7" t="n">
        <f aca="false">IFERROR(6-G9,"")</f>
        <v>6</v>
      </c>
      <c r="I9" s="17"/>
      <c r="J9" s="17"/>
      <c r="K9" s="17"/>
    </row>
    <row r="10" customFormat="false" ht="23.85" hidden="false" customHeight="false" outlineLevel="0" collapsed="false">
      <c r="A10" s="11" t="s">
        <v>129</v>
      </c>
      <c r="B10" s="16"/>
      <c r="C10" s="16"/>
      <c r="D10" s="16"/>
      <c r="E10" s="16"/>
      <c r="F10" s="16"/>
      <c r="G10" s="16"/>
      <c r="H10" s="11" t="n">
        <f aca="false">IFERROR(6-G10,"")</f>
        <v>6</v>
      </c>
      <c r="I10" s="16"/>
      <c r="J10" s="16"/>
      <c r="K10" s="16"/>
    </row>
    <row r="11" customFormat="false" ht="23.85" hidden="false" customHeight="false" outlineLevel="0" collapsed="false">
      <c r="A11" s="7" t="s">
        <v>130</v>
      </c>
      <c r="B11" s="17"/>
      <c r="C11" s="17"/>
      <c r="D11" s="17"/>
      <c r="E11" s="17"/>
      <c r="F11" s="17"/>
      <c r="G11" s="17"/>
      <c r="H11" s="7" t="n">
        <f aca="false">IFERROR(6-G11,"")</f>
        <v>6</v>
      </c>
      <c r="I11" s="17"/>
      <c r="J11" s="17"/>
      <c r="K11" s="17"/>
    </row>
    <row r="12" customFormat="false" ht="23.85" hidden="false" customHeight="false" outlineLevel="0" collapsed="false">
      <c r="A12" s="11" t="s">
        <v>131</v>
      </c>
      <c r="B12" s="16"/>
      <c r="C12" s="16"/>
      <c r="D12" s="16"/>
      <c r="E12" s="16"/>
      <c r="F12" s="16"/>
      <c r="G12" s="16"/>
      <c r="H12" s="11" t="n">
        <f aca="false">IFERROR(6-G12,"")</f>
        <v>6</v>
      </c>
      <c r="I12" s="16"/>
      <c r="J12" s="16"/>
      <c r="K12" s="16"/>
    </row>
    <row r="13" customFormat="false" ht="23.85" hidden="false" customHeight="false" outlineLevel="0" collapsed="false">
      <c r="A13" s="7" t="s">
        <v>132</v>
      </c>
      <c r="B13" s="17"/>
      <c r="C13" s="17"/>
      <c r="D13" s="17"/>
      <c r="E13" s="17"/>
      <c r="F13" s="17"/>
      <c r="G13" s="17"/>
      <c r="H13" s="7" t="n">
        <f aca="false">IFERROR(6-G13,"")</f>
        <v>6</v>
      </c>
      <c r="I13" s="17"/>
      <c r="J13" s="17"/>
      <c r="K13" s="17"/>
    </row>
    <row r="14" customFormat="false" ht="23.85" hidden="false" customHeight="false" outlineLevel="0" collapsed="false">
      <c r="A14" s="11" t="s">
        <v>133</v>
      </c>
      <c r="B14" s="16"/>
      <c r="C14" s="16"/>
      <c r="D14" s="16"/>
      <c r="E14" s="16"/>
      <c r="F14" s="16"/>
      <c r="G14" s="16"/>
      <c r="H14" s="11" t="n">
        <f aca="false">IFERROR(6-G14,"")</f>
        <v>6</v>
      </c>
      <c r="I14" s="16"/>
      <c r="J14" s="16"/>
      <c r="K14" s="16"/>
    </row>
    <row r="15" customFormat="false" ht="23.85" hidden="false" customHeight="false" outlineLevel="0" collapsed="false">
      <c r="A15" s="7" t="s">
        <v>134</v>
      </c>
      <c r="B15" s="17"/>
      <c r="C15" s="17"/>
      <c r="D15" s="17"/>
      <c r="E15" s="17"/>
      <c r="F15" s="17"/>
      <c r="G15" s="17"/>
      <c r="H15" s="7" t="n">
        <f aca="false">IFERROR(6-G15,"")</f>
        <v>6</v>
      </c>
      <c r="I15" s="17"/>
      <c r="J15" s="17"/>
      <c r="K15" s="17"/>
    </row>
    <row r="16" customFormat="false" ht="23.85" hidden="false" customHeight="false" outlineLevel="0" collapsed="false">
      <c r="A16" s="11" t="s">
        <v>135</v>
      </c>
      <c r="B16" s="16"/>
      <c r="C16" s="16"/>
      <c r="D16" s="16"/>
      <c r="E16" s="16"/>
      <c r="F16" s="16"/>
      <c r="G16" s="16"/>
      <c r="H16" s="11" t="n">
        <f aca="false">IFERROR(6-G16,"")</f>
        <v>6</v>
      </c>
      <c r="I16" s="16"/>
      <c r="J16" s="16"/>
      <c r="K16" s="16"/>
    </row>
    <row r="17" customFormat="false" ht="23.85" hidden="false" customHeight="false" outlineLevel="0" collapsed="false">
      <c r="A17" s="7" t="s">
        <v>136</v>
      </c>
      <c r="B17" s="17"/>
      <c r="C17" s="17"/>
      <c r="D17" s="17"/>
      <c r="E17" s="17"/>
      <c r="F17" s="17"/>
      <c r="G17" s="17"/>
      <c r="H17" s="7" t="n">
        <f aca="false">IFERROR(6-G17,"")</f>
        <v>6</v>
      </c>
      <c r="I17" s="17"/>
      <c r="J17" s="17"/>
      <c r="K17" s="17"/>
    </row>
    <row r="18" customFormat="false" ht="23.85" hidden="false" customHeight="false" outlineLevel="0" collapsed="false">
      <c r="A18" s="11" t="s">
        <v>137</v>
      </c>
      <c r="B18" s="16"/>
      <c r="C18" s="16"/>
      <c r="D18" s="16"/>
      <c r="E18" s="16"/>
      <c r="F18" s="16"/>
      <c r="G18" s="16"/>
      <c r="H18" s="11" t="n">
        <f aca="false">IFERROR(6-G18,"")</f>
        <v>6</v>
      </c>
      <c r="I18" s="16"/>
      <c r="J18" s="16"/>
      <c r="K18" s="16"/>
    </row>
    <row r="19" customFormat="false" ht="23.85" hidden="false" customHeight="false" outlineLevel="0" collapsed="false">
      <c r="A19" s="7" t="s">
        <v>138</v>
      </c>
      <c r="B19" s="17"/>
      <c r="C19" s="17"/>
      <c r="D19" s="17"/>
      <c r="E19" s="17"/>
      <c r="F19" s="17"/>
      <c r="G19" s="17"/>
      <c r="H19" s="7" t="n">
        <f aca="false">IFERROR(6-G19,"")</f>
        <v>6</v>
      </c>
      <c r="I19" s="17"/>
      <c r="J19" s="17"/>
      <c r="K19" s="17"/>
    </row>
    <row r="20" customFormat="false" ht="23.85" hidden="false" customHeight="false" outlineLevel="0" collapsed="false">
      <c r="A20" s="11" t="s">
        <v>139</v>
      </c>
      <c r="B20" s="16"/>
      <c r="C20" s="16"/>
      <c r="D20" s="16"/>
      <c r="E20" s="16"/>
      <c r="F20" s="16"/>
      <c r="G20" s="16"/>
      <c r="H20" s="11" t="n">
        <f aca="false">IFERROR(6-G20,"")</f>
        <v>6</v>
      </c>
      <c r="I20" s="16"/>
      <c r="J20" s="16"/>
      <c r="K20" s="16"/>
    </row>
    <row r="21" customFormat="false" ht="23.85" hidden="false" customHeight="false" outlineLevel="0" collapsed="false">
      <c r="A21" s="7" t="s">
        <v>140</v>
      </c>
      <c r="B21" s="17"/>
      <c r="C21" s="17"/>
      <c r="D21" s="17"/>
      <c r="E21" s="17"/>
      <c r="F21" s="17"/>
      <c r="G21" s="17"/>
      <c r="H21" s="7" t="n">
        <f aca="false">IFERROR(6-G21,"")</f>
        <v>6</v>
      </c>
      <c r="I21" s="17"/>
      <c r="J21" s="17"/>
      <c r="K21" s="17"/>
    </row>
    <row r="22" customFormat="false" ht="23.85" hidden="false" customHeight="false" outlineLevel="0" collapsed="false">
      <c r="A22" s="11" t="s">
        <v>141</v>
      </c>
      <c r="B22" s="16"/>
      <c r="C22" s="16"/>
      <c r="D22" s="16"/>
      <c r="E22" s="16"/>
      <c r="F22" s="16"/>
      <c r="G22" s="16"/>
      <c r="H22" s="11" t="n">
        <f aca="false">IFERROR(6-G22,"")</f>
        <v>6</v>
      </c>
      <c r="I22" s="16"/>
      <c r="J22" s="16"/>
      <c r="K22" s="16"/>
    </row>
    <row r="23" customFormat="false" ht="23.85" hidden="false" customHeight="false" outlineLevel="0" collapsed="false">
      <c r="A23" s="7" t="s">
        <v>142</v>
      </c>
      <c r="B23" s="17"/>
      <c r="C23" s="17"/>
      <c r="D23" s="17"/>
      <c r="E23" s="17"/>
      <c r="F23" s="17"/>
      <c r="G23" s="17"/>
      <c r="H23" s="7" t="n">
        <f aca="false">IFERROR(6-G23,"")</f>
        <v>6</v>
      </c>
      <c r="I23" s="17"/>
      <c r="J23" s="17"/>
      <c r="K23" s="17"/>
    </row>
    <row r="24" customFormat="false" ht="23.85" hidden="false" customHeight="false" outlineLevel="0" collapsed="false">
      <c r="A24" s="11" t="s">
        <v>143</v>
      </c>
      <c r="B24" s="16"/>
      <c r="C24" s="16"/>
      <c r="D24" s="16"/>
      <c r="E24" s="16"/>
      <c r="F24" s="16"/>
      <c r="G24" s="16"/>
      <c r="H24" s="11" t="n">
        <f aca="false">IFERROR(6-G24,"")</f>
        <v>6</v>
      </c>
      <c r="I24" s="16"/>
      <c r="J24" s="16"/>
      <c r="K24" s="16"/>
    </row>
    <row r="25" customFormat="false" ht="23.85" hidden="false" customHeight="false" outlineLevel="0" collapsed="false">
      <c r="A25" s="7" t="s">
        <v>144</v>
      </c>
      <c r="B25" s="17"/>
      <c r="C25" s="17"/>
      <c r="D25" s="17"/>
      <c r="E25" s="17"/>
      <c r="F25" s="17"/>
      <c r="G25" s="17"/>
      <c r="H25" s="7" t="n">
        <f aca="false">IFERROR(6-G25,"")</f>
        <v>6</v>
      </c>
      <c r="I25" s="17"/>
      <c r="J25" s="17"/>
      <c r="K25" s="17"/>
    </row>
    <row r="26" customFormat="false" ht="23.85" hidden="false" customHeight="false" outlineLevel="0" collapsed="false">
      <c r="A26" s="11" t="s">
        <v>145</v>
      </c>
      <c r="B26" s="16"/>
      <c r="C26" s="16"/>
      <c r="D26" s="16"/>
      <c r="E26" s="16"/>
      <c r="F26" s="16"/>
      <c r="G26" s="16"/>
      <c r="H26" s="11" t="n">
        <f aca="false">IFERROR(6-G26,"")</f>
        <v>6</v>
      </c>
      <c r="I26" s="16"/>
      <c r="J26" s="16"/>
      <c r="K26" s="16"/>
    </row>
    <row r="27" customFormat="false" ht="23.85" hidden="false" customHeight="false" outlineLevel="0" collapsed="false">
      <c r="A27" s="7" t="s">
        <v>146</v>
      </c>
      <c r="B27" s="17"/>
      <c r="C27" s="17"/>
      <c r="D27" s="17"/>
      <c r="E27" s="17"/>
      <c r="F27" s="17"/>
      <c r="G27" s="17"/>
      <c r="H27" s="7" t="n">
        <f aca="false">IFERROR(6-G27,"")</f>
        <v>6</v>
      </c>
      <c r="I27" s="17"/>
      <c r="J27" s="17"/>
      <c r="K27" s="17"/>
    </row>
    <row r="28" customFormat="false" ht="23.85" hidden="false" customHeight="false" outlineLevel="0" collapsed="false">
      <c r="A28" s="11" t="s">
        <v>147</v>
      </c>
      <c r="B28" s="16"/>
      <c r="C28" s="16"/>
      <c r="D28" s="16"/>
      <c r="E28" s="16"/>
      <c r="F28" s="16"/>
      <c r="G28" s="16"/>
      <c r="H28" s="11" t="n">
        <f aca="false">IFERROR(6-G28,"")</f>
        <v>6</v>
      </c>
      <c r="I28" s="16"/>
      <c r="J28" s="16"/>
      <c r="K28" s="16"/>
    </row>
    <row r="29" customFormat="false" ht="23.85" hidden="false" customHeight="false" outlineLevel="0" collapsed="false">
      <c r="A29" s="7" t="s">
        <v>148</v>
      </c>
      <c r="B29" s="17"/>
      <c r="C29" s="17"/>
      <c r="D29" s="17"/>
      <c r="E29" s="17"/>
      <c r="F29" s="17"/>
      <c r="G29" s="17"/>
      <c r="H29" s="7" t="n">
        <f aca="false">IFERROR(6-G29,"")</f>
        <v>6</v>
      </c>
      <c r="I29" s="17"/>
      <c r="J29" s="17"/>
      <c r="K29" s="17"/>
    </row>
    <row r="30" customFormat="false" ht="23.85" hidden="false" customHeight="false" outlineLevel="0" collapsed="false">
      <c r="A30" s="11" t="s">
        <v>149</v>
      </c>
      <c r="B30" s="16"/>
      <c r="C30" s="16"/>
      <c r="D30" s="16"/>
      <c r="E30" s="16"/>
      <c r="F30" s="16"/>
      <c r="G30" s="16"/>
      <c r="H30" s="11" t="n">
        <f aca="false">IFERROR(6-G30,"")</f>
        <v>6</v>
      </c>
      <c r="I30" s="16"/>
      <c r="J30" s="16"/>
      <c r="K30" s="16"/>
    </row>
    <row r="31" customFormat="false" ht="23.85" hidden="false" customHeight="false" outlineLevel="0" collapsed="false">
      <c r="A31" s="7" t="s">
        <v>150</v>
      </c>
      <c r="B31" s="17"/>
      <c r="C31" s="17"/>
      <c r="D31" s="17"/>
      <c r="E31" s="17"/>
      <c r="F31" s="17"/>
      <c r="G31" s="17"/>
      <c r="H31" s="7" t="n">
        <f aca="false">IFERROR(6-G31,"")</f>
        <v>6</v>
      </c>
      <c r="I31" s="17"/>
      <c r="J31" s="17"/>
      <c r="K31" s="17"/>
    </row>
    <row r="32" customFormat="false" ht="23.85" hidden="false" customHeight="false" outlineLevel="0" collapsed="false">
      <c r="A32" s="11" t="s">
        <v>151</v>
      </c>
      <c r="B32" s="16"/>
      <c r="C32" s="16"/>
      <c r="D32" s="16"/>
      <c r="E32" s="16"/>
      <c r="F32" s="16"/>
      <c r="G32" s="16"/>
      <c r="H32" s="11" t="n">
        <f aca="false">IFERROR(6-G32,"")</f>
        <v>6</v>
      </c>
      <c r="I32" s="16"/>
      <c r="J32" s="16"/>
      <c r="K32" s="16"/>
    </row>
    <row r="33" customFormat="false" ht="23.85" hidden="false" customHeight="false" outlineLevel="0" collapsed="false">
      <c r="A33" s="7" t="s">
        <v>152</v>
      </c>
      <c r="B33" s="17"/>
      <c r="C33" s="17"/>
      <c r="D33" s="17"/>
      <c r="E33" s="17"/>
      <c r="F33" s="17"/>
      <c r="G33" s="17"/>
      <c r="H33" s="7" t="n">
        <f aca="false">IFERROR(6-G33,"")</f>
        <v>6</v>
      </c>
      <c r="I33" s="17"/>
      <c r="J33" s="17"/>
      <c r="K33" s="17"/>
    </row>
    <row r="34" customFormat="false" ht="23.85" hidden="false" customHeight="false" outlineLevel="0" collapsed="false">
      <c r="A34" s="11" t="s">
        <v>153</v>
      </c>
      <c r="B34" s="16"/>
      <c r="C34" s="16"/>
      <c r="D34" s="16"/>
      <c r="E34" s="16"/>
      <c r="F34" s="16"/>
      <c r="G34" s="16"/>
      <c r="H34" s="11" t="n">
        <f aca="false">IFERROR(6-G34,"")</f>
        <v>6</v>
      </c>
      <c r="I34" s="16"/>
      <c r="J34" s="16"/>
      <c r="K34" s="16"/>
    </row>
    <row r="35" customFormat="false" ht="23.85" hidden="false" customHeight="false" outlineLevel="0" collapsed="false">
      <c r="A35" s="7" t="s">
        <v>154</v>
      </c>
      <c r="B35" s="17"/>
      <c r="C35" s="17"/>
      <c r="D35" s="17"/>
      <c r="E35" s="17"/>
      <c r="F35" s="17"/>
      <c r="G35" s="17"/>
      <c r="H35" s="7" t="n">
        <f aca="false">IFERROR(6-G35,"")</f>
        <v>6</v>
      </c>
      <c r="I35" s="17"/>
      <c r="J35" s="17"/>
      <c r="K35" s="17"/>
    </row>
    <row r="36" customFormat="false" ht="23.85" hidden="false" customHeight="false" outlineLevel="0" collapsed="false">
      <c r="A36" s="11" t="s">
        <v>155</v>
      </c>
      <c r="B36" s="16"/>
      <c r="C36" s="16"/>
      <c r="D36" s="16"/>
      <c r="E36" s="16"/>
      <c r="F36" s="16"/>
      <c r="G36" s="16"/>
      <c r="H36" s="11" t="n">
        <f aca="false">IFERROR(6-G36,"")</f>
        <v>6</v>
      </c>
      <c r="I36" s="16"/>
      <c r="J36" s="16"/>
      <c r="K36" s="16"/>
    </row>
    <row r="37" customFormat="false" ht="23.85" hidden="false" customHeight="false" outlineLevel="0" collapsed="false">
      <c r="A37" s="7" t="s">
        <v>156</v>
      </c>
      <c r="B37" s="17"/>
      <c r="C37" s="17"/>
      <c r="D37" s="17"/>
      <c r="E37" s="17"/>
      <c r="F37" s="17"/>
      <c r="G37" s="17"/>
      <c r="H37" s="7" t="n">
        <f aca="false">IFERROR(6-G37,"")</f>
        <v>6</v>
      </c>
      <c r="I37" s="17"/>
      <c r="J37" s="17"/>
      <c r="K37" s="17"/>
    </row>
    <row r="38" customFormat="false" ht="23.85" hidden="false" customHeight="false" outlineLevel="0" collapsed="false">
      <c r="A38" s="11" t="s">
        <v>157</v>
      </c>
      <c r="B38" s="16"/>
      <c r="C38" s="16"/>
      <c r="D38" s="16"/>
      <c r="E38" s="16"/>
      <c r="F38" s="16"/>
      <c r="G38" s="16"/>
      <c r="H38" s="11" t="n">
        <f aca="false">IFERROR(6-G38,"")</f>
        <v>6</v>
      </c>
      <c r="I38" s="16"/>
      <c r="J38" s="16"/>
      <c r="K38" s="16"/>
    </row>
    <row r="39" customFormat="false" ht="23.85" hidden="false" customHeight="false" outlineLevel="0" collapsed="false">
      <c r="A39" s="7" t="s">
        <v>158</v>
      </c>
      <c r="B39" s="17"/>
      <c r="C39" s="17"/>
      <c r="D39" s="17"/>
      <c r="E39" s="17"/>
      <c r="F39" s="17"/>
      <c r="G39" s="17"/>
      <c r="H39" s="7" t="n">
        <f aca="false">IFERROR(6-G39,"")</f>
        <v>6</v>
      </c>
      <c r="I39" s="17"/>
      <c r="J39" s="17"/>
      <c r="K39" s="17"/>
    </row>
    <row r="40" customFormat="false" ht="23.85" hidden="false" customHeight="false" outlineLevel="0" collapsed="false">
      <c r="A40" s="11" t="s">
        <v>159</v>
      </c>
      <c r="B40" s="16"/>
      <c r="C40" s="16"/>
      <c r="D40" s="16"/>
      <c r="E40" s="16"/>
      <c r="F40" s="16"/>
      <c r="G40" s="16"/>
      <c r="H40" s="11" t="n">
        <f aca="false">IFERROR(6-G40,"")</f>
        <v>6</v>
      </c>
      <c r="I40" s="16"/>
      <c r="J40" s="16"/>
      <c r="K40" s="16"/>
    </row>
    <row r="41" customFormat="false" ht="23.85" hidden="false" customHeight="false" outlineLevel="0" collapsed="false">
      <c r="A41" s="7" t="s">
        <v>160</v>
      </c>
      <c r="B41" s="17"/>
      <c r="C41" s="17"/>
      <c r="D41" s="17"/>
      <c r="E41" s="17"/>
      <c r="F41" s="17"/>
      <c r="G41" s="17"/>
      <c r="H41" s="7" t="n">
        <f aca="false">IFERROR(6-G41,"")</f>
        <v>6</v>
      </c>
      <c r="I41" s="17"/>
      <c r="J41" s="17"/>
      <c r="K41" s="17"/>
    </row>
    <row r="42" customFormat="false" ht="23.85" hidden="false" customHeight="false" outlineLevel="0" collapsed="false">
      <c r="A42" s="11" t="s">
        <v>161</v>
      </c>
      <c r="B42" s="16"/>
      <c r="C42" s="16"/>
      <c r="D42" s="16"/>
      <c r="E42" s="16"/>
      <c r="F42" s="16"/>
      <c r="G42" s="16"/>
      <c r="H42" s="11" t="n">
        <f aca="false">IFERROR(6-G42,"")</f>
        <v>6</v>
      </c>
      <c r="I42" s="16"/>
      <c r="J42" s="16"/>
      <c r="K42" s="16"/>
    </row>
    <row r="43" customFormat="false" ht="23.85" hidden="false" customHeight="false" outlineLevel="0" collapsed="false">
      <c r="A43" s="7" t="s">
        <v>162</v>
      </c>
      <c r="B43" s="17"/>
      <c r="C43" s="17"/>
      <c r="D43" s="17"/>
      <c r="E43" s="17"/>
      <c r="F43" s="17"/>
      <c r="G43" s="17"/>
      <c r="H43" s="7" t="n">
        <f aca="false">IFERROR(6-G43,"")</f>
        <v>6</v>
      </c>
      <c r="I43" s="17"/>
      <c r="J43" s="17"/>
      <c r="K43" s="17"/>
    </row>
    <row r="44" customFormat="false" ht="23.85" hidden="false" customHeight="false" outlineLevel="0" collapsed="false">
      <c r="A44" s="11" t="s">
        <v>163</v>
      </c>
      <c r="B44" s="16"/>
      <c r="C44" s="16"/>
      <c r="D44" s="16"/>
      <c r="E44" s="16"/>
      <c r="F44" s="16"/>
      <c r="G44" s="16"/>
      <c r="H44" s="11" t="n">
        <f aca="false">IFERROR(6-G44,"")</f>
        <v>6</v>
      </c>
      <c r="I44" s="16"/>
      <c r="J44" s="16"/>
      <c r="K44" s="16"/>
    </row>
    <row r="45" customFormat="false" ht="23.85" hidden="false" customHeight="false" outlineLevel="0" collapsed="false">
      <c r="A45" s="7" t="s">
        <v>164</v>
      </c>
      <c r="B45" s="17"/>
      <c r="C45" s="17"/>
      <c r="D45" s="17"/>
      <c r="E45" s="17"/>
      <c r="F45" s="17"/>
      <c r="G45" s="17"/>
      <c r="H45" s="7" t="n">
        <f aca="false">IFERROR(6-G45,"")</f>
        <v>6</v>
      </c>
      <c r="I45" s="17"/>
      <c r="J45" s="17"/>
      <c r="K45" s="17"/>
    </row>
    <row r="46" customFormat="false" ht="23.85" hidden="false" customHeight="false" outlineLevel="0" collapsed="false">
      <c r="A46" s="11" t="s">
        <v>165</v>
      </c>
      <c r="B46" s="16"/>
      <c r="C46" s="16"/>
      <c r="D46" s="16"/>
      <c r="E46" s="16"/>
      <c r="F46" s="16"/>
      <c r="G46" s="16"/>
      <c r="H46" s="11" t="n">
        <f aca="false">IFERROR(6-G46,"")</f>
        <v>6</v>
      </c>
      <c r="I46" s="16"/>
      <c r="J46" s="16"/>
      <c r="K46" s="16"/>
    </row>
    <row r="47" customFormat="false" ht="23.85" hidden="false" customHeight="false" outlineLevel="0" collapsed="false">
      <c r="A47" s="7" t="s">
        <v>166</v>
      </c>
      <c r="B47" s="17"/>
      <c r="C47" s="17"/>
      <c r="D47" s="17"/>
      <c r="E47" s="17"/>
      <c r="F47" s="17"/>
      <c r="G47" s="17"/>
      <c r="H47" s="7" t="n">
        <f aca="false">IFERROR(6-G47,"")</f>
        <v>6</v>
      </c>
      <c r="I47" s="17"/>
      <c r="J47" s="17"/>
      <c r="K47" s="17"/>
    </row>
    <row r="48" customFormat="false" ht="23.85" hidden="false" customHeight="false" outlineLevel="0" collapsed="false">
      <c r="A48" s="11" t="s">
        <v>167</v>
      </c>
      <c r="B48" s="16"/>
      <c r="C48" s="16"/>
      <c r="D48" s="16"/>
      <c r="E48" s="16"/>
      <c r="F48" s="16"/>
      <c r="G48" s="16"/>
      <c r="H48" s="11" t="n">
        <f aca="false">IFERROR(6-G48,"")</f>
        <v>6</v>
      </c>
      <c r="I48" s="16"/>
      <c r="J48" s="16"/>
      <c r="K48" s="16"/>
    </row>
    <row r="49" customFormat="false" ht="23.85" hidden="false" customHeight="false" outlineLevel="0" collapsed="false">
      <c r="A49" s="7" t="s">
        <v>168</v>
      </c>
      <c r="B49" s="17"/>
      <c r="C49" s="17"/>
      <c r="D49" s="17"/>
      <c r="E49" s="17"/>
      <c r="F49" s="17"/>
      <c r="G49" s="17"/>
      <c r="H49" s="7" t="n">
        <f aca="false">IFERROR(6-G49,"")</f>
        <v>6</v>
      </c>
      <c r="I49" s="17"/>
      <c r="J49" s="17"/>
      <c r="K49" s="17"/>
    </row>
    <row r="50" customFormat="false" ht="23.85" hidden="false" customHeight="false" outlineLevel="0" collapsed="false">
      <c r="A50" s="11" t="s">
        <v>169</v>
      </c>
      <c r="B50" s="16"/>
      <c r="C50" s="16"/>
      <c r="D50" s="16"/>
      <c r="E50" s="16"/>
      <c r="F50" s="16"/>
      <c r="G50" s="16"/>
      <c r="H50" s="11" t="n">
        <f aca="false">IFERROR(6-G50,"")</f>
        <v>6</v>
      </c>
      <c r="I50" s="16"/>
      <c r="J50" s="16"/>
      <c r="K50" s="16"/>
    </row>
    <row r="51" customFormat="false" ht="23.85" hidden="false" customHeight="false" outlineLevel="0" collapsed="false">
      <c r="A51" s="7" t="s">
        <v>170</v>
      </c>
      <c r="B51" s="17"/>
      <c r="C51" s="17"/>
      <c r="D51" s="17"/>
      <c r="E51" s="17"/>
      <c r="F51" s="17"/>
      <c r="G51" s="17"/>
      <c r="H51" s="7" t="n">
        <f aca="false">IFERROR(6-G51,"")</f>
        <v>6</v>
      </c>
      <c r="I51" s="17"/>
      <c r="J51" s="17"/>
      <c r="K51" s="17"/>
    </row>
    <row r="52" customFormat="false" ht="23.85" hidden="false" customHeight="false" outlineLevel="0" collapsed="false">
      <c r="A52" s="11" t="s">
        <v>171</v>
      </c>
      <c r="B52" s="16"/>
      <c r="C52" s="16"/>
      <c r="D52" s="16"/>
      <c r="E52" s="16"/>
      <c r="F52" s="16"/>
      <c r="G52" s="16"/>
      <c r="H52" s="11" t="n">
        <f aca="false">IFERROR(6-G52,"")</f>
        <v>6</v>
      </c>
      <c r="I52" s="16"/>
      <c r="J52" s="16"/>
      <c r="K52" s="16"/>
    </row>
    <row r="53" customFormat="false" ht="23.85" hidden="false" customHeight="false" outlineLevel="0" collapsed="false">
      <c r="A53" s="7" t="s">
        <v>172</v>
      </c>
      <c r="B53" s="17"/>
      <c r="C53" s="17"/>
      <c r="D53" s="17"/>
      <c r="E53" s="17"/>
      <c r="F53" s="17"/>
      <c r="G53" s="17"/>
      <c r="H53" s="7" t="n">
        <f aca="false">IFERROR(6-G53,"")</f>
        <v>6</v>
      </c>
      <c r="I53" s="17"/>
      <c r="J53" s="17"/>
      <c r="K53" s="17"/>
    </row>
    <row r="54" customFormat="false" ht="23.85" hidden="false" customHeight="false" outlineLevel="0" collapsed="false">
      <c r="A54" s="11" t="s">
        <v>173</v>
      </c>
      <c r="B54" s="16"/>
      <c r="C54" s="16"/>
      <c r="D54" s="16"/>
      <c r="E54" s="16"/>
      <c r="F54" s="16"/>
      <c r="G54" s="16"/>
      <c r="H54" s="11" t="n">
        <f aca="false">IFERROR(6-G54,"")</f>
        <v>6</v>
      </c>
      <c r="I54" s="16"/>
      <c r="J54" s="16"/>
      <c r="K54" s="16"/>
    </row>
    <row r="55" customFormat="false" ht="23.85" hidden="false" customHeight="false" outlineLevel="0" collapsed="false">
      <c r="A55" s="7" t="s">
        <v>174</v>
      </c>
      <c r="B55" s="17"/>
      <c r="C55" s="17"/>
      <c r="D55" s="17"/>
      <c r="E55" s="17"/>
      <c r="F55" s="17"/>
      <c r="G55" s="17"/>
      <c r="H55" s="7" t="n">
        <f aca="false">IFERROR(6-G55,"")</f>
        <v>6</v>
      </c>
      <c r="I55" s="17"/>
      <c r="J55" s="17"/>
      <c r="K55" s="17"/>
    </row>
    <row r="56" customFormat="false" ht="23.85" hidden="false" customHeight="false" outlineLevel="0" collapsed="false">
      <c r="A56" s="11" t="s">
        <v>175</v>
      </c>
      <c r="B56" s="16"/>
      <c r="C56" s="16"/>
      <c r="D56" s="16"/>
      <c r="E56" s="16"/>
      <c r="F56" s="16"/>
      <c r="G56" s="16"/>
      <c r="H56" s="11" t="n">
        <f aca="false">IFERROR(6-G56,"")</f>
        <v>6</v>
      </c>
      <c r="I56" s="16"/>
      <c r="J56" s="16"/>
      <c r="K56" s="16"/>
    </row>
    <row r="57" customFormat="false" ht="23.85" hidden="false" customHeight="false" outlineLevel="0" collapsed="false">
      <c r="A57" s="7" t="s">
        <v>176</v>
      </c>
      <c r="B57" s="17"/>
      <c r="C57" s="17"/>
      <c r="D57" s="17"/>
      <c r="E57" s="17"/>
      <c r="F57" s="17"/>
      <c r="G57" s="17"/>
      <c r="H57" s="7" t="n">
        <f aca="false">IFERROR(6-G57,"")</f>
        <v>6</v>
      </c>
      <c r="I57" s="17"/>
      <c r="J57" s="17"/>
      <c r="K57" s="17"/>
    </row>
    <row r="58" customFormat="false" ht="23.85" hidden="false" customHeight="false" outlineLevel="0" collapsed="false">
      <c r="A58" s="11" t="s">
        <v>177</v>
      </c>
      <c r="B58" s="16"/>
      <c r="C58" s="16"/>
      <c r="D58" s="16"/>
      <c r="E58" s="16"/>
      <c r="F58" s="16"/>
      <c r="G58" s="16"/>
      <c r="H58" s="11" t="n">
        <f aca="false">IFERROR(6-G58,"")</f>
        <v>6</v>
      </c>
      <c r="I58" s="16"/>
      <c r="J58" s="16"/>
      <c r="K58" s="16"/>
    </row>
    <row r="59" customFormat="false" ht="23.85" hidden="false" customHeight="false" outlineLevel="0" collapsed="false">
      <c r="A59" s="7" t="s">
        <v>178</v>
      </c>
      <c r="B59" s="17"/>
      <c r="C59" s="17"/>
      <c r="D59" s="17"/>
      <c r="E59" s="17"/>
      <c r="F59" s="17"/>
      <c r="G59" s="17"/>
      <c r="H59" s="7" t="n">
        <f aca="false">IFERROR(6-G59,"")</f>
        <v>6</v>
      </c>
      <c r="I59" s="17"/>
      <c r="J59" s="17"/>
      <c r="K59" s="17"/>
    </row>
    <row r="60" customFormat="false" ht="23.85" hidden="false" customHeight="false" outlineLevel="0" collapsed="false">
      <c r="A60" s="11" t="s">
        <v>179</v>
      </c>
      <c r="B60" s="16"/>
      <c r="C60" s="16"/>
      <c r="D60" s="16"/>
      <c r="E60" s="16"/>
      <c r="F60" s="16"/>
      <c r="G60" s="16"/>
      <c r="H60" s="11" t="n">
        <f aca="false">IFERROR(6-G60,"")</f>
        <v>6</v>
      </c>
      <c r="I60" s="16"/>
      <c r="J60" s="16"/>
      <c r="K60" s="16"/>
    </row>
    <row r="61" customFormat="false" ht="23.85" hidden="false" customHeight="false" outlineLevel="0" collapsed="false">
      <c r="A61" s="7" t="s">
        <v>180</v>
      </c>
      <c r="B61" s="17"/>
      <c r="C61" s="17"/>
      <c r="D61" s="17"/>
      <c r="E61" s="17"/>
      <c r="F61" s="17"/>
      <c r="G61" s="17"/>
      <c r="H61" s="7" t="n">
        <f aca="false">IFERROR(6-G61,"")</f>
        <v>6</v>
      </c>
      <c r="I61" s="17"/>
      <c r="J61" s="17"/>
      <c r="K61" s="17"/>
    </row>
    <row r="62" customFormat="false" ht="23.85" hidden="false" customHeight="false" outlineLevel="0" collapsed="false">
      <c r="A62" s="11" t="s">
        <v>181</v>
      </c>
      <c r="B62" s="16"/>
      <c r="C62" s="16"/>
      <c r="D62" s="16"/>
      <c r="E62" s="16"/>
      <c r="F62" s="16"/>
      <c r="G62" s="16"/>
      <c r="H62" s="11" t="n">
        <f aca="false">IFERROR(6-G62,"")</f>
        <v>6</v>
      </c>
      <c r="I62" s="16"/>
      <c r="J62" s="16"/>
      <c r="K62" s="16"/>
    </row>
    <row r="63" customFormat="false" ht="23.85" hidden="false" customHeight="false" outlineLevel="0" collapsed="false">
      <c r="A63" s="7" t="s">
        <v>182</v>
      </c>
      <c r="B63" s="17"/>
      <c r="C63" s="17"/>
      <c r="D63" s="17"/>
      <c r="E63" s="17"/>
      <c r="F63" s="17"/>
      <c r="G63" s="17"/>
      <c r="H63" s="7" t="n">
        <f aca="false">IFERROR(6-G63,"")</f>
        <v>6</v>
      </c>
      <c r="I63" s="17"/>
      <c r="J63" s="17"/>
      <c r="K63" s="17"/>
    </row>
    <row r="64" customFormat="false" ht="23.85" hidden="false" customHeight="false" outlineLevel="0" collapsed="false">
      <c r="A64" s="11" t="s">
        <v>183</v>
      </c>
      <c r="B64" s="16"/>
      <c r="C64" s="16"/>
      <c r="D64" s="16"/>
      <c r="E64" s="16"/>
      <c r="F64" s="16"/>
      <c r="G64" s="16"/>
      <c r="H64" s="11" t="n">
        <f aca="false">IFERROR(6-G64,"")</f>
        <v>6</v>
      </c>
      <c r="I64" s="16"/>
      <c r="J64" s="16"/>
      <c r="K64" s="16"/>
    </row>
    <row r="65" customFormat="false" ht="23.85" hidden="false" customHeight="false" outlineLevel="0" collapsed="false">
      <c r="A65" s="7" t="s">
        <v>184</v>
      </c>
      <c r="B65" s="17"/>
      <c r="C65" s="17"/>
      <c r="D65" s="17"/>
      <c r="E65" s="17"/>
      <c r="F65" s="17"/>
      <c r="G65" s="17"/>
      <c r="H65" s="7" t="n">
        <f aca="false">IFERROR(6-G65,"")</f>
        <v>6</v>
      </c>
      <c r="I65" s="17"/>
      <c r="J65" s="17"/>
      <c r="K65" s="17"/>
    </row>
    <row r="66" customFormat="false" ht="23.85" hidden="false" customHeight="false" outlineLevel="0" collapsed="false">
      <c r="A66" s="11" t="s">
        <v>185</v>
      </c>
      <c r="B66" s="16"/>
      <c r="C66" s="16"/>
      <c r="D66" s="16"/>
      <c r="E66" s="16"/>
      <c r="F66" s="16"/>
      <c r="G66" s="16"/>
      <c r="H66" s="11" t="n">
        <f aca="false">IFERROR(6-G66,"")</f>
        <v>6</v>
      </c>
      <c r="I66" s="16"/>
      <c r="J66" s="16"/>
      <c r="K66" s="16"/>
    </row>
    <row r="67" customFormat="false" ht="23.85" hidden="false" customHeight="false" outlineLevel="0" collapsed="false">
      <c r="A67" s="7" t="s">
        <v>186</v>
      </c>
      <c r="B67" s="17"/>
      <c r="C67" s="17"/>
      <c r="D67" s="17"/>
      <c r="E67" s="17"/>
      <c r="F67" s="17"/>
      <c r="G67" s="17"/>
      <c r="H67" s="7" t="n">
        <f aca="false">IFERROR(6-G67,"")</f>
        <v>6</v>
      </c>
      <c r="I67" s="17"/>
      <c r="J67" s="17"/>
      <c r="K67" s="17"/>
    </row>
    <row r="68" customFormat="false" ht="23.85" hidden="false" customHeight="false" outlineLevel="0" collapsed="false">
      <c r="A68" s="11" t="s">
        <v>187</v>
      </c>
      <c r="B68" s="16"/>
      <c r="C68" s="16"/>
      <c r="D68" s="16"/>
      <c r="E68" s="16"/>
      <c r="F68" s="16"/>
      <c r="G68" s="16"/>
      <c r="H68" s="11" t="n">
        <f aca="false">IFERROR(6-G68,"")</f>
        <v>6</v>
      </c>
      <c r="I68" s="16"/>
      <c r="J68" s="16"/>
      <c r="K68" s="16"/>
    </row>
    <row r="69" customFormat="false" ht="23.85" hidden="false" customHeight="false" outlineLevel="0" collapsed="false">
      <c r="A69" s="7" t="s">
        <v>188</v>
      </c>
      <c r="B69" s="17"/>
      <c r="C69" s="17"/>
      <c r="D69" s="17"/>
      <c r="E69" s="17"/>
      <c r="F69" s="17"/>
      <c r="G69" s="17"/>
      <c r="H69" s="7" t="n">
        <f aca="false">IFERROR(6-G69,"")</f>
        <v>6</v>
      </c>
      <c r="I69" s="17"/>
      <c r="J69" s="17"/>
      <c r="K69" s="17"/>
    </row>
    <row r="70" customFormat="false" ht="23.85" hidden="false" customHeight="false" outlineLevel="0" collapsed="false">
      <c r="A70" s="11" t="s">
        <v>189</v>
      </c>
      <c r="B70" s="16"/>
      <c r="C70" s="16"/>
      <c r="D70" s="16"/>
      <c r="E70" s="16"/>
      <c r="F70" s="16"/>
      <c r="G70" s="16"/>
      <c r="H70" s="11" t="n">
        <f aca="false">IFERROR(6-G70,"")</f>
        <v>6</v>
      </c>
      <c r="I70" s="16"/>
      <c r="J70" s="16"/>
      <c r="K70" s="16"/>
    </row>
    <row r="71" customFormat="false" ht="23.85" hidden="false" customHeight="false" outlineLevel="0" collapsed="false">
      <c r="A71" s="7" t="s">
        <v>190</v>
      </c>
      <c r="B71" s="17"/>
      <c r="C71" s="17"/>
      <c r="D71" s="17"/>
      <c r="E71" s="17"/>
      <c r="F71" s="17"/>
      <c r="G71" s="17"/>
      <c r="H71" s="7" t="n">
        <f aca="false">IFERROR(6-G71,"")</f>
        <v>6</v>
      </c>
      <c r="I71" s="17"/>
      <c r="J71" s="17"/>
      <c r="K71" s="17"/>
    </row>
    <row r="72" customFormat="false" ht="23.85" hidden="false" customHeight="false" outlineLevel="0" collapsed="false">
      <c r="A72" s="11" t="s">
        <v>191</v>
      </c>
      <c r="B72" s="16"/>
      <c r="C72" s="16"/>
      <c r="D72" s="16"/>
      <c r="E72" s="16"/>
      <c r="F72" s="16"/>
      <c r="G72" s="16"/>
      <c r="H72" s="11" t="n">
        <f aca="false">IFERROR(6-G72,"")</f>
        <v>6</v>
      </c>
      <c r="I72" s="16"/>
      <c r="J72" s="16"/>
      <c r="K72" s="16"/>
    </row>
    <row r="73" customFormat="false" ht="23.85" hidden="false" customHeight="false" outlineLevel="0" collapsed="false">
      <c r="A73" s="7" t="s">
        <v>192</v>
      </c>
      <c r="B73" s="17"/>
      <c r="C73" s="17"/>
      <c r="D73" s="17"/>
      <c r="E73" s="17"/>
      <c r="F73" s="17"/>
      <c r="G73" s="17"/>
      <c r="H73" s="7" t="n">
        <f aca="false">IFERROR(6-G73,"")</f>
        <v>6</v>
      </c>
      <c r="I73" s="17"/>
      <c r="J73" s="17"/>
      <c r="K73" s="17"/>
    </row>
    <row r="74" customFormat="false" ht="23.85" hidden="false" customHeight="false" outlineLevel="0" collapsed="false">
      <c r="A74" s="11" t="s">
        <v>193</v>
      </c>
      <c r="B74" s="16"/>
      <c r="C74" s="16"/>
      <c r="D74" s="16"/>
      <c r="E74" s="16"/>
      <c r="F74" s="16"/>
      <c r="G74" s="16"/>
      <c r="H74" s="11" t="n">
        <f aca="false">IFERROR(6-G74,"")</f>
        <v>6</v>
      </c>
      <c r="I74" s="16"/>
      <c r="J74" s="16"/>
      <c r="K74" s="16"/>
    </row>
    <row r="75" customFormat="false" ht="23.85" hidden="false" customHeight="false" outlineLevel="0" collapsed="false">
      <c r="A75" s="7" t="s">
        <v>194</v>
      </c>
      <c r="B75" s="17"/>
      <c r="C75" s="17"/>
      <c r="D75" s="17"/>
      <c r="E75" s="17"/>
      <c r="F75" s="17"/>
      <c r="G75" s="17"/>
      <c r="H75" s="7" t="n">
        <f aca="false">IFERROR(6-G75,"")</f>
        <v>6</v>
      </c>
      <c r="I75" s="17"/>
      <c r="J75" s="17"/>
      <c r="K75" s="17"/>
    </row>
    <row r="76" customFormat="false" ht="23.85" hidden="false" customHeight="false" outlineLevel="0" collapsed="false">
      <c r="A76" s="11" t="s">
        <v>195</v>
      </c>
      <c r="B76" s="16"/>
      <c r="C76" s="16"/>
      <c r="D76" s="16"/>
      <c r="E76" s="16"/>
      <c r="F76" s="16"/>
      <c r="G76" s="16"/>
      <c r="H76" s="11" t="n">
        <f aca="false">IFERROR(6-G76,"")</f>
        <v>6</v>
      </c>
      <c r="I76" s="16"/>
      <c r="J76" s="16"/>
      <c r="K76" s="16"/>
    </row>
    <row r="77" customFormat="false" ht="23.85" hidden="false" customHeight="false" outlineLevel="0" collapsed="false">
      <c r="A77" s="7" t="s">
        <v>196</v>
      </c>
      <c r="B77" s="17"/>
      <c r="C77" s="17"/>
      <c r="D77" s="17"/>
      <c r="E77" s="17"/>
      <c r="F77" s="17"/>
      <c r="G77" s="17"/>
      <c r="H77" s="7" t="n">
        <f aca="false">IFERROR(6-G77,"")</f>
        <v>6</v>
      </c>
      <c r="I77" s="17"/>
      <c r="J77" s="17"/>
      <c r="K77" s="17"/>
    </row>
    <row r="78" customFormat="false" ht="23.85" hidden="false" customHeight="false" outlineLevel="0" collapsed="false">
      <c r="A78" s="11" t="s">
        <v>197</v>
      </c>
      <c r="B78" s="16"/>
      <c r="C78" s="16"/>
      <c r="D78" s="16"/>
      <c r="E78" s="16"/>
      <c r="F78" s="16"/>
      <c r="G78" s="16"/>
      <c r="H78" s="11" t="n">
        <f aca="false">IFERROR(6-G78,"")</f>
        <v>6</v>
      </c>
      <c r="I78" s="16"/>
      <c r="J78" s="16"/>
      <c r="K78" s="16"/>
    </row>
    <row r="79" customFormat="false" ht="23.85" hidden="false" customHeight="false" outlineLevel="0" collapsed="false">
      <c r="A79" s="7" t="s">
        <v>198</v>
      </c>
      <c r="B79" s="17"/>
      <c r="C79" s="17"/>
      <c r="D79" s="17"/>
      <c r="E79" s="17"/>
      <c r="F79" s="17"/>
      <c r="G79" s="17"/>
      <c r="H79" s="7" t="n">
        <f aca="false">IFERROR(6-G79,"")</f>
        <v>6</v>
      </c>
      <c r="I79" s="17"/>
      <c r="J79" s="17"/>
      <c r="K79" s="17"/>
    </row>
    <row r="80" customFormat="false" ht="23.85" hidden="false" customHeight="false" outlineLevel="0" collapsed="false">
      <c r="A80" s="11" t="s">
        <v>199</v>
      </c>
      <c r="B80" s="16"/>
      <c r="C80" s="16"/>
      <c r="D80" s="16"/>
      <c r="E80" s="16"/>
      <c r="F80" s="16"/>
      <c r="G80" s="16"/>
      <c r="H80" s="11" t="n">
        <f aca="false">IFERROR(6-G80,"")</f>
        <v>6</v>
      </c>
      <c r="I80" s="16"/>
      <c r="J80" s="16"/>
      <c r="K80" s="16"/>
    </row>
    <row r="81" customFormat="false" ht="23.85" hidden="false" customHeight="false" outlineLevel="0" collapsed="false">
      <c r="A81" s="7" t="s">
        <v>200</v>
      </c>
      <c r="B81" s="17"/>
      <c r="C81" s="17"/>
      <c r="D81" s="17"/>
      <c r="E81" s="17"/>
      <c r="F81" s="17"/>
      <c r="G81" s="17"/>
      <c r="H81" s="7" t="n">
        <f aca="false">IFERROR(6-G81,"")</f>
        <v>6</v>
      </c>
      <c r="I81" s="17"/>
      <c r="J81" s="17"/>
      <c r="K81" s="17"/>
    </row>
    <row r="82" customFormat="false" ht="23.85" hidden="false" customHeight="false" outlineLevel="0" collapsed="false">
      <c r="A82" s="11" t="s">
        <v>201</v>
      </c>
      <c r="B82" s="16"/>
      <c r="C82" s="16"/>
      <c r="D82" s="16"/>
      <c r="E82" s="16"/>
      <c r="F82" s="16"/>
      <c r="G82" s="16"/>
      <c r="H82" s="11" t="n">
        <f aca="false">IFERROR(6-G82,"")</f>
        <v>6</v>
      </c>
      <c r="I82" s="16"/>
      <c r="J82" s="16"/>
      <c r="K82" s="16"/>
    </row>
    <row r="83" customFormat="false" ht="23.85" hidden="false" customHeight="false" outlineLevel="0" collapsed="false">
      <c r="A83" s="7" t="s">
        <v>202</v>
      </c>
      <c r="B83" s="17"/>
      <c r="C83" s="17"/>
      <c r="D83" s="17"/>
      <c r="E83" s="17"/>
      <c r="F83" s="17"/>
      <c r="G83" s="17"/>
      <c r="H83" s="7" t="n">
        <f aca="false">IFERROR(6-G83,"")</f>
        <v>6</v>
      </c>
      <c r="I83" s="17"/>
      <c r="J83" s="17"/>
      <c r="K83" s="17"/>
    </row>
    <row r="84" customFormat="false" ht="23.85" hidden="false" customHeight="false" outlineLevel="0" collapsed="false">
      <c r="A84" s="11" t="s">
        <v>203</v>
      </c>
      <c r="B84" s="16"/>
      <c r="C84" s="16"/>
      <c r="D84" s="16"/>
      <c r="E84" s="16"/>
      <c r="F84" s="16"/>
      <c r="G84" s="16"/>
      <c r="H84" s="11" t="n">
        <f aca="false">IFERROR(6-G84,"")</f>
        <v>6</v>
      </c>
      <c r="I84" s="16"/>
      <c r="J84" s="16"/>
      <c r="K84" s="16"/>
    </row>
    <row r="85" customFormat="false" ht="23.85" hidden="false" customHeight="false" outlineLevel="0" collapsed="false">
      <c r="A85" s="7" t="s">
        <v>204</v>
      </c>
      <c r="B85" s="17"/>
      <c r="C85" s="17"/>
      <c r="D85" s="17"/>
      <c r="E85" s="17"/>
      <c r="F85" s="17"/>
      <c r="G85" s="17"/>
      <c r="H85" s="7" t="n">
        <f aca="false">IFERROR(6-G85,"")</f>
        <v>6</v>
      </c>
      <c r="I85" s="17"/>
      <c r="J85" s="17"/>
      <c r="K85" s="17"/>
    </row>
    <row r="86" customFormat="false" ht="23.85" hidden="false" customHeight="false" outlineLevel="0" collapsed="false">
      <c r="A86" s="11" t="s">
        <v>205</v>
      </c>
      <c r="B86" s="16"/>
      <c r="C86" s="16"/>
      <c r="D86" s="16"/>
      <c r="E86" s="16"/>
      <c r="F86" s="16"/>
      <c r="G86" s="16"/>
      <c r="H86" s="11" t="n">
        <f aca="false">IFERROR(6-G86,"")</f>
        <v>6</v>
      </c>
      <c r="I86" s="16"/>
      <c r="J86" s="16"/>
      <c r="K86" s="16"/>
    </row>
    <row r="87" customFormat="false" ht="23.85" hidden="false" customHeight="false" outlineLevel="0" collapsed="false">
      <c r="A87" s="7" t="s">
        <v>206</v>
      </c>
      <c r="B87" s="17"/>
      <c r="C87" s="17"/>
      <c r="D87" s="17"/>
      <c r="E87" s="17"/>
      <c r="F87" s="17"/>
      <c r="G87" s="17"/>
      <c r="H87" s="7" t="n">
        <f aca="false">IFERROR(6-G87,"")</f>
        <v>6</v>
      </c>
      <c r="I87" s="17"/>
      <c r="J87" s="17"/>
      <c r="K87" s="17"/>
    </row>
    <row r="88" customFormat="false" ht="23.85" hidden="false" customHeight="false" outlineLevel="0" collapsed="false">
      <c r="A88" s="11" t="s">
        <v>207</v>
      </c>
      <c r="B88" s="16"/>
      <c r="C88" s="16"/>
      <c r="D88" s="16"/>
      <c r="E88" s="16"/>
      <c r="F88" s="16"/>
      <c r="G88" s="16"/>
      <c r="H88" s="11" t="n">
        <f aca="false">IFERROR(6-G88,"")</f>
        <v>6</v>
      </c>
      <c r="I88" s="16"/>
      <c r="J88" s="16"/>
      <c r="K88" s="16"/>
    </row>
    <row r="89" customFormat="false" ht="23.85" hidden="false" customHeight="false" outlineLevel="0" collapsed="false">
      <c r="A89" s="7" t="s">
        <v>208</v>
      </c>
      <c r="B89" s="17"/>
      <c r="C89" s="17"/>
      <c r="D89" s="17"/>
      <c r="E89" s="17"/>
      <c r="F89" s="17"/>
      <c r="G89" s="17"/>
      <c r="H89" s="7" t="n">
        <f aca="false">IFERROR(6-G89,"")</f>
        <v>6</v>
      </c>
      <c r="I89" s="17"/>
      <c r="J89" s="17"/>
      <c r="K89" s="17"/>
    </row>
    <row r="90" customFormat="false" ht="23.85" hidden="false" customHeight="false" outlineLevel="0" collapsed="false">
      <c r="A90" s="11" t="s">
        <v>209</v>
      </c>
      <c r="B90" s="16"/>
      <c r="C90" s="16"/>
      <c r="D90" s="16"/>
      <c r="E90" s="16"/>
      <c r="F90" s="16"/>
      <c r="G90" s="16"/>
      <c r="H90" s="11" t="n">
        <f aca="false">IFERROR(6-G90,"")</f>
        <v>6</v>
      </c>
      <c r="I90" s="16"/>
      <c r="J90" s="16"/>
      <c r="K90" s="16"/>
    </row>
    <row r="91" customFormat="false" ht="23.85" hidden="false" customHeight="false" outlineLevel="0" collapsed="false">
      <c r="A91" s="7" t="s">
        <v>210</v>
      </c>
      <c r="B91" s="17"/>
      <c r="C91" s="17"/>
      <c r="D91" s="17"/>
      <c r="E91" s="17"/>
      <c r="F91" s="17"/>
      <c r="G91" s="17"/>
      <c r="H91" s="7" t="n">
        <f aca="false">IFERROR(6-G91,"")</f>
        <v>6</v>
      </c>
      <c r="I91" s="17"/>
      <c r="J91" s="17"/>
      <c r="K91" s="17"/>
    </row>
    <row r="92" customFormat="false" ht="23.85" hidden="false" customHeight="false" outlineLevel="0" collapsed="false">
      <c r="A92" s="11" t="s">
        <v>211</v>
      </c>
      <c r="B92" s="16"/>
      <c r="C92" s="16"/>
      <c r="D92" s="16"/>
      <c r="E92" s="16"/>
      <c r="F92" s="16"/>
      <c r="G92" s="16"/>
      <c r="H92" s="11" t="n">
        <f aca="false">IFERROR(6-G92,"")</f>
        <v>6</v>
      </c>
      <c r="I92" s="16"/>
      <c r="J92" s="16"/>
      <c r="K92" s="16"/>
    </row>
    <row r="93" customFormat="false" ht="23.85" hidden="false" customHeight="false" outlineLevel="0" collapsed="false">
      <c r="A93" s="7" t="s">
        <v>212</v>
      </c>
      <c r="B93" s="17"/>
      <c r="C93" s="17"/>
      <c r="D93" s="17"/>
      <c r="E93" s="17"/>
      <c r="F93" s="17"/>
      <c r="G93" s="17"/>
      <c r="H93" s="7" t="n">
        <f aca="false">IFERROR(6-G93,"")</f>
        <v>6</v>
      </c>
      <c r="I93" s="17"/>
      <c r="J93" s="17"/>
      <c r="K93" s="17"/>
    </row>
    <row r="94" customFormat="false" ht="23.85" hidden="false" customHeight="false" outlineLevel="0" collapsed="false">
      <c r="A94" s="11" t="s">
        <v>213</v>
      </c>
      <c r="B94" s="16"/>
      <c r="C94" s="16"/>
      <c r="D94" s="16"/>
      <c r="E94" s="16"/>
      <c r="F94" s="16"/>
      <c r="G94" s="16"/>
      <c r="H94" s="11" t="n">
        <f aca="false">IFERROR(6-G94,"")</f>
        <v>6</v>
      </c>
      <c r="I94" s="16"/>
      <c r="J94" s="16"/>
      <c r="K94" s="16"/>
    </row>
    <row r="95" customFormat="false" ht="23.85" hidden="false" customHeight="false" outlineLevel="0" collapsed="false">
      <c r="A95" s="7" t="s">
        <v>214</v>
      </c>
      <c r="B95" s="17"/>
      <c r="C95" s="17"/>
      <c r="D95" s="17"/>
      <c r="E95" s="17"/>
      <c r="F95" s="17"/>
      <c r="G95" s="17"/>
      <c r="H95" s="7" t="n">
        <f aca="false">IFERROR(6-G95,"")</f>
        <v>6</v>
      </c>
      <c r="I95" s="17"/>
      <c r="J95" s="17"/>
      <c r="K95" s="17"/>
    </row>
    <row r="96" customFormat="false" ht="23.85" hidden="false" customHeight="false" outlineLevel="0" collapsed="false">
      <c r="A96" s="11" t="s">
        <v>215</v>
      </c>
      <c r="B96" s="16"/>
      <c r="C96" s="16"/>
      <c r="D96" s="16"/>
      <c r="E96" s="16"/>
      <c r="F96" s="16"/>
      <c r="G96" s="16"/>
      <c r="H96" s="11" t="n">
        <f aca="false">IFERROR(6-G96,"")</f>
        <v>6</v>
      </c>
      <c r="I96" s="16"/>
      <c r="J96" s="16"/>
      <c r="K96" s="16"/>
    </row>
    <row r="97" customFormat="false" ht="23.85" hidden="false" customHeight="false" outlineLevel="0" collapsed="false">
      <c r="A97" s="7" t="s">
        <v>216</v>
      </c>
      <c r="B97" s="17"/>
      <c r="C97" s="17"/>
      <c r="D97" s="17"/>
      <c r="E97" s="17"/>
      <c r="F97" s="17"/>
      <c r="G97" s="17"/>
      <c r="H97" s="7" t="n">
        <f aca="false">IFERROR(6-G97,"")</f>
        <v>6</v>
      </c>
      <c r="I97" s="17"/>
      <c r="J97" s="17"/>
      <c r="K97" s="17"/>
    </row>
    <row r="98" customFormat="false" ht="23.85" hidden="false" customHeight="false" outlineLevel="0" collapsed="false">
      <c r="A98" s="11" t="s">
        <v>217</v>
      </c>
      <c r="B98" s="16"/>
      <c r="C98" s="16"/>
      <c r="D98" s="16"/>
      <c r="E98" s="16"/>
      <c r="F98" s="16"/>
      <c r="G98" s="16"/>
      <c r="H98" s="11" t="n">
        <f aca="false">IFERROR(6-G98,"")</f>
        <v>6</v>
      </c>
      <c r="I98" s="16"/>
      <c r="J98" s="16"/>
      <c r="K98" s="16"/>
    </row>
    <row r="99" customFormat="false" ht="23.85" hidden="false" customHeight="false" outlineLevel="0" collapsed="false">
      <c r="A99" s="7" t="s">
        <v>218</v>
      </c>
      <c r="B99" s="17"/>
      <c r="C99" s="17"/>
      <c r="D99" s="17"/>
      <c r="E99" s="17"/>
      <c r="F99" s="17"/>
      <c r="G99" s="17"/>
      <c r="H99" s="7" t="n">
        <f aca="false">IFERROR(6-G99,"")</f>
        <v>6</v>
      </c>
      <c r="I99" s="17"/>
      <c r="J99" s="17"/>
      <c r="K99" s="17"/>
    </row>
    <row r="100" customFormat="false" ht="23.85" hidden="false" customHeight="false" outlineLevel="0" collapsed="false">
      <c r="A100" s="11" t="s">
        <v>219</v>
      </c>
      <c r="B100" s="16"/>
      <c r="C100" s="16"/>
      <c r="D100" s="16"/>
      <c r="E100" s="16"/>
      <c r="F100" s="16"/>
      <c r="G100" s="16"/>
      <c r="H100" s="11" t="n">
        <f aca="false">IFERROR(6-G100,"")</f>
        <v>6</v>
      </c>
      <c r="I100" s="16"/>
      <c r="J100" s="16"/>
      <c r="K100" s="16"/>
    </row>
    <row r="101" customFormat="false" ht="23.85" hidden="false" customHeight="false" outlineLevel="0" collapsed="false">
      <c r="A101" s="7" t="s">
        <v>220</v>
      </c>
      <c r="B101" s="17"/>
      <c r="C101" s="17"/>
      <c r="D101" s="17"/>
      <c r="E101" s="17"/>
      <c r="F101" s="17"/>
      <c r="G101" s="17"/>
      <c r="H101" s="7" t="n">
        <f aca="false">IFERROR(6-G101,"")</f>
        <v>6</v>
      </c>
      <c r="I101" s="17"/>
      <c r="J101" s="17"/>
      <c r="K101" s="17"/>
    </row>
    <row r="102" customFormat="false" ht="23.85" hidden="false" customHeight="false" outlineLevel="0" collapsed="false">
      <c r="A102" s="11" t="s">
        <v>221</v>
      </c>
      <c r="B102" s="16"/>
      <c r="C102" s="16"/>
      <c r="D102" s="16"/>
      <c r="E102" s="16"/>
      <c r="F102" s="16"/>
      <c r="G102" s="16"/>
      <c r="H102" s="11" t="n">
        <f aca="false">IFERROR(6-G102,"")</f>
        <v>6</v>
      </c>
      <c r="I102" s="16"/>
      <c r="J102" s="16"/>
      <c r="K102" s="16"/>
    </row>
    <row r="103" customFormat="false" ht="23.85" hidden="false" customHeight="false" outlineLevel="0" collapsed="false">
      <c r="A103" s="7" t="s">
        <v>222</v>
      </c>
      <c r="B103" s="17"/>
      <c r="C103" s="17"/>
      <c r="D103" s="17"/>
      <c r="E103" s="17"/>
      <c r="F103" s="17"/>
      <c r="G103" s="17"/>
      <c r="H103" s="7" t="n">
        <f aca="false">IFERROR(6-G103,"")</f>
        <v>6</v>
      </c>
      <c r="I103" s="17"/>
      <c r="J103" s="17"/>
      <c r="K103" s="17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33.75" hidden="false" customHeight="true" outlineLevel="0" collapsed="false">
      <c r="A1" s="29" t="s">
        <v>223</v>
      </c>
      <c r="B1" s="29"/>
      <c r="C1" s="29"/>
      <c r="D1" s="29"/>
      <c r="E1" s="29"/>
    </row>
    <row r="2" customFormat="false" ht="25.5" hidden="false" customHeight="true" outlineLevel="0" collapsed="false">
      <c r="A2" s="30" t="s">
        <v>224</v>
      </c>
      <c r="B2" s="30"/>
      <c r="C2" s="30"/>
      <c r="D2" s="30"/>
      <c r="E2" s="30"/>
    </row>
    <row r="3" customFormat="false" ht="15" hidden="false" customHeight="false" outlineLevel="0" collapsed="false">
      <c r="A3" s="31" t="s">
        <v>2</v>
      </c>
      <c r="B3" s="31" t="s">
        <v>225</v>
      </c>
      <c r="C3" s="31" t="s">
        <v>226</v>
      </c>
      <c r="D3" s="31" t="s">
        <v>227</v>
      </c>
      <c r="E3" s="31" t="s">
        <v>228</v>
      </c>
    </row>
    <row r="4" customFormat="false" ht="37.5" hidden="false" customHeight="true" outlineLevel="0" collapsed="false">
      <c r="A4" s="32" t="n">
        <v>1</v>
      </c>
      <c r="B4" s="33" t="s">
        <v>229</v>
      </c>
      <c r="C4" s="34" t="s">
        <v>230</v>
      </c>
      <c r="D4" s="32" t="s">
        <v>231</v>
      </c>
      <c r="E4" s="34" t="s">
        <v>232</v>
      </c>
    </row>
    <row r="5" customFormat="false" ht="37.5" hidden="false" customHeight="true" outlineLevel="0" collapsed="false">
      <c r="A5" s="7" t="n">
        <v>2</v>
      </c>
      <c r="B5" s="5" t="s">
        <v>233</v>
      </c>
      <c r="C5" s="6" t="s">
        <v>234</v>
      </c>
      <c r="D5" s="7" t="s">
        <v>235</v>
      </c>
      <c r="E5" s="6" t="s">
        <v>236</v>
      </c>
    </row>
    <row r="6" customFormat="false" ht="37.5" hidden="false" customHeight="true" outlineLevel="0" collapsed="false">
      <c r="A6" s="32" t="n">
        <v>3</v>
      </c>
      <c r="B6" s="33" t="s">
        <v>237</v>
      </c>
      <c r="C6" s="34" t="s">
        <v>238</v>
      </c>
      <c r="D6" s="32" t="s">
        <v>235</v>
      </c>
      <c r="E6" s="34" t="s">
        <v>236</v>
      </c>
    </row>
    <row r="7" customFormat="false" ht="37.5" hidden="false" customHeight="true" outlineLevel="0" collapsed="false">
      <c r="A7" s="7" t="n">
        <v>4</v>
      </c>
      <c r="B7" s="5" t="s">
        <v>239</v>
      </c>
      <c r="C7" s="6" t="s">
        <v>240</v>
      </c>
      <c r="D7" s="7" t="s">
        <v>235</v>
      </c>
      <c r="E7" s="6" t="s">
        <v>236</v>
      </c>
    </row>
    <row r="8" customFormat="false" ht="37.5" hidden="false" customHeight="true" outlineLevel="0" collapsed="false">
      <c r="A8" s="32" t="n">
        <v>5</v>
      </c>
      <c r="B8" s="33" t="s">
        <v>241</v>
      </c>
      <c r="C8" s="34" t="s">
        <v>242</v>
      </c>
      <c r="D8" s="32" t="s">
        <v>231</v>
      </c>
      <c r="E8" s="34" t="s">
        <v>243</v>
      </c>
    </row>
    <row r="9" customFormat="false" ht="37.5" hidden="false" customHeight="true" outlineLevel="0" collapsed="false">
      <c r="A9" s="7" t="n">
        <v>6</v>
      </c>
      <c r="B9" s="5" t="s">
        <v>244</v>
      </c>
      <c r="C9" s="6" t="s">
        <v>245</v>
      </c>
      <c r="D9" s="7" t="s">
        <v>235</v>
      </c>
      <c r="E9" s="6" t="s">
        <v>243</v>
      </c>
    </row>
    <row r="10" customFormat="false" ht="37.5" hidden="false" customHeight="true" outlineLevel="0" collapsed="false">
      <c r="A10" s="32" t="n">
        <v>7</v>
      </c>
      <c r="B10" s="33" t="s">
        <v>246</v>
      </c>
      <c r="C10" s="34" t="s">
        <v>247</v>
      </c>
      <c r="D10" s="32" t="s">
        <v>248</v>
      </c>
      <c r="E10" s="34" t="s">
        <v>249</v>
      </c>
    </row>
    <row r="11" customFormat="false" ht="37.5" hidden="false" customHeight="true" outlineLevel="0" collapsed="false">
      <c r="A11" s="7" t="n">
        <v>8</v>
      </c>
      <c r="B11" s="5" t="s">
        <v>250</v>
      </c>
      <c r="C11" s="6" t="s">
        <v>251</v>
      </c>
      <c r="D11" s="7" t="s">
        <v>231</v>
      </c>
      <c r="E11" s="6" t="s">
        <v>243</v>
      </c>
    </row>
    <row r="12" customFormat="false" ht="37.5" hidden="false" customHeight="true" outlineLevel="0" collapsed="false">
      <c r="A12" s="32" t="n">
        <v>9</v>
      </c>
      <c r="B12" s="33" t="s">
        <v>252</v>
      </c>
      <c r="C12" s="34" t="s">
        <v>253</v>
      </c>
      <c r="D12" s="32" t="s">
        <v>254</v>
      </c>
      <c r="E12" s="34" t="s">
        <v>255</v>
      </c>
    </row>
    <row r="13" customFormat="false" ht="37.5" hidden="false" customHeight="true" outlineLevel="0" collapsed="false">
      <c r="A13" s="7" t="n">
        <v>10</v>
      </c>
      <c r="B13" s="5" t="s">
        <v>256</v>
      </c>
      <c r="C13" s="6" t="s">
        <v>257</v>
      </c>
      <c r="D13" s="7" t="s">
        <v>235</v>
      </c>
      <c r="E13" s="6" t="s">
        <v>258</v>
      </c>
    </row>
    <row r="14" customFormat="false" ht="37.5" hidden="false" customHeight="true" outlineLevel="0" collapsed="false">
      <c r="A14" s="32" t="n">
        <v>11</v>
      </c>
      <c r="B14" s="33" t="s">
        <v>259</v>
      </c>
      <c r="C14" s="34" t="s">
        <v>260</v>
      </c>
      <c r="D14" s="32" t="s">
        <v>235</v>
      </c>
      <c r="E14" s="34" t="s">
        <v>261</v>
      </c>
    </row>
    <row r="15" customFormat="false" ht="37.5" hidden="false" customHeight="true" outlineLevel="0" collapsed="false">
      <c r="A15" s="7" t="n">
        <v>12</v>
      </c>
      <c r="B15" s="5" t="s">
        <v>262</v>
      </c>
      <c r="C15" s="6" t="s">
        <v>263</v>
      </c>
      <c r="D15" s="7" t="s">
        <v>248</v>
      </c>
      <c r="E15" s="6" t="s">
        <v>264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8" min="2" style="0" width="12"/>
  </cols>
  <sheetData>
    <row r="1" customFormat="false" ht="33.75" hidden="false" customHeight="true" outlineLevel="0" collapsed="false">
      <c r="A1" s="35" t="s">
        <v>265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customFormat="false" ht="25.5" hidden="false" customHeight="true" outlineLevel="0" collapsed="false">
      <c r="A2" s="36" t="s">
        <v>266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4" customFormat="false" ht="15" hidden="false" customHeight="false" outlineLevel="0" collapsed="false">
      <c r="A4" s="37" t="s">
        <v>267</v>
      </c>
      <c r="B4" s="37" t="s">
        <v>268</v>
      </c>
      <c r="C4" s="37" t="s">
        <v>269</v>
      </c>
      <c r="D4" s="37" t="s">
        <v>270</v>
      </c>
      <c r="E4" s="37" t="s">
        <v>271</v>
      </c>
      <c r="F4" s="37" t="s">
        <v>272</v>
      </c>
      <c r="G4" s="37" t="s">
        <v>273</v>
      </c>
      <c r="H4" s="37" t="s">
        <v>274</v>
      </c>
      <c r="I4" s="37" t="s">
        <v>275</v>
      </c>
      <c r="J4" s="37" t="s">
        <v>276</v>
      </c>
      <c r="K4" s="37" t="s">
        <v>277</v>
      </c>
      <c r="L4" s="37" t="s">
        <v>278</v>
      </c>
      <c r="M4" s="37" t="s">
        <v>279</v>
      </c>
      <c r="N4" s="37" t="s">
        <v>280</v>
      </c>
      <c r="O4" s="37" t="s">
        <v>281</v>
      </c>
      <c r="P4" s="37" t="s">
        <v>282</v>
      </c>
      <c r="Q4" s="38" t="s">
        <v>283</v>
      </c>
      <c r="R4" s="38" t="s">
        <v>284</v>
      </c>
    </row>
    <row r="5" customFormat="false" ht="15" hidden="false" customHeight="false" outlineLevel="0" collapsed="false">
      <c r="A5" s="39" t="s">
        <v>268</v>
      </c>
      <c r="B5" s="40" t="s">
        <v>10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41" t="n">
        <f aca="false">SUM(B5:P5)</f>
        <v>0</v>
      </c>
      <c r="R5" s="42" t="n">
        <f aca="false">IFERROR(Q5/(COUNT(B5:P5)*14)*100,0)</f>
        <v>0</v>
      </c>
    </row>
    <row r="6" customFormat="false" ht="15" hidden="false" customHeight="false" outlineLevel="0" collapsed="false">
      <c r="A6" s="39" t="s">
        <v>269</v>
      </c>
      <c r="B6" s="16"/>
      <c r="C6" s="40" t="s">
        <v>10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41" t="n">
        <f aca="false">SUM(B6:P6)</f>
        <v>0</v>
      </c>
      <c r="R6" s="42" t="n">
        <f aca="false">IFERROR(Q6/(COUNT(B6:P6)*14)*100,0)</f>
        <v>0</v>
      </c>
    </row>
    <row r="7" customFormat="false" ht="15" hidden="false" customHeight="false" outlineLevel="0" collapsed="false">
      <c r="A7" s="39" t="s">
        <v>270</v>
      </c>
      <c r="B7" s="17"/>
      <c r="C7" s="17"/>
      <c r="D7" s="40" t="s">
        <v>10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41" t="n">
        <f aca="false">SUM(B7:P7)</f>
        <v>0</v>
      </c>
      <c r="R7" s="42" t="n">
        <f aca="false">IFERROR(Q7/(COUNT(B7:P7)*14)*100,0)</f>
        <v>0</v>
      </c>
    </row>
    <row r="8" customFormat="false" ht="15" hidden="false" customHeight="false" outlineLevel="0" collapsed="false">
      <c r="A8" s="39" t="s">
        <v>271</v>
      </c>
      <c r="B8" s="16"/>
      <c r="C8" s="16"/>
      <c r="D8" s="16"/>
      <c r="E8" s="40" t="s">
        <v>10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41" t="n">
        <f aca="false">SUM(B8:P8)</f>
        <v>0</v>
      </c>
      <c r="R8" s="42" t="n">
        <f aca="false">IFERROR(Q8/(COUNT(B8:P8)*14)*100,0)</f>
        <v>0</v>
      </c>
    </row>
    <row r="9" customFormat="false" ht="15" hidden="false" customHeight="false" outlineLevel="0" collapsed="false">
      <c r="A9" s="39" t="s">
        <v>272</v>
      </c>
      <c r="B9" s="17"/>
      <c r="C9" s="17"/>
      <c r="D9" s="17"/>
      <c r="E9" s="17"/>
      <c r="F9" s="40" t="s">
        <v>10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41" t="n">
        <f aca="false">SUM(B9:P9)</f>
        <v>0</v>
      </c>
      <c r="R9" s="42" t="n">
        <f aca="false">IFERROR(Q9/(COUNT(B9:P9)*14)*100,0)</f>
        <v>0</v>
      </c>
    </row>
    <row r="10" customFormat="false" ht="15" hidden="false" customHeight="false" outlineLevel="0" collapsed="false">
      <c r="A10" s="39" t="s">
        <v>273</v>
      </c>
      <c r="B10" s="16"/>
      <c r="C10" s="16"/>
      <c r="D10" s="16"/>
      <c r="E10" s="16"/>
      <c r="F10" s="16"/>
      <c r="G10" s="40" t="s">
        <v>10</v>
      </c>
      <c r="H10" s="16"/>
      <c r="I10" s="16"/>
      <c r="J10" s="16"/>
      <c r="K10" s="16"/>
      <c r="L10" s="16"/>
      <c r="M10" s="16"/>
      <c r="N10" s="16"/>
      <c r="O10" s="16"/>
      <c r="P10" s="16"/>
      <c r="Q10" s="41" t="n">
        <f aca="false">SUM(B10:P10)</f>
        <v>0</v>
      </c>
      <c r="R10" s="42" t="n">
        <f aca="false">IFERROR(Q10/(COUNT(B10:P10)*14)*100,0)</f>
        <v>0</v>
      </c>
    </row>
    <row r="11" customFormat="false" ht="15" hidden="false" customHeight="false" outlineLevel="0" collapsed="false">
      <c r="A11" s="39" t="s">
        <v>274</v>
      </c>
      <c r="B11" s="17"/>
      <c r="C11" s="17"/>
      <c r="D11" s="17"/>
      <c r="E11" s="17"/>
      <c r="F11" s="17"/>
      <c r="G11" s="17"/>
      <c r="H11" s="40" t="s">
        <v>10</v>
      </c>
      <c r="I11" s="17"/>
      <c r="J11" s="17"/>
      <c r="K11" s="17"/>
      <c r="L11" s="17"/>
      <c r="M11" s="17"/>
      <c r="N11" s="17"/>
      <c r="O11" s="17"/>
      <c r="P11" s="17"/>
      <c r="Q11" s="41" t="n">
        <f aca="false">SUM(B11:P11)</f>
        <v>0</v>
      </c>
      <c r="R11" s="42" t="n">
        <f aca="false">IFERROR(Q11/(COUNT(B11:P11)*14)*100,0)</f>
        <v>0</v>
      </c>
    </row>
    <row r="12" customFormat="false" ht="15" hidden="false" customHeight="false" outlineLevel="0" collapsed="false">
      <c r="A12" s="39" t="s">
        <v>275</v>
      </c>
      <c r="B12" s="16"/>
      <c r="C12" s="16"/>
      <c r="D12" s="16"/>
      <c r="E12" s="16"/>
      <c r="F12" s="16"/>
      <c r="G12" s="16"/>
      <c r="H12" s="16"/>
      <c r="I12" s="40" t="s">
        <v>10</v>
      </c>
      <c r="J12" s="16"/>
      <c r="K12" s="16"/>
      <c r="L12" s="16"/>
      <c r="M12" s="16"/>
      <c r="N12" s="16"/>
      <c r="O12" s="16"/>
      <c r="P12" s="16"/>
      <c r="Q12" s="41" t="n">
        <f aca="false">SUM(B12:P12)</f>
        <v>0</v>
      </c>
      <c r="R12" s="42" t="n">
        <f aca="false">IFERROR(Q12/(COUNT(B12:P12)*14)*100,0)</f>
        <v>0</v>
      </c>
    </row>
    <row r="13" customFormat="false" ht="15" hidden="false" customHeight="false" outlineLevel="0" collapsed="false">
      <c r="A13" s="39" t="s">
        <v>276</v>
      </c>
      <c r="B13" s="17"/>
      <c r="C13" s="17"/>
      <c r="D13" s="17"/>
      <c r="E13" s="17"/>
      <c r="F13" s="17"/>
      <c r="G13" s="17"/>
      <c r="H13" s="17"/>
      <c r="I13" s="17"/>
      <c r="J13" s="40" t="s">
        <v>10</v>
      </c>
      <c r="K13" s="17"/>
      <c r="L13" s="17"/>
      <c r="M13" s="17"/>
      <c r="N13" s="17"/>
      <c r="O13" s="17"/>
      <c r="P13" s="17"/>
      <c r="Q13" s="41" t="n">
        <f aca="false">SUM(B13:P13)</f>
        <v>0</v>
      </c>
      <c r="R13" s="42" t="n">
        <f aca="false">IFERROR(Q13/(COUNT(B13:P13)*14)*100,0)</f>
        <v>0</v>
      </c>
    </row>
    <row r="14" customFormat="false" ht="15" hidden="false" customHeight="false" outlineLevel="0" collapsed="false">
      <c r="A14" s="39" t="s">
        <v>277</v>
      </c>
      <c r="B14" s="16"/>
      <c r="C14" s="16"/>
      <c r="D14" s="16"/>
      <c r="E14" s="16"/>
      <c r="F14" s="16"/>
      <c r="G14" s="16"/>
      <c r="H14" s="16"/>
      <c r="I14" s="16"/>
      <c r="J14" s="16"/>
      <c r="K14" s="40" t="s">
        <v>10</v>
      </c>
      <c r="L14" s="16"/>
      <c r="M14" s="16"/>
      <c r="N14" s="16"/>
      <c r="O14" s="16"/>
      <c r="P14" s="16"/>
      <c r="Q14" s="41" t="n">
        <f aca="false">SUM(B14:P14)</f>
        <v>0</v>
      </c>
      <c r="R14" s="42" t="n">
        <f aca="false">IFERROR(Q14/(COUNT(B14:P14)*14)*100,0)</f>
        <v>0</v>
      </c>
    </row>
    <row r="15" customFormat="false" ht="15" hidden="false" customHeight="false" outlineLevel="0" collapsed="false">
      <c r="A15" s="39" t="s">
        <v>278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40" t="s">
        <v>10</v>
      </c>
      <c r="M15" s="17"/>
      <c r="N15" s="17"/>
      <c r="O15" s="17"/>
      <c r="P15" s="17"/>
      <c r="Q15" s="41" t="n">
        <f aca="false">SUM(B15:P15)</f>
        <v>0</v>
      </c>
      <c r="R15" s="42" t="n">
        <f aca="false">IFERROR(Q15/(COUNT(B15:P15)*14)*100,0)</f>
        <v>0</v>
      </c>
    </row>
    <row r="16" customFormat="false" ht="15" hidden="false" customHeight="false" outlineLevel="0" collapsed="false">
      <c r="A16" s="39" t="s">
        <v>279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40" t="s">
        <v>10</v>
      </c>
      <c r="N16" s="16"/>
      <c r="O16" s="16"/>
      <c r="P16" s="16"/>
      <c r="Q16" s="41" t="n">
        <f aca="false">SUM(B16:P16)</f>
        <v>0</v>
      </c>
      <c r="R16" s="42" t="n">
        <f aca="false">IFERROR(Q16/(COUNT(B16:P16)*14)*100,0)</f>
        <v>0</v>
      </c>
    </row>
    <row r="17" customFormat="false" ht="15" hidden="false" customHeight="false" outlineLevel="0" collapsed="false">
      <c r="A17" s="39" t="s">
        <v>280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40" t="s">
        <v>10</v>
      </c>
      <c r="O17" s="17"/>
      <c r="P17" s="17"/>
      <c r="Q17" s="41" t="n">
        <f aca="false">SUM(B17:P17)</f>
        <v>0</v>
      </c>
      <c r="R17" s="42" t="n">
        <f aca="false">IFERROR(Q17/(COUNT(B17:P17)*14)*100,0)</f>
        <v>0</v>
      </c>
    </row>
    <row r="18" customFormat="false" ht="15" hidden="false" customHeight="false" outlineLevel="0" collapsed="false">
      <c r="A18" s="39" t="s">
        <v>281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40" t="s">
        <v>10</v>
      </c>
      <c r="P18" s="16"/>
      <c r="Q18" s="41" t="n">
        <f aca="false">SUM(B18:P18)</f>
        <v>0</v>
      </c>
      <c r="R18" s="42" t="n">
        <f aca="false">IFERROR(Q18/(COUNT(B18:P18)*14)*100,0)</f>
        <v>0</v>
      </c>
    </row>
    <row r="19" customFormat="false" ht="15" hidden="false" customHeight="false" outlineLevel="0" collapsed="false">
      <c r="A19" s="39" t="s">
        <v>282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40" t="s">
        <v>10</v>
      </c>
      <c r="Q19" s="41" t="n">
        <f aca="false">SUM(B19:P19)</f>
        <v>0</v>
      </c>
      <c r="R19" s="42" t="n">
        <f aca="false">IFERROR(Q19/(COUNT(B19:P19)*14)*100,0)</f>
        <v>0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10" min="9" style="0" width="16"/>
    <col collapsed="false" customWidth="true" hidden="false" outlineLevel="0" max="11" min="11" style="0" width="18"/>
  </cols>
  <sheetData>
    <row r="1" customFormat="false" ht="33.75" hidden="false" customHeight="true" outlineLevel="0" collapsed="false">
      <c r="A1" s="43" t="s">
        <v>285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customFormat="false" ht="25.5" hidden="false" customHeight="true" outlineLevel="0" collapsed="false">
      <c r="A2" s="18" t="s">
        <v>286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customFormat="false" ht="35.05" hidden="false" customHeight="false" outlineLevel="0" collapsed="false">
      <c r="A3" s="44" t="s">
        <v>99</v>
      </c>
      <c r="B3" s="44" t="s">
        <v>100</v>
      </c>
      <c r="C3" s="44" t="s">
        <v>287</v>
      </c>
      <c r="D3" s="44" t="s">
        <v>288</v>
      </c>
      <c r="E3" s="44" t="s">
        <v>289</v>
      </c>
      <c r="F3" s="44" t="s">
        <v>284</v>
      </c>
      <c r="G3" s="44" t="s">
        <v>290</v>
      </c>
      <c r="H3" s="44" t="s">
        <v>291</v>
      </c>
      <c r="I3" s="44" t="s">
        <v>292</v>
      </c>
      <c r="J3" s="44" t="s">
        <v>293</v>
      </c>
      <c r="K3" s="44" t="s">
        <v>294</v>
      </c>
    </row>
    <row r="4" customFormat="false" ht="15" hidden="false" customHeight="false" outlineLevel="0" collapsed="false">
      <c r="A4" s="11" t="n">
        <v>1</v>
      </c>
      <c r="B4" s="16"/>
      <c r="C4" s="11" t="n">
        <f aca="false">IFERROR(COUNTIF('3. Pairwise Rankings'!B:B,B4),0)</f>
        <v>0</v>
      </c>
      <c r="D4" s="11" t="n">
        <f aca="false">IFERROR(COUNTIFS('3. Pairwise Rankings'!B:B,B4,'3. Pairwise Rankings'!G:G,"&lt;=2"),0)</f>
        <v>0</v>
      </c>
      <c r="E4" s="11" t="n">
        <f aca="false">IFERROR(COUNTIFS('3. Pairwise Rankings'!B:B,B4,'3. Pairwise Rankings'!G:G,"&gt;=4"),0)</f>
        <v>0</v>
      </c>
      <c r="F4" s="45" t="n">
        <f aca="false">IF(C4&gt;0,D4/C4*100,0)</f>
        <v>0</v>
      </c>
      <c r="G4" s="11" t="n">
        <f aca="false">IFERROR(SUMIF('3. Pairwise Rankings'!B:B,B4,'3. Pairwise Rankings'!H:H),0)</f>
        <v>0</v>
      </c>
      <c r="H4" s="25" t="n">
        <f aca="false">IFERROR(AVERAGEIF('3. Pairwise Rankings'!B:B,B4,'3. Pairwise Rankings'!G:G),0)</f>
        <v>0</v>
      </c>
      <c r="I4" s="25" t="n">
        <f aca="false">IF(C4&gt;0,G4/C4,0)</f>
        <v>0</v>
      </c>
      <c r="J4" s="25" t="n">
        <f aca="false">IFERROR((I4-AVERAGE($I$4:$I$33))/STDEV($I$4:$I$33),0)</f>
        <v>0</v>
      </c>
      <c r="K4" s="45" t="n">
        <f aca="false">IFERROR(IF(MAX($I$4:$I$33)-MIN($I$4:$I$33)&gt;0,(I4-MIN($I$4:$I$33))/(MAX($I$4:$I$33)-MIN($I$4:$I$33))*100,0),0)</f>
        <v>0</v>
      </c>
    </row>
    <row r="5" customFormat="false" ht="15" hidden="false" customHeight="false" outlineLevel="0" collapsed="false">
      <c r="A5" s="7" t="n">
        <v>2</v>
      </c>
      <c r="B5" s="17"/>
      <c r="C5" s="7" t="n">
        <f aca="false">IFERROR(COUNTIF('3. Pairwise Rankings'!B:B,B5),0)</f>
        <v>0</v>
      </c>
      <c r="D5" s="7" t="n">
        <f aca="false">IFERROR(COUNTIFS('3. Pairwise Rankings'!B:B,B5,'3. Pairwise Rankings'!G:G,"&lt;=2"),0)</f>
        <v>0</v>
      </c>
      <c r="E5" s="7" t="n">
        <f aca="false">IFERROR(COUNTIFS('3. Pairwise Rankings'!B:B,B5,'3. Pairwise Rankings'!G:G,"&gt;=4"),0)</f>
        <v>0</v>
      </c>
      <c r="F5" s="46" t="n">
        <f aca="false">IF(C5&gt;0,D5/C5*100,0)</f>
        <v>0</v>
      </c>
      <c r="G5" s="7" t="n">
        <f aca="false">IFERROR(SUMIF('3. Pairwise Rankings'!B:B,B5,'3. Pairwise Rankings'!H:H),0)</f>
        <v>0</v>
      </c>
      <c r="H5" s="26" t="n">
        <f aca="false">IFERROR(AVERAGEIF('3. Pairwise Rankings'!B:B,B5,'3. Pairwise Rankings'!G:G),0)</f>
        <v>0</v>
      </c>
      <c r="I5" s="26" t="n">
        <f aca="false">IF(C5&gt;0,G5/C5,0)</f>
        <v>0</v>
      </c>
      <c r="J5" s="26" t="n">
        <f aca="false">IFERROR((I5-AVERAGE($I$4:$I$33))/STDEV($I$4:$I$33),0)</f>
        <v>0</v>
      </c>
      <c r="K5" s="46" t="n">
        <f aca="false">IFERROR(IF(MAX($I$4:$I$33)-MIN($I$4:$I$33)&gt;0,(I5-MIN($I$4:$I$33))/(MAX($I$4:$I$33)-MIN($I$4:$I$33))*100,0),0)</f>
        <v>0</v>
      </c>
    </row>
    <row r="6" customFormat="false" ht="15" hidden="false" customHeight="false" outlineLevel="0" collapsed="false">
      <c r="A6" s="11" t="n">
        <v>3</v>
      </c>
      <c r="B6" s="16"/>
      <c r="C6" s="11" t="n">
        <f aca="false">IFERROR(COUNTIF('3. Pairwise Rankings'!B:B,B6),0)</f>
        <v>0</v>
      </c>
      <c r="D6" s="11" t="n">
        <f aca="false">IFERROR(COUNTIFS('3. Pairwise Rankings'!B:B,B6,'3. Pairwise Rankings'!G:G,"&lt;=2"),0)</f>
        <v>0</v>
      </c>
      <c r="E6" s="11" t="n">
        <f aca="false">IFERROR(COUNTIFS('3. Pairwise Rankings'!B:B,B6,'3. Pairwise Rankings'!G:G,"&gt;=4"),0)</f>
        <v>0</v>
      </c>
      <c r="F6" s="45" t="n">
        <f aca="false">IF(C6&gt;0,D6/C6*100,0)</f>
        <v>0</v>
      </c>
      <c r="G6" s="11" t="n">
        <f aca="false">IFERROR(SUMIF('3. Pairwise Rankings'!B:B,B6,'3. Pairwise Rankings'!H:H),0)</f>
        <v>0</v>
      </c>
      <c r="H6" s="25" t="n">
        <f aca="false">IFERROR(AVERAGEIF('3. Pairwise Rankings'!B:B,B6,'3. Pairwise Rankings'!G:G),0)</f>
        <v>0</v>
      </c>
      <c r="I6" s="25" t="n">
        <f aca="false">IF(C6&gt;0,G6/C6,0)</f>
        <v>0</v>
      </c>
      <c r="J6" s="25" t="n">
        <f aca="false">IFERROR((I6-AVERAGE($I$4:$I$33))/STDEV($I$4:$I$33),0)</f>
        <v>0</v>
      </c>
      <c r="K6" s="45" t="n">
        <f aca="false">IFERROR(IF(MAX($I$4:$I$33)-MIN($I$4:$I$33)&gt;0,(I6-MIN($I$4:$I$33))/(MAX($I$4:$I$33)-MIN($I$4:$I$33))*100,0),0)</f>
        <v>0</v>
      </c>
    </row>
    <row r="7" customFormat="false" ht="15" hidden="false" customHeight="false" outlineLevel="0" collapsed="false">
      <c r="A7" s="7" t="n">
        <v>4</v>
      </c>
      <c r="B7" s="17"/>
      <c r="C7" s="7" t="n">
        <f aca="false">IFERROR(COUNTIF('3. Pairwise Rankings'!B:B,B7),0)</f>
        <v>0</v>
      </c>
      <c r="D7" s="7" t="n">
        <f aca="false">IFERROR(COUNTIFS('3. Pairwise Rankings'!B:B,B7,'3. Pairwise Rankings'!G:G,"&lt;=2"),0)</f>
        <v>0</v>
      </c>
      <c r="E7" s="7" t="n">
        <f aca="false">IFERROR(COUNTIFS('3. Pairwise Rankings'!B:B,B7,'3. Pairwise Rankings'!G:G,"&gt;=4"),0)</f>
        <v>0</v>
      </c>
      <c r="F7" s="46" t="n">
        <f aca="false">IF(C7&gt;0,D7/C7*100,0)</f>
        <v>0</v>
      </c>
      <c r="G7" s="7" t="n">
        <f aca="false">IFERROR(SUMIF('3. Pairwise Rankings'!B:B,B7,'3. Pairwise Rankings'!H:H),0)</f>
        <v>0</v>
      </c>
      <c r="H7" s="26" t="n">
        <f aca="false">IFERROR(AVERAGEIF('3. Pairwise Rankings'!B:B,B7,'3. Pairwise Rankings'!G:G),0)</f>
        <v>0</v>
      </c>
      <c r="I7" s="26" t="n">
        <f aca="false">IF(C7&gt;0,G7/C7,0)</f>
        <v>0</v>
      </c>
      <c r="J7" s="26" t="n">
        <f aca="false">IFERROR((I7-AVERAGE($I$4:$I$33))/STDEV($I$4:$I$33),0)</f>
        <v>0</v>
      </c>
      <c r="K7" s="46" t="n">
        <f aca="false">IFERROR(IF(MAX($I$4:$I$33)-MIN($I$4:$I$33)&gt;0,(I7-MIN($I$4:$I$33))/(MAX($I$4:$I$33)-MIN($I$4:$I$33))*100,0),0)</f>
        <v>0</v>
      </c>
    </row>
    <row r="8" customFormat="false" ht="15" hidden="false" customHeight="false" outlineLevel="0" collapsed="false">
      <c r="A8" s="11" t="n">
        <v>5</v>
      </c>
      <c r="B8" s="16"/>
      <c r="C8" s="11" t="n">
        <f aca="false">IFERROR(COUNTIF('3. Pairwise Rankings'!B:B,B8),0)</f>
        <v>0</v>
      </c>
      <c r="D8" s="11" t="n">
        <f aca="false">IFERROR(COUNTIFS('3. Pairwise Rankings'!B:B,B8,'3. Pairwise Rankings'!G:G,"&lt;=2"),0)</f>
        <v>0</v>
      </c>
      <c r="E8" s="11" t="n">
        <f aca="false">IFERROR(COUNTIFS('3. Pairwise Rankings'!B:B,B8,'3. Pairwise Rankings'!G:G,"&gt;=4"),0)</f>
        <v>0</v>
      </c>
      <c r="F8" s="45" t="n">
        <f aca="false">IF(C8&gt;0,D8/C8*100,0)</f>
        <v>0</v>
      </c>
      <c r="G8" s="11" t="n">
        <f aca="false">IFERROR(SUMIF('3. Pairwise Rankings'!B:B,B8,'3. Pairwise Rankings'!H:H),0)</f>
        <v>0</v>
      </c>
      <c r="H8" s="25" t="n">
        <f aca="false">IFERROR(AVERAGEIF('3. Pairwise Rankings'!B:B,B8,'3. Pairwise Rankings'!G:G),0)</f>
        <v>0</v>
      </c>
      <c r="I8" s="25" t="n">
        <f aca="false">IF(C8&gt;0,G8/C8,0)</f>
        <v>0</v>
      </c>
      <c r="J8" s="25" t="n">
        <f aca="false">IFERROR((I8-AVERAGE($I$4:$I$33))/STDEV($I$4:$I$33),0)</f>
        <v>0</v>
      </c>
      <c r="K8" s="45" t="n">
        <f aca="false">IFERROR(IF(MAX($I$4:$I$33)-MIN($I$4:$I$33)&gt;0,(I8-MIN($I$4:$I$33))/(MAX($I$4:$I$33)-MIN($I$4:$I$33))*100,0),0)</f>
        <v>0</v>
      </c>
    </row>
    <row r="9" customFormat="false" ht="15" hidden="false" customHeight="false" outlineLevel="0" collapsed="false">
      <c r="A9" s="7" t="n">
        <v>6</v>
      </c>
      <c r="B9" s="17"/>
      <c r="C9" s="7" t="n">
        <f aca="false">IFERROR(COUNTIF('3. Pairwise Rankings'!B:B,B9),0)</f>
        <v>0</v>
      </c>
      <c r="D9" s="7" t="n">
        <f aca="false">IFERROR(COUNTIFS('3. Pairwise Rankings'!B:B,B9,'3. Pairwise Rankings'!G:G,"&lt;=2"),0)</f>
        <v>0</v>
      </c>
      <c r="E9" s="7" t="n">
        <f aca="false">IFERROR(COUNTIFS('3. Pairwise Rankings'!B:B,B9,'3. Pairwise Rankings'!G:G,"&gt;=4"),0)</f>
        <v>0</v>
      </c>
      <c r="F9" s="46" t="n">
        <f aca="false">IF(C9&gt;0,D9/C9*100,0)</f>
        <v>0</v>
      </c>
      <c r="G9" s="7" t="n">
        <f aca="false">IFERROR(SUMIF('3. Pairwise Rankings'!B:B,B9,'3. Pairwise Rankings'!H:H),0)</f>
        <v>0</v>
      </c>
      <c r="H9" s="26" t="n">
        <f aca="false">IFERROR(AVERAGEIF('3. Pairwise Rankings'!B:B,B9,'3. Pairwise Rankings'!G:G),0)</f>
        <v>0</v>
      </c>
      <c r="I9" s="26" t="n">
        <f aca="false">IF(C9&gt;0,G9/C9,0)</f>
        <v>0</v>
      </c>
      <c r="J9" s="26" t="n">
        <f aca="false">IFERROR((I9-AVERAGE($I$4:$I$33))/STDEV($I$4:$I$33),0)</f>
        <v>0</v>
      </c>
      <c r="K9" s="46" t="n">
        <f aca="false">IFERROR(IF(MAX($I$4:$I$33)-MIN($I$4:$I$33)&gt;0,(I9-MIN($I$4:$I$33))/(MAX($I$4:$I$33)-MIN($I$4:$I$33))*100,0),0)</f>
        <v>0</v>
      </c>
    </row>
    <row r="10" customFormat="false" ht="15" hidden="false" customHeight="false" outlineLevel="0" collapsed="false">
      <c r="A10" s="11" t="n">
        <v>7</v>
      </c>
      <c r="B10" s="16"/>
      <c r="C10" s="11" t="n">
        <f aca="false">IFERROR(COUNTIF('3. Pairwise Rankings'!B:B,B10),0)</f>
        <v>0</v>
      </c>
      <c r="D10" s="11" t="n">
        <f aca="false">IFERROR(COUNTIFS('3. Pairwise Rankings'!B:B,B10,'3. Pairwise Rankings'!G:G,"&lt;=2"),0)</f>
        <v>0</v>
      </c>
      <c r="E10" s="11" t="n">
        <f aca="false">IFERROR(COUNTIFS('3. Pairwise Rankings'!B:B,B10,'3. Pairwise Rankings'!G:G,"&gt;=4"),0)</f>
        <v>0</v>
      </c>
      <c r="F10" s="45" t="n">
        <f aca="false">IF(C10&gt;0,D10/C10*100,0)</f>
        <v>0</v>
      </c>
      <c r="G10" s="11" t="n">
        <f aca="false">IFERROR(SUMIF('3. Pairwise Rankings'!B:B,B10,'3. Pairwise Rankings'!H:H),0)</f>
        <v>0</v>
      </c>
      <c r="H10" s="25" t="n">
        <f aca="false">IFERROR(AVERAGEIF('3. Pairwise Rankings'!B:B,B10,'3. Pairwise Rankings'!G:G),0)</f>
        <v>0</v>
      </c>
      <c r="I10" s="25" t="n">
        <f aca="false">IF(C10&gt;0,G10/C10,0)</f>
        <v>0</v>
      </c>
      <c r="J10" s="25" t="n">
        <f aca="false">IFERROR((I10-AVERAGE($I$4:$I$33))/STDEV($I$4:$I$33),0)</f>
        <v>0</v>
      </c>
      <c r="K10" s="45" t="n">
        <f aca="false">IFERROR(IF(MAX($I$4:$I$33)-MIN($I$4:$I$33)&gt;0,(I10-MIN($I$4:$I$33))/(MAX($I$4:$I$33)-MIN($I$4:$I$33))*100,0),0)</f>
        <v>0</v>
      </c>
    </row>
    <row r="11" customFormat="false" ht="15" hidden="false" customHeight="false" outlineLevel="0" collapsed="false">
      <c r="A11" s="7" t="n">
        <v>8</v>
      </c>
      <c r="B11" s="17"/>
      <c r="C11" s="7" t="n">
        <f aca="false">IFERROR(COUNTIF('3. Pairwise Rankings'!B:B,B11),0)</f>
        <v>0</v>
      </c>
      <c r="D11" s="7" t="n">
        <f aca="false">IFERROR(COUNTIFS('3. Pairwise Rankings'!B:B,B11,'3. Pairwise Rankings'!G:G,"&lt;=2"),0)</f>
        <v>0</v>
      </c>
      <c r="E11" s="7" t="n">
        <f aca="false">IFERROR(COUNTIFS('3. Pairwise Rankings'!B:B,B11,'3. Pairwise Rankings'!G:G,"&gt;=4"),0)</f>
        <v>0</v>
      </c>
      <c r="F11" s="46" t="n">
        <f aca="false">IF(C11&gt;0,D11/C11*100,0)</f>
        <v>0</v>
      </c>
      <c r="G11" s="7" t="n">
        <f aca="false">IFERROR(SUMIF('3. Pairwise Rankings'!B:B,B11,'3. Pairwise Rankings'!H:H),0)</f>
        <v>0</v>
      </c>
      <c r="H11" s="26" t="n">
        <f aca="false">IFERROR(AVERAGEIF('3. Pairwise Rankings'!B:B,B11,'3. Pairwise Rankings'!G:G),0)</f>
        <v>0</v>
      </c>
      <c r="I11" s="26" t="n">
        <f aca="false">IF(C11&gt;0,G11/C11,0)</f>
        <v>0</v>
      </c>
      <c r="J11" s="26" t="n">
        <f aca="false">IFERROR((I11-AVERAGE($I$4:$I$33))/STDEV($I$4:$I$33),0)</f>
        <v>0</v>
      </c>
      <c r="K11" s="46" t="n">
        <f aca="false">IFERROR(IF(MAX($I$4:$I$33)-MIN($I$4:$I$33)&gt;0,(I11-MIN($I$4:$I$33))/(MAX($I$4:$I$33)-MIN($I$4:$I$33))*100,0),0)</f>
        <v>0</v>
      </c>
    </row>
    <row r="12" customFormat="false" ht="15" hidden="false" customHeight="false" outlineLevel="0" collapsed="false">
      <c r="A12" s="11" t="n">
        <v>9</v>
      </c>
      <c r="B12" s="16"/>
      <c r="C12" s="11" t="n">
        <f aca="false">IFERROR(COUNTIF('3. Pairwise Rankings'!B:B,B12),0)</f>
        <v>0</v>
      </c>
      <c r="D12" s="11" t="n">
        <f aca="false">IFERROR(COUNTIFS('3. Pairwise Rankings'!B:B,B12,'3. Pairwise Rankings'!G:G,"&lt;=2"),0)</f>
        <v>0</v>
      </c>
      <c r="E12" s="11" t="n">
        <f aca="false">IFERROR(COUNTIFS('3. Pairwise Rankings'!B:B,B12,'3. Pairwise Rankings'!G:G,"&gt;=4"),0)</f>
        <v>0</v>
      </c>
      <c r="F12" s="45" t="n">
        <f aca="false">IF(C12&gt;0,D12/C12*100,0)</f>
        <v>0</v>
      </c>
      <c r="G12" s="11" t="n">
        <f aca="false">IFERROR(SUMIF('3. Pairwise Rankings'!B:B,B12,'3. Pairwise Rankings'!H:H),0)</f>
        <v>0</v>
      </c>
      <c r="H12" s="25" t="n">
        <f aca="false">IFERROR(AVERAGEIF('3. Pairwise Rankings'!B:B,B12,'3. Pairwise Rankings'!G:G),0)</f>
        <v>0</v>
      </c>
      <c r="I12" s="25" t="n">
        <f aca="false">IF(C12&gt;0,G12/C12,0)</f>
        <v>0</v>
      </c>
      <c r="J12" s="25" t="n">
        <f aca="false">IFERROR((I12-AVERAGE($I$4:$I$33))/STDEV($I$4:$I$33),0)</f>
        <v>0</v>
      </c>
      <c r="K12" s="45" t="n">
        <f aca="false">IFERROR(IF(MAX($I$4:$I$33)-MIN($I$4:$I$33)&gt;0,(I12-MIN($I$4:$I$33))/(MAX($I$4:$I$33)-MIN($I$4:$I$33))*100,0),0)</f>
        <v>0</v>
      </c>
    </row>
    <row r="13" customFormat="false" ht="15" hidden="false" customHeight="false" outlineLevel="0" collapsed="false">
      <c r="A13" s="7" t="n">
        <v>10</v>
      </c>
      <c r="B13" s="17"/>
      <c r="C13" s="7" t="n">
        <f aca="false">IFERROR(COUNTIF('3. Pairwise Rankings'!B:B,B13),0)</f>
        <v>0</v>
      </c>
      <c r="D13" s="7" t="n">
        <f aca="false">IFERROR(COUNTIFS('3. Pairwise Rankings'!B:B,B13,'3. Pairwise Rankings'!G:G,"&lt;=2"),0)</f>
        <v>0</v>
      </c>
      <c r="E13" s="7" t="n">
        <f aca="false">IFERROR(COUNTIFS('3. Pairwise Rankings'!B:B,B13,'3. Pairwise Rankings'!G:G,"&gt;=4"),0)</f>
        <v>0</v>
      </c>
      <c r="F13" s="46" t="n">
        <f aca="false">IF(C13&gt;0,D13/C13*100,0)</f>
        <v>0</v>
      </c>
      <c r="G13" s="7" t="n">
        <f aca="false">IFERROR(SUMIF('3. Pairwise Rankings'!B:B,B13,'3. Pairwise Rankings'!H:H),0)</f>
        <v>0</v>
      </c>
      <c r="H13" s="26" t="n">
        <f aca="false">IFERROR(AVERAGEIF('3. Pairwise Rankings'!B:B,B13,'3. Pairwise Rankings'!G:G),0)</f>
        <v>0</v>
      </c>
      <c r="I13" s="26" t="n">
        <f aca="false">IF(C13&gt;0,G13/C13,0)</f>
        <v>0</v>
      </c>
      <c r="J13" s="26" t="n">
        <f aca="false">IFERROR((I13-AVERAGE($I$4:$I$33))/STDEV($I$4:$I$33),0)</f>
        <v>0</v>
      </c>
      <c r="K13" s="46" t="n">
        <f aca="false">IFERROR(IF(MAX($I$4:$I$33)-MIN($I$4:$I$33)&gt;0,(I13-MIN($I$4:$I$33))/(MAX($I$4:$I$33)-MIN($I$4:$I$33))*100,0),0)</f>
        <v>0</v>
      </c>
    </row>
    <row r="14" customFormat="false" ht="15" hidden="false" customHeight="false" outlineLevel="0" collapsed="false">
      <c r="A14" s="11" t="n">
        <v>11</v>
      </c>
      <c r="B14" s="16"/>
      <c r="C14" s="11" t="n">
        <f aca="false">IFERROR(COUNTIF('3. Pairwise Rankings'!B:B,B14),0)</f>
        <v>0</v>
      </c>
      <c r="D14" s="11" t="n">
        <f aca="false">IFERROR(COUNTIFS('3. Pairwise Rankings'!B:B,B14,'3. Pairwise Rankings'!G:G,"&lt;=2"),0)</f>
        <v>0</v>
      </c>
      <c r="E14" s="11" t="n">
        <f aca="false">IFERROR(COUNTIFS('3. Pairwise Rankings'!B:B,B14,'3. Pairwise Rankings'!G:G,"&gt;=4"),0)</f>
        <v>0</v>
      </c>
      <c r="F14" s="45" t="n">
        <f aca="false">IF(C14&gt;0,D14/C14*100,0)</f>
        <v>0</v>
      </c>
      <c r="G14" s="11" t="n">
        <f aca="false">IFERROR(SUMIF('3. Pairwise Rankings'!B:B,B14,'3. Pairwise Rankings'!H:H),0)</f>
        <v>0</v>
      </c>
      <c r="H14" s="25" t="n">
        <f aca="false">IFERROR(AVERAGEIF('3. Pairwise Rankings'!B:B,B14,'3. Pairwise Rankings'!G:G),0)</f>
        <v>0</v>
      </c>
      <c r="I14" s="25" t="n">
        <f aca="false">IF(C14&gt;0,G14/C14,0)</f>
        <v>0</v>
      </c>
      <c r="J14" s="25" t="n">
        <f aca="false">IFERROR((I14-AVERAGE($I$4:$I$33))/STDEV($I$4:$I$33),0)</f>
        <v>0</v>
      </c>
      <c r="K14" s="45" t="n">
        <f aca="false">IFERROR(IF(MAX($I$4:$I$33)-MIN($I$4:$I$33)&gt;0,(I14-MIN($I$4:$I$33))/(MAX($I$4:$I$33)-MIN($I$4:$I$33))*100,0),0)</f>
        <v>0</v>
      </c>
    </row>
    <row r="15" customFormat="false" ht="15" hidden="false" customHeight="false" outlineLevel="0" collapsed="false">
      <c r="A15" s="7" t="n">
        <v>12</v>
      </c>
      <c r="B15" s="17"/>
      <c r="C15" s="7" t="n">
        <f aca="false">IFERROR(COUNTIF('3. Pairwise Rankings'!B:B,B15),0)</f>
        <v>0</v>
      </c>
      <c r="D15" s="7" t="n">
        <f aca="false">IFERROR(COUNTIFS('3. Pairwise Rankings'!B:B,B15,'3. Pairwise Rankings'!G:G,"&lt;=2"),0)</f>
        <v>0</v>
      </c>
      <c r="E15" s="7" t="n">
        <f aca="false">IFERROR(COUNTIFS('3. Pairwise Rankings'!B:B,B15,'3. Pairwise Rankings'!G:G,"&gt;=4"),0)</f>
        <v>0</v>
      </c>
      <c r="F15" s="46" t="n">
        <f aca="false">IF(C15&gt;0,D15/C15*100,0)</f>
        <v>0</v>
      </c>
      <c r="G15" s="7" t="n">
        <f aca="false">IFERROR(SUMIF('3. Pairwise Rankings'!B:B,B15,'3. Pairwise Rankings'!H:H),0)</f>
        <v>0</v>
      </c>
      <c r="H15" s="26" t="n">
        <f aca="false">IFERROR(AVERAGEIF('3. Pairwise Rankings'!B:B,B15,'3. Pairwise Rankings'!G:G),0)</f>
        <v>0</v>
      </c>
      <c r="I15" s="26" t="n">
        <f aca="false">IF(C15&gt;0,G15/C15,0)</f>
        <v>0</v>
      </c>
      <c r="J15" s="26" t="n">
        <f aca="false">IFERROR((I15-AVERAGE($I$4:$I$33))/STDEV($I$4:$I$33),0)</f>
        <v>0</v>
      </c>
      <c r="K15" s="46" t="n">
        <f aca="false">IFERROR(IF(MAX($I$4:$I$33)-MIN($I$4:$I$33)&gt;0,(I15-MIN($I$4:$I$33))/(MAX($I$4:$I$33)-MIN($I$4:$I$33))*100,0),0)</f>
        <v>0</v>
      </c>
    </row>
    <row r="16" customFormat="false" ht="15" hidden="false" customHeight="false" outlineLevel="0" collapsed="false">
      <c r="A16" s="11" t="n">
        <v>13</v>
      </c>
      <c r="B16" s="16"/>
      <c r="C16" s="11" t="n">
        <f aca="false">IFERROR(COUNTIF('3. Pairwise Rankings'!B:B,B16),0)</f>
        <v>0</v>
      </c>
      <c r="D16" s="11" t="n">
        <f aca="false">IFERROR(COUNTIFS('3. Pairwise Rankings'!B:B,B16,'3. Pairwise Rankings'!G:G,"&lt;=2"),0)</f>
        <v>0</v>
      </c>
      <c r="E16" s="11" t="n">
        <f aca="false">IFERROR(COUNTIFS('3. Pairwise Rankings'!B:B,B16,'3. Pairwise Rankings'!G:G,"&gt;=4"),0)</f>
        <v>0</v>
      </c>
      <c r="F16" s="45" t="n">
        <f aca="false">IF(C16&gt;0,D16/C16*100,0)</f>
        <v>0</v>
      </c>
      <c r="G16" s="11" t="n">
        <f aca="false">IFERROR(SUMIF('3. Pairwise Rankings'!B:B,B16,'3. Pairwise Rankings'!H:H),0)</f>
        <v>0</v>
      </c>
      <c r="H16" s="25" t="n">
        <f aca="false">IFERROR(AVERAGEIF('3. Pairwise Rankings'!B:B,B16,'3. Pairwise Rankings'!G:G),0)</f>
        <v>0</v>
      </c>
      <c r="I16" s="25" t="n">
        <f aca="false">IF(C16&gt;0,G16/C16,0)</f>
        <v>0</v>
      </c>
      <c r="J16" s="25" t="n">
        <f aca="false">IFERROR((I16-AVERAGE($I$4:$I$33))/STDEV($I$4:$I$33),0)</f>
        <v>0</v>
      </c>
      <c r="K16" s="45" t="n">
        <f aca="false">IFERROR(IF(MAX($I$4:$I$33)-MIN($I$4:$I$33)&gt;0,(I16-MIN($I$4:$I$33))/(MAX($I$4:$I$33)-MIN($I$4:$I$33))*100,0),0)</f>
        <v>0</v>
      </c>
    </row>
    <row r="17" customFormat="false" ht="15" hidden="false" customHeight="false" outlineLevel="0" collapsed="false">
      <c r="A17" s="7" t="n">
        <v>14</v>
      </c>
      <c r="B17" s="17"/>
      <c r="C17" s="7" t="n">
        <f aca="false">IFERROR(COUNTIF('3. Pairwise Rankings'!B:B,B17),0)</f>
        <v>0</v>
      </c>
      <c r="D17" s="7" t="n">
        <f aca="false">IFERROR(COUNTIFS('3. Pairwise Rankings'!B:B,B17,'3. Pairwise Rankings'!G:G,"&lt;=2"),0)</f>
        <v>0</v>
      </c>
      <c r="E17" s="7" t="n">
        <f aca="false">IFERROR(COUNTIFS('3. Pairwise Rankings'!B:B,B17,'3. Pairwise Rankings'!G:G,"&gt;=4"),0)</f>
        <v>0</v>
      </c>
      <c r="F17" s="46" t="n">
        <f aca="false">IF(C17&gt;0,D17/C17*100,0)</f>
        <v>0</v>
      </c>
      <c r="G17" s="7" t="n">
        <f aca="false">IFERROR(SUMIF('3. Pairwise Rankings'!B:B,B17,'3. Pairwise Rankings'!H:H),0)</f>
        <v>0</v>
      </c>
      <c r="H17" s="26" t="n">
        <f aca="false">IFERROR(AVERAGEIF('3. Pairwise Rankings'!B:B,B17,'3. Pairwise Rankings'!G:G),0)</f>
        <v>0</v>
      </c>
      <c r="I17" s="26" t="n">
        <f aca="false">IF(C17&gt;0,G17/C17,0)</f>
        <v>0</v>
      </c>
      <c r="J17" s="26" t="n">
        <f aca="false">IFERROR((I17-AVERAGE($I$4:$I$33))/STDEV($I$4:$I$33),0)</f>
        <v>0</v>
      </c>
      <c r="K17" s="46" t="n">
        <f aca="false">IFERROR(IF(MAX($I$4:$I$33)-MIN($I$4:$I$33)&gt;0,(I17-MIN($I$4:$I$33))/(MAX($I$4:$I$33)-MIN($I$4:$I$33))*100,0),0)</f>
        <v>0</v>
      </c>
    </row>
    <row r="18" customFormat="false" ht="15" hidden="false" customHeight="false" outlineLevel="0" collapsed="false">
      <c r="A18" s="11" t="n">
        <v>15</v>
      </c>
      <c r="B18" s="16"/>
      <c r="C18" s="11" t="n">
        <f aca="false">IFERROR(COUNTIF('3. Pairwise Rankings'!B:B,B18),0)</f>
        <v>0</v>
      </c>
      <c r="D18" s="11" t="n">
        <f aca="false">IFERROR(COUNTIFS('3. Pairwise Rankings'!B:B,B18,'3. Pairwise Rankings'!G:G,"&lt;=2"),0)</f>
        <v>0</v>
      </c>
      <c r="E18" s="11" t="n">
        <f aca="false">IFERROR(COUNTIFS('3. Pairwise Rankings'!B:B,B18,'3. Pairwise Rankings'!G:G,"&gt;=4"),0)</f>
        <v>0</v>
      </c>
      <c r="F18" s="45" t="n">
        <f aca="false">IF(C18&gt;0,D18/C18*100,0)</f>
        <v>0</v>
      </c>
      <c r="G18" s="11" t="n">
        <f aca="false">IFERROR(SUMIF('3. Pairwise Rankings'!B:B,B18,'3. Pairwise Rankings'!H:H),0)</f>
        <v>0</v>
      </c>
      <c r="H18" s="25" t="n">
        <f aca="false">IFERROR(AVERAGEIF('3. Pairwise Rankings'!B:B,B18,'3. Pairwise Rankings'!G:G),0)</f>
        <v>0</v>
      </c>
      <c r="I18" s="25" t="n">
        <f aca="false">IF(C18&gt;0,G18/C18,0)</f>
        <v>0</v>
      </c>
      <c r="J18" s="25" t="n">
        <f aca="false">IFERROR((I18-AVERAGE($I$4:$I$33))/STDEV($I$4:$I$33),0)</f>
        <v>0</v>
      </c>
      <c r="K18" s="45" t="n">
        <f aca="false">IFERROR(IF(MAX($I$4:$I$33)-MIN($I$4:$I$33)&gt;0,(I18-MIN($I$4:$I$33))/(MAX($I$4:$I$33)-MIN($I$4:$I$33))*100,0),0)</f>
        <v>0</v>
      </c>
    </row>
    <row r="19" customFormat="false" ht="15" hidden="false" customHeight="false" outlineLevel="0" collapsed="false">
      <c r="A19" s="7" t="n">
        <v>16</v>
      </c>
      <c r="B19" s="17"/>
      <c r="C19" s="7" t="n">
        <f aca="false">IFERROR(COUNTIF('3. Pairwise Rankings'!B:B,B19),0)</f>
        <v>0</v>
      </c>
      <c r="D19" s="7" t="n">
        <f aca="false">IFERROR(COUNTIFS('3. Pairwise Rankings'!B:B,B19,'3. Pairwise Rankings'!G:G,"&lt;=2"),0)</f>
        <v>0</v>
      </c>
      <c r="E19" s="7" t="n">
        <f aca="false">IFERROR(COUNTIFS('3. Pairwise Rankings'!B:B,B19,'3. Pairwise Rankings'!G:G,"&gt;=4"),0)</f>
        <v>0</v>
      </c>
      <c r="F19" s="46" t="n">
        <f aca="false">IF(C19&gt;0,D19/C19*100,0)</f>
        <v>0</v>
      </c>
      <c r="G19" s="7" t="n">
        <f aca="false">IFERROR(SUMIF('3. Pairwise Rankings'!B:B,B19,'3. Pairwise Rankings'!H:H),0)</f>
        <v>0</v>
      </c>
      <c r="H19" s="26" t="n">
        <f aca="false">IFERROR(AVERAGEIF('3. Pairwise Rankings'!B:B,B19,'3. Pairwise Rankings'!G:G),0)</f>
        <v>0</v>
      </c>
      <c r="I19" s="26" t="n">
        <f aca="false">IF(C19&gt;0,G19/C19,0)</f>
        <v>0</v>
      </c>
      <c r="J19" s="26" t="n">
        <f aca="false">IFERROR((I19-AVERAGE($I$4:$I$33))/STDEV($I$4:$I$33),0)</f>
        <v>0</v>
      </c>
      <c r="K19" s="46" t="n">
        <f aca="false">IFERROR(IF(MAX($I$4:$I$33)-MIN($I$4:$I$33)&gt;0,(I19-MIN($I$4:$I$33))/(MAX($I$4:$I$33)-MIN($I$4:$I$33))*100,0),0)</f>
        <v>0</v>
      </c>
    </row>
    <row r="20" customFormat="false" ht="15" hidden="false" customHeight="false" outlineLevel="0" collapsed="false">
      <c r="A20" s="11" t="n">
        <v>17</v>
      </c>
      <c r="B20" s="16"/>
      <c r="C20" s="11" t="n">
        <f aca="false">IFERROR(COUNTIF('3. Pairwise Rankings'!B:B,B20),0)</f>
        <v>0</v>
      </c>
      <c r="D20" s="11" t="n">
        <f aca="false">IFERROR(COUNTIFS('3. Pairwise Rankings'!B:B,B20,'3. Pairwise Rankings'!G:G,"&lt;=2"),0)</f>
        <v>0</v>
      </c>
      <c r="E20" s="11" t="n">
        <f aca="false">IFERROR(COUNTIFS('3. Pairwise Rankings'!B:B,B20,'3. Pairwise Rankings'!G:G,"&gt;=4"),0)</f>
        <v>0</v>
      </c>
      <c r="F20" s="45" t="n">
        <f aca="false">IF(C20&gt;0,D20/C20*100,0)</f>
        <v>0</v>
      </c>
      <c r="G20" s="11" t="n">
        <f aca="false">IFERROR(SUMIF('3. Pairwise Rankings'!B:B,B20,'3. Pairwise Rankings'!H:H),0)</f>
        <v>0</v>
      </c>
      <c r="H20" s="25" t="n">
        <f aca="false">IFERROR(AVERAGEIF('3. Pairwise Rankings'!B:B,B20,'3. Pairwise Rankings'!G:G),0)</f>
        <v>0</v>
      </c>
      <c r="I20" s="25" t="n">
        <f aca="false">IF(C20&gt;0,G20/C20,0)</f>
        <v>0</v>
      </c>
      <c r="J20" s="25" t="n">
        <f aca="false">IFERROR((I20-AVERAGE($I$4:$I$33))/STDEV($I$4:$I$33),0)</f>
        <v>0</v>
      </c>
      <c r="K20" s="45" t="n">
        <f aca="false">IFERROR(IF(MAX($I$4:$I$33)-MIN($I$4:$I$33)&gt;0,(I20-MIN($I$4:$I$33))/(MAX($I$4:$I$33)-MIN($I$4:$I$33))*100,0),0)</f>
        <v>0</v>
      </c>
    </row>
    <row r="21" customFormat="false" ht="15" hidden="false" customHeight="false" outlineLevel="0" collapsed="false">
      <c r="A21" s="7" t="n">
        <v>18</v>
      </c>
      <c r="B21" s="17"/>
      <c r="C21" s="7" t="n">
        <f aca="false">IFERROR(COUNTIF('3. Pairwise Rankings'!B:B,B21),0)</f>
        <v>0</v>
      </c>
      <c r="D21" s="7" t="n">
        <f aca="false">IFERROR(COUNTIFS('3. Pairwise Rankings'!B:B,B21,'3. Pairwise Rankings'!G:G,"&lt;=2"),0)</f>
        <v>0</v>
      </c>
      <c r="E21" s="7" t="n">
        <f aca="false">IFERROR(COUNTIFS('3. Pairwise Rankings'!B:B,B21,'3. Pairwise Rankings'!G:G,"&gt;=4"),0)</f>
        <v>0</v>
      </c>
      <c r="F21" s="46" t="n">
        <f aca="false">IF(C21&gt;0,D21/C21*100,0)</f>
        <v>0</v>
      </c>
      <c r="G21" s="7" t="n">
        <f aca="false">IFERROR(SUMIF('3. Pairwise Rankings'!B:B,B21,'3. Pairwise Rankings'!H:H),0)</f>
        <v>0</v>
      </c>
      <c r="H21" s="26" t="n">
        <f aca="false">IFERROR(AVERAGEIF('3. Pairwise Rankings'!B:B,B21,'3. Pairwise Rankings'!G:G),0)</f>
        <v>0</v>
      </c>
      <c r="I21" s="26" t="n">
        <f aca="false">IF(C21&gt;0,G21/C21,0)</f>
        <v>0</v>
      </c>
      <c r="J21" s="26" t="n">
        <f aca="false">IFERROR((I21-AVERAGE($I$4:$I$33))/STDEV($I$4:$I$33),0)</f>
        <v>0</v>
      </c>
      <c r="K21" s="46" t="n">
        <f aca="false">IFERROR(IF(MAX($I$4:$I$33)-MIN($I$4:$I$33)&gt;0,(I21-MIN($I$4:$I$33))/(MAX($I$4:$I$33)-MIN($I$4:$I$33))*100,0),0)</f>
        <v>0</v>
      </c>
    </row>
    <row r="22" customFormat="false" ht="15" hidden="false" customHeight="false" outlineLevel="0" collapsed="false">
      <c r="A22" s="11" t="n">
        <v>19</v>
      </c>
      <c r="B22" s="16"/>
      <c r="C22" s="11" t="n">
        <f aca="false">IFERROR(COUNTIF('3. Pairwise Rankings'!B:B,B22),0)</f>
        <v>0</v>
      </c>
      <c r="D22" s="11" t="n">
        <f aca="false">IFERROR(COUNTIFS('3. Pairwise Rankings'!B:B,B22,'3. Pairwise Rankings'!G:G,"&lt;=2"),0)</f>
        <v>0</v>
      </c>
      <c r="E22" s="11" t="n">
        <f aca="false">IFERROR(COUNTIFS('3. Pairwise Rankings'!B:B,B22,'3. Pairwise Rankings'!G:G,"&gt;=4"),0)</f>
        <v>0</v>
      </c>
      <c r="F22" s="45" t="n">
        <f aca="false">IF(C22&gt;0,D22/C22*100,0)</f>
        <v>0</v>
      </c>
      <c r="G22" s="11" t="n">
        <f aca="false">IFERROR(SUMIF('3. Pairwise Rankings'!B:B,B22,'3. Pairwise Rankings'!H:H),0)</f>
        <v>0</v>
      </c>
      <c r="H22" s="25" t="n">
        <f aca="false">IFERROR(AVERAGEIF('3. Pairwise Rankings'!B:B,B22,'3. Pairwise Rankings'!G:G),0)</f>
        <v>0</v>
      </c>
      <c r="I22" s="25" t="n">
        <f aca="false">IF(C22&gt;0,G22/C22,0)</f>
        <v>0</v>
      </c>
      <c r="J22" s="25" t="n">
        <f aca="false">IFERROR((I22-AVERAGE($I$4:$I$33))/STDEV($I$4:$I$33),0)</f>
        <v>0</v>
      </c>
      <c r="K22" s="45" t="n">
        <f aca="false">IFERROR(IF(MAX($I$4:$I$33)-MIN($I$4:$I$33)&gt;0,(I22-MIN($I$4:$I$33))/(MAX($I$4:$I$33)-MIN($I$4:$I$33))*100,0),0)</f>
        <v>0</v>
      </c>
    </row>
    <row r="23" customFormat="false" ht="15" hidden="false" customHeight="false" outlineLevel="0" collapsed="false">
      <c r="A23" s="7" t="n">
        <v>20</v>
      </c>
      <c r="B23" s="17"/>
      <c r="C23" s="7" t="n">
        <f aca="false">IFERROR(COUNTIF('3. Pairwise Rankings'!B:B,B23),0)</f>
        <v>0</v>
      </c>
      <c r="D23" s="7" t="n">
        <f aca="false">IFERROR(COUNTIFS('3. Pairwise Rankings'!B:B,B23,'3. Pairwise Rankings'!G:G,"&lt;=2"),0)</f>
        <v>0</v>
      </c>
      <c r="E23" s="7" t="n">
        <f aca="false">IFERROR(COUNTIFS('3. Pairwise Rankings'!B:B,B23,'3. Pairwise Rankings'!G:G,"&gt;=4"),0)</f>
        <v>0</v>
      </c>
      <c r="F23" s="46" t="n">
        <f aca="false">IF(C23&gt;0,D23/C23*100,0)</f>
        <v>0</v>
      </c>
      <c r="G23" s="7" t="n">
        <f aca="false">IFERROR(SUMIF('3. Pairwise Rankings'!B:B,B23,'3. Pairwise Rankings'!H:H),0)</f>
        <v>0</v>
      </c>
      <c r="H23" s="26" t="n">
        <f aca="false">IFERROR(AVERAGEIF('3. Pairwise Rankings'!B:B,B23,'3. Pairwise Rankings'!G:G),0)</f>
        <v>0</v>
      </c>
      <c r="I23" s="26" t="n">
        <f aca="false">IF(C23&gt;0,G23/C23,0)</f>
        <v>0</v>
      </c>
      <c r="J23" s="26" t="n">
        <f aca="false">IFERROR((I23-AVERAGE($I$4:$I$33))/STDEV($I$4:$I$33),0)</f>
        <v>0</v>
      </c>
      <c r="K23" s="46" t="n">
        <f aca="false">IFERROR(IF(MAX($I$4:$I$33)-MIN($I$4:$I$33)&gt;0,(I23-MIN($I$4:$I$33))/(MAX($I$4:$I$33)-MIN($I$4:$I$33))*100,0),0)</f>
        <v>0</v>
      </c>
    </row>
    <row r="24" customFormat="false" ht="15" hidden="false" customHeight="false" outlineLevel="0" collapsed="false">
      <c r="A24" s="11" t="n">
        <v>21</v>
      </c>
      <c r="B24" s="16"/>
      <c r="C24" s="11" t="n">
        <f aca="false">IFERROR(COUNTIF('3. Pairwise Rankings'!B:B,B24),0)</f>
        <v>0</v>
      </c>
      <c r="D24" s="11" t="n">
        <f aca="false">IFERROR(COUNTIFS('3. Pairwise Rankings'!B:B,B24,'3. Pairwise Rankings'!G:G,"&lt;=2"),0)</f>
        <v>0</v>
      </c>
      <c r="E24" s="11" t="n">
        <f aca="false">IFERROR(COUNTIFS('3. Pairwise Rankings'!B:B,B24,'3. Pairwise Rankings'!G:G,"&gt;=4"),0)</f>
        <v>0</v>
      </c>
      <c r="F24" s="45" t="n">
        <f aca="false">IF(C24&gt;0,D24/C24*100,0)</f>
        <v>0</v>
      </c>
      <c r="G24" s="11" t="n">
        <f aca="false">IFERROR(SUMIF('3. Pairwise Rankings'!B:B,B24,'3. Pairwise Rankings'!H:H),0)</f>
        <v>0</v>
      </c>
      <c r="H24" s="25" t="n">
        <f aca="false">IFERROR(AVERAGEIF('3. Pairwise Rankings'!B:B,B24,'3. Pairwise Rankings'!G:G),0)</f>
        <v>0</v>
      </c>
      <c r="I24" s="25" t="n">
        <f aca="false">IF(C24&gt;0,G24/C24,0)</f>
        <v>0</v>
      </c>
      <c r="J24" s="25" t="n">
        <f aca="false">IFERROR((I24-AVERAGE($I$4:$I$33))/STDEV($I$4:$I$33),0)</f>
        <v>0</v>
      </c>
      <c r="K24" s="45" t="n">
        <f aca="false">IFERROR(IF(MAX($I$4:$I$33)-MIN($I$4:$I$33)&gt;0,(I24-MIN($I$4:$I$33))/(MAX($I$4:$I$33)-MIN($I$4:$I$33))*100,0),0)</f>
        <v>0</v>
      </c>
    </row>
    <row r="25" customFormat="false" ht="15" hidden="false" customHeight="false" outlineLevel="0" collapsed="false">
      <c r="A25" s="7" t="n">
        <v>22</v>
      </c>
      <c r="B25" s="17"/>
      <c r="C25" s="7" t="n">
        <f aca="false">IFERROR(COUNTIF('3. Pairwise Rankings'!B:B,B25),0)</f>
        <v>0</v>
      </c>
      <c r="D25" s="7" t="n">
        <f aca="false">IFERROR(COUNTIFS('3. Pairwise Rankings'!B:B,B25,'3. Pairwise Rankings'!G:G,"&lt;=2"),0)</f>
        <v>0</v>
      </c>
      <c r="E25" s="7" t="n">
        <f aca="false">IFERROR(COUNTIFS('3. Pairwise Rankings'!B:B,B25,'3. Pairwise Rankings'!G:G,"&gt;=4"),0)</f>
        <v>0</v>
      </c>
      <c r="F25" s="46" t="n">
        <f aca="false">IF(C25&gt;0,D25/C25*100,0)</f>
        <v>0</v>
      </c>
      <c r="G25" s="7" t="n">
        <f aca="false">IFERROR(SUMIF('3. Pairwise Rankings'!B:B,B25,'3. Pairwise Rankings'!H:H),0)</f>
        <v>0</v>
      </c>
      <c r="H25" s="26" t="n">
        <f aca="false">IFERROR(AVERAGEIF('3. Pairwise Rankings'!B:B,B25,'3. Pairwise Rankings'!G:G),0)</f>
        <v>0</v>
      </c>
      <c r="I25" s="26" t="n">
        <f aca="false">IF(C25&gt;0,G25/C25,0)</f>
        <v>0</v>
      </c>
      <c r="J25" s="26" t="n">
        <f aca="false">IFERROR((I25-AVERAGE($I$4:$I$33))/STDEV($I$4:$I$33),0)</f>
        <v>0</v>
      </c>
      <c r="K25" s="46" t="n">
        <f aca="false">IFERROR(IF(MAX($I$4:$I$33)-MIN($I$4:$I$33)&gt;0,(I25-MIN($I$4:$I$33))/(MAX($I$4:$I$33)-MIN($I$4:$I$33))*100,0),0)</f>
        <v>0</v>
      </c>
    </row>
    <row r="26" customFormat="false" ht="15" hidden="false" customHeight="false" outlineLevel="0" collapsed="false">
      <c r="A26" s="11" t="n">
        <v>23</v>
      </c>
      <c r="B26" s="16"/>
      <c r="C26" s="11" t="n">
        <f aca="false">IFERROR(COUNTIF('3. Pairwise Rankings'!B:B,B26),0)</f>
        <v>0</v>
      </c>
      <c r="D26" s="11" t="n">
        <f aca="false">IFERROR(COUNTIFS('3. Pairwise Rankings'!B:B,B26,'3. Pairwise Rankings'!G:G,"&lt;=2"),0)</f>
        <v>0</v>
      </c>
      <c r="E26" s="11" t="n">
        <f aca="false">IFERROR(COUNTIFS('3. Pairwise Rankings'!B:B,B26,'3. Pairwise Rankings'!G:G,"&gt;=4"),0)</f>
        <v>0</v>
      </c>
      <c r="F26" s="45" t="n">
        <f aca="false">IF(C26&gt;0,D26/C26*100,0)</f>
        <v>0</v>
      </c>
      <c r="G26" s="11" t="n">
        <f aca="false">IFERROR(SUMIF('3. Pairwise Rankings'!B:B,B26,'3. Pairwise Rankings'!H:H),0)</f>
        <v>0</v>
      </c>
      <c r="H26" s="25" t="n">
        <f aca="false">IFERROR(AVERAGEIF('3. Pairwise Rankings'!B:B,B26,'3. Pairwise Rankings'!G:G),0)</f>
        <v>0</v>
      </c>
      <c r="I26" s="25" t="n">
        <f aca="false">IF(C26&gt;0,G26/C26,0)</f>
        <v>0</v>
      </c>
      <c r="J26" s="25" t="n">
        <f aca="false">IFERROR((I26-AVERAGE($I$4:$I$33))/STDEV($I$4:$I$33),0)</f>
        <v>0</v>
      </c>
      <c r="K26" s="45" t="n">
        <f aca="false">IFERROR(IF(MAX($I$4:$I$33)-MIN($I$4:$I$33)&gt;0,(I26-MIN($I$4:$I$33))/(MAX($I$4:$I$33)-MIN($I$4:$I$33))*100,0),0)</f>
        <v>0</v>
      </c>
    </row>
    <row r="27" customFormat="false" ht="15" hidden="false" customHeight="false" outlineLevel="0" collapsed="false">
      <c r="A27" s="7" t="n">
        <v>24</v>
      </c>
      <c r="B27" s="17"/>
      <c r="C27" s="7" t="n">
        <f aca="false">IFERROR(COUNTIF('3. Pairwise Rankings'!B:B,B27),0)</f>
        <v>0</v>
      </c>
      <c r="D27" s="7" t="n">
        <f aca="false">IFERROR(COUNTIFS('3. Pairwise Rankings'!B:B,B27,'3. Pairwise Rankings'!G:G,"&lt;=2"),0)</f>
        <v>0</v>
      </c>
      <c r="E27" s="7" t="n">
        <f aca="false">IFERROR(COUNTIFS('3. Pairwise Rankings'!B:B,B27,'3. Pairwise Rankings'!G:G,"&gt;=4"),0)</f>
        <v>0</v>
      </c>
      <c r="F27" s="46" t="n">
        <f aca="false">IF(C27&gt;0,D27/C27*100,0)</f>
        <v>0</v>
      </c>
      <c r="G27" s="7" t="n">
        <f aca="false">IFERROR(SUMIF('3. Pairwise Rankings'!B:B,B27,'3. Pairwise Rankings'!H:H),0)</f>
        <v>0</v>
      </c>
      <c r="H27" s="26" t="n">
        <f aca="false">IFERROR(AVERAGEIF('3. Pairwise Rankings'!B:B,B27,'3. Pairwise Rankings'!G:G),0)</f>
        <v>0</v>
      </c>
      <c r="I27" s="26" t="n">
        <f aca="false">IF(C27&gt;0,G27/C27,0)</f>
        <v>0</v>
      </c>
      <c r="J27" s="26" t="n">
        <f aca="false">IFERROR((I27-AVERAGE($I$4:$I$33))/STDEV($I$4:$I$33),0)</f>
        <v>0</v>
      </c>
      <c r="K27" s="46" t="n">
        <f aca="false">IFERROR(IF(MAX($I$4:$I$33)-MIN($I$4:$I$33)&gt;0,(I27-MIN($I$4:$I$33))/(MAX($I$4:$I$33)-MIN($I$4:$I$33))*100,0),0)</f>
        <v>0</v>
      </c>
    </row>
    <row r="28" customFormat="false" ht="15" hidden="false" customHeight="false" outlineLevel="0" collapsed="false">
      <c r="A28" s="11" t="n">
        <v>25</v>
      </c>
      <c r="B28" s="16"/>
      <c r="C28" s="11" t="n">
        <f aca="false">IFERROR(COUNTIF('3. Pairwise Rankings'!B:B,B28),0)</f>
        <v>0</v>
      </c>
      <c r="D28" s="11" t="n">
        <f aca="false">IFERROR(COUNTIFS('3. Pairwise Rankings'!B:B,B28,'3. Pairwise Rankings'!G:G,"&lt;=2"),0)</f>
        <v>0</v>
      </c>
      <c r="E28" s="11" t="n">
        <f aca="false">IFERROR(COUNTIFS('3. Pairwise Rankings'!B:B,B28,'3. Pairwise Rankings'!G:G,"&gt;=4"),0)</f>
        <v>0</v>
      </c>
      <c r="F28" s="45" t="n">
        <f aca="false">IF(C28&gt;0,D28/C28*100,0)</f>
        <v>0</v>
      </c>
      <c r="G28" s="11" t="n">
        <f aca="false">IFERROR(SUMIF('3. Pairwise Rankings'!B:B,B28,'3. Pairwise Rankings'!H:H),0)</f>
        <v>0</v>
      </c>
      <c r="H28" s="25" t="n">
        <f aca="false">IFERROR(AVERAGEIF('3. Pairwise Rankings'!B:B,B28,'3. Pairwise Rankings'!G:G),0)</f>
        <v>0</v>
      </c>
      <c r="I28" s="25" t="n">
        <f aca="false">IF(C28&gt;0,G28/C28,0)</f>
        <v>0</v>
      </c>
      <c r="J28" s="25" t="n">
        <f aca="false">IFERROR((I28-AVERAGE($I$4:$I$33))/STDEV($I$4:$I$33),0)</f>
        <v>0</v>
      </c>
      <c r="K28" s="45" t="n">
        <f aca="false">IFERROR(IF(MAX($I$4:$I$33)-MIN($I$4:$I$33)&gt;0,(I28-MIN($I$4:$I$33))/(MAX($I$4:$I$33)-MIN($I$4:$I$33))*100,0),0)</f>
        <v>0</v>
      </c>
    </row>
    <row r="29" customFormat="false" ht="15" hidden="false" customHeight="false" outlineLevel="0" collapsed="false">
      <c r="A29" s="7" t="n">
        <v>26</v>
      </c>
      <c r="B29" s="17"/>
      <c r="C29" s="7" t="n">
        <f aca="false">IFERROR(COUNTIF('3. Pairwise Rankings'!B:B,B29),0)</f>
        <v>0</v>
      </c>
      <c r="D29" s="7" t="n">
        <f aca="false">IFERROR(COUNTIFS('3. Pairwise Rankings'!B:B,B29,'3. Pairwise Rankings'!G:G,"&lt;=2"),0)</f>
        <v>0</v>
      </c>
      <c r="E29" s="7" t="n">
        <f aca="false">IFERROR(COUNTIFS('3. Pairwise Rankings'!B:B,B29,'3. Pairwise Rankings'!G:G,"&gt;=4"),0)</f>
        <v>0</v>
      </c>
      <c r="F29" s="46" t="n">
        <f aca="false">IF(C29&gt;0,D29/C29*100,0)</f>
        <v>0</v>
      </c>
      <c r="G29" s="7" t="n">
        <f aca="false">IFERROR(SUMIF('3. Pairwise Rankings'!B:B,B29,'3. Pairwise Rankings'!H:H),0)</f>
        <v>0</v>
      </c>
      <c r="H29" s="26" t="n">
        <f aca="false">IFERROR(AVERAGEIF('3. Pairwise Rankings'!B:B,B29,'3. Pairwise Rankings'!G:G),0)</f>
        <v>0</v>
      </c>
      <c r="I29" s="26" t="n">
        <f aca="false">IF(C29&gt;0,G29/C29,0)</f>
        <v>0</v>
      </c>
      <c r="J29" s="26" t="n">
        <f aca="false">IFERROR((I29-AVERAGE($I$4:$I$33))/STDEV($I$4:$I$33),0)</f>
        <v>0</v>
      </c>
      <c r="K29" s="46" t="n">
        <f aca="false">IFERROR(IF(MAX($I$4:$I$33)-MIN($I$4:$I$33)&gt;0,(I29-MIN($I$4:$I$33))/(MAX($I$4:$I$33)-MIN($I$4:$I$33))*100,0),0)</f>
        <v>0</v>
      </c>
    </row>
    <row r="30" customFormat="false" ht="15" hidden="false" customHeight="false" outlineLevel="0" collapsed="false">
      <c r="A30" s="11" t="n">
        <v>27</v>
      </c>
      <c r="B30" s="16"/>
      <c r="C30" s="11" t="n">
        <f aca="false">IFERROR(COUNTIF('3. Pairwise Rankings'!B:B,B30),0)</f>
        <v>0</v>
      </c>
      <c r="D30" s="11" t="n">
        <f aca="false">IFERROR(COUNTIFS('3. Pairwise Rankings'!B:B,B30,'3. Pairwise Rankings'!G:G,"&lt;=2"),0)</f>
        <v>0</v>
      </c>
      <c r="E30" s="11" t="n">
        <f aca="false">IFERROR(COUNTIFS('3. Pairwise Rankings'!B:B,B30,'3. Pairwise Rankings'!G:G,"&gt;=4"),0)</f>
        <v>0</v>
      </c>
      <c r="F30" s="45" t="n">
        <f aca="false">IF(C30&gt;0,D30/C30*100,0)</f>
        <v>0</v>
      </c>
      <c r="G30" s="11" t="n">
        <f aca="false">IFERROR(SUMIF('3. Pairwise Rankings'!B:B,B30,'3. Pairwise Rankings'!H:H),0)</f>
        <v>0</v>
      </c>
      <c r="H30" s="25" t="n">
        <f aca="false">IFERROR(AVERAGEIF('3. Pairwise Rankings'!B:B,B30,'3. Pairwise Rankings'!G:G),0)</f>
        <v>0</v>
      </c>
      <c r="I30" s="25" t="n">
        <f aca="false">IF(C30&gt;0,G30/C30,0)</f>
        <v>0</v>
      </c>
      <c r="J30" s="25" t="n">
        <f aca="false">IFERROR((I30-AVERAGE($I$4:$I$33))/STDEV($I$4:$I$33),0)</f>
        <v>0</v>
      </c>
      <c r="K30" s="45" t="n">
        <f aca="false">IFERROR(IF(MAX($I$4:$I$33)-MIN($I$4:$I$33)&gt;0,(I30-MIN($I$4:$I$33))/(MAX($I$4:$I$33)-MIN($I$4:$I$33))*100,0),0)</f>
        <v>0</v>
      </c>
    </row>
    <row r="31" customFormat="false" ht="15" hidden="false" customHeight="false" outlineLevel="0" collapsed="false">
      <c r="A31" s="7" t="n">
        <v>28</v>
      </c>
      <c r="B31" s="17"/>
      <c r="C31" s="7" t="n">
        <f aca="false">IFERROR(COUNTIF('3. Pairwise Rankings'!B:B,B31),0)</f>
        <v>0</v>
      </c>
      <c r="D31" s="7" t="n">
        <f aca="false">IFERROR(COUNTIFS('3. Pairwise Rankings'!B:B,B31,'3. Pairwise Rankings'!G:G,"&lt;=2"),0)</f>
        <v>0</v>
      </c>
      <c r="E31" s="7" t="n">
        <f aca="false">IFERROR(COUNTIFS('3. Pairwise Rankings'!B:B,B31,'3. Pairwise Rankings'!G:G,"&gt;=4"),0)</f>
        <v>0</v>
      </c>
      <c r="F31" s="46" t="n">
        <f aca="false">IF(C31&gt;0,D31/C31*100,0)</f>
        <v>0</v>
      </c>
      <c r="G31" s="7" t="n">
        <f aca="false">IFERROR(SUMIF('3. Pairwise Rankings'!B:B,B31,'3. Pairwise Rankings'!H:H),0)</f>
        <v>0</v>
      </c>
      <c r="H31" s="26" t="n">
        <f aca="false">IFERROR(AVERAGEIF('3. Pairwise Rankings'!B:B,B31,'3. Pairwise Rankings'!G:G),0)</f>
        <v>0</v>
      </c>
      <c r="I31" s="26" t="n">
        <f aca="false">IF(C31&gt;0,G31/C31,0)</f>
        <v>0</v>
      </c>
      <c r="J31" s="26" t="n">
        <f aca="false">IFERROR((I31-AVERAGE($I$4:$I$33))/STDEV($I$4:$I$33),0)</f>
        <v>0</v>
      </c>
      <c r="K31" s="46" t="n">
        <f aca="false">IFERROR(IF(MAX($I$4:$I$33)-MIN($I$4:$I$33)&gt;0,(I31-MIN($I$4:$I$33))/(MAX($I$4:$I$33)-MIN($I$4:$I$33))*100,0),0)</f>
        <v>0</v>
      </c>
    </row>
    <row r="32" customFormat="false" ht="15" hidden="false" customHeight="false" outlineLevel="0" collapsed="false">
      <c r="A32" s="11" t="n">
        <v>29</v>
      </c>
      <c r="B32" s="16"/>
      <c r="C32" s="11" t="n">
        <f aca="false">IFERROR(COUNTIF('3. Pairwise Rankings'!B:B,B32),0)</f>
        <v>0</v>
      </c>
      <c r="D32" s="11" t="n">
        <f aca="false">IFERROR(COUNTIFS('3. Pairwise Rankings'!B:B,B32,'3. Pairwise Rankings'!G:G,"&lt;=2"),0)</f>
        <v>0</v>
      </c>
      <c r="E32" s="11" t="n">
        <f aca="false">IFERROR(COUNTIFS('3. Pairwise Rankings'!B:B,B32,'3. Pairwise Rankings'!G:G,"&gt;=4"),0)</f>
        <v>0</v>
      </c>
      <c r="F32" s="45" t="n">
        <f aca="false">IF(C32&gt;0,D32/C32*100,0)</f>
        <v>0</v>
      </c>
      <c r="G32" s="11" t="n">
        <f aca="false">IFERROR(SUMIF('3. Pairwise Rankings'!B:B,B32,'3. Pairwise Rankings'!H:H),0)</f>
        <v>0</v>
      </c>
      <c r="H32" s="25" t="n">
        <f aca="false">IFERROR(AVERAGEIF('3. Pairwise Rankings'!B:B,B32,'3. Pairwise Rankings'!G:G),0)</f>
        <v>0</v>
      </c>
      <c r="I32" s="25" t="n">
        <f aca="false">IF(C32&gt;0,G32/C32,0)</f>
        <v>0</v>
      </c>
      <c r="J32" s="25" t="n">
        <f aca="false">IFERROR((I32-AVERAGE($I$4:$I$33))/STDEV($I$4:$I$33),0)</f>
        <v>0</v>
      </c>
      <c r="K32" s="45" t="n">
        <f aca="false">IFERROR(IF(MAX($I$4:$I$33)-MIN($I$4:$I$33)&gt;0,(I32-MIN($I$4:$I$33))/(MAX($I$4:$I$33)-MIN($I$4:$I$33))*100,0),0)</f>
        <v>0</v>
      </c>
    </row>
    <row r="33" customFormat="false" ht="15" hidden="false" customHeight="false" outlineLevel="0" collapsed="false">
      <c r="A33" s="7" t="n">
        <v>30</v>
      </c>
      <c r="B33" s="17"/>
      <c r="C33" s="7" t="n">
        <f aca="false">IFERROR(COUNTIF('3. Pairwise Rankings'!B:B,B33),0)</f>
        <v>0</v>
      </c>
      <c r="D33" s="7" t="n">
        <f aca="false">IFERROR(COUNTIFS('3. Pairwise Rankings'!B:B,B33,'3. Pairwise Rankings'!G:G,"&lt;=2"),0)</f>
        <v>0</v>
      </c>
      <c r="E33" s="7" t="n">
        <f aca="false">IFERROR(COUNTIFS('3. Pairwise Rankings'!B:B,B33,'3. Pairwise Rankings'!G:G,"&gt;=4"),0)</f>
        <v>0</v>
      </c>
      <c r="F33" s="46" t="n">
        <f aca="false">IF(C33&gt;0,D33/C33*100,0)</f>
        <v>0</v>
      </c>
      <c r="G33" s="7" t="n">
        <f aca="false">IFERROR(SUMIF('3. Pairwise Rankings'!B:B,B33,'3. Pairwise Rankings'!H:H),0)</f>
        <v>0</v>
      </c>
      <c r="H33" s="26" t="n">
        <f aca="false">IFERROR(AVERAGEIF('3. Pairwise Rankings'!B:B,B33,'3. Pairwise Rankings'!G:G),0)</f>
        <v>0</v>
      </c>
      <c r="I33" s="26" t="n">
        <f aca="false">IF(C33&gt;0,G33/C33,0)</f>
        <v>0</v>
      </c>
      <c r="J33" s="26" t="n">
        <f aca="false">IFERROR((I33-AVERAGE($I$4:$I$33))/STDEV($I$4:$I$33),0)</f>
        <v>0</v>
      </c>
      <c r="K33" s="46" t="n">
        <f aca="false">IFERROR(IF(MAX($I$4:$I$33)-MIN($I$4:$I$33)&gt;0,(I33-MIN($I$4:$I$33))/(MAX($I$4:$I$33)-MIN($I$4:$I$33))*100,0),0)</f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9" min="7" style="0" width="18"/>
  </cols>
  <sheetData>
    <row r="1" customFormat="false" ht="33.75" hidden="false" customHeight="true" outlineLevel="0" collapsed="false">
      <c r="A1" s="29" t="s">
        <v>295</v>
      </c>
      <c r="B1" s="29"/>
      <c r="C1" s="29"/>
      <c r="D1" s="29"/>
      <c r="E1" s="29"/>
      <c r="F1" s="29"/>
      <c r="G1" s="29"/>
      <c r="H1" s="29"/>
      <c r="I1" s="29"/>
    </row>
    <row r="2" customFormat="false" ht="25.5" hidden="false" customHeight="true" outlineLevel="0" collapsed="false">
      <c r="A2" s="30" t="s">
        <v>296</v>
      </c>
      <c r="B2" s="30"/>
      <c r="C2" s="30"/>
      <c r="D2" s="30"/>
      <c r="E2" s="30"/>
      <c r="F2" s="30"/>
      <c r="G2" s="30"/>
      <c r="H2" s="30"/>
      <c r="I2" s="30"/>
    </row>
    <row r="3" customFormat="false" ht="23.85" hidden="false" customHeight="false" outlineLevel="0" collapsed="false">
      <c r="A3" s="31" t="s">
        <v>99</v>
      </c>
      <c r="B3" s="31" t="s">
        <v>100</v>
      </c>
      <c r="C3" s="31" t="s">
        <v>297</v>
      </c>
      <c r="D3" s="31" t="s">
        <v>298</v>
      </c>
      <c r="E3" s="31" t="s">
        <v>299</v>
      </c>
      <c r="F3" s="31" t="s">
        <v>300</v>
      </c>
      <c r="G3" s="31" t="s">
        <v>301</v>
      </c>
      <c r="H3" s="31" t="s">
        <v>302</v>
      </c>
      <c r="I3" s="31" t="s">
        <v>110</v>
      </c>
    </row>
    <row r="4" customFormat="false" ht="15" hidden="false" customHeight="false" outlineLevel="0" collapsed="false">
      <c r="A4" s="11" t="n">
        <v>1</v>
      </c>
      <c r="B4" s="16"/>
      <c r="C4" s="16"/>
      <c r="D4" s="16"/>
      <c r="E4" s="16"/>
      <c r="F4" s="16"/>
      <c r="G4" s="16"/>
      <c r="H4" s="45" t="n">
        <f aca="false">IFERROR(IF(MAX($G$4:$G$33)&gt;0,G4/MAX($G$4:$G$33)*100,0),0)</f>
        <v>0</v>
      </c>
      <c r="I4" s="16"/>
    </row>
    <row r="5" customFormat="false" ht="15" hidden="false" customHeight="false" outlineLevel="0" collapsed="false">
      <c r="A5" s="7" t="n">
        <v>2</v>
      </c>
      <c r="B5" s="17"/>
      <c r="C5" s="17"/>
      <c r="D5" s="17"/>
      <c r="E5" s="17"/>
      <c r="F5" s="17"/>
      <c r="G5" s="17"/>
      <c r="H5" s="46" t="n">
        <f aca="false">IFERROR(IF(MAX($G$4:$G$33)&gt;0,G5/MAX($G$4:$G$33)*100,0),0)</f>
        <v>0</v>
      </c>
      <c r="I5" s="17"/>
    </row>
    <row r="6" customFormat="false" ht="15" hidden="false" customHeight="false" outlineLevel="0" collapsed="false">
      <c r="A6" s="11" t="n">
        <v>3</v>
      </c>
      <c r="B6" s="16"/>
      <c r="C6" s="16"/>
      <c r="D6" s="16"/>
      <c r="E6" s="16"/>
      <c r="F6" s="16"/>
      <c r="G6" s="16"/>
      <c r="H6" s="45" t="n">
        <f aca="false">IFERROR(IF(MAX($G$4:$G$33)&gt;0,G6/MAX($G$4:$G$33)*100,0),0)</f>
        <v>0</v>
      </c>
      <c r="I6" s="16"/>
    </row>
    <row r="7" customFormat="false" ht="15" hidden="false" customHeight="false" outlineLevel="0" collapsed="false">
      <c r="A7" s="7" t="n">
        <v>4</v>
      </c>
      <c r="B7" s="17"/>
      <c r="C7" s="17"/>
      <c r="D7" s="17"/>
      <c r="E7" s="17"/>
      <c r="F7" s="17"/>
      <c r="G7" s="17"/>
      <c r="H7" s="46" t="n">
        <f aca="false">IFERROR(IF(MAX($G$4:$G$33)&gt;0,G7/MAX($G$4:$G$33)*100,0),0)</f>
        <v>0</v>
      </c>
      <c r="I7" s="17"/>
    </row>
    <row r="8" customFormat="false" ht="15" hidden="false" customHeight="false" outlineLevel="0" collapsed="false">
      <c r="A8" s="11" t="n">
        <v>5</v>
      </c>
      <c r="B8" s="16"/>
      <c r="C8" s="16"/>
      <c r="D8" s="16"/>
      <c r="E8" s="16"/>
      <c r="F8" s="16"/>
      <c r="G8" s="16"/>
      <c r="H8" s="45" t="n">
        <f aca="false">IFERROR(IF(MAX($G$4:$G$33)&gt;0,G8/MAX($G$4:$G$33)*100,0),0)</f>
        <v>0</v>
      </c>
      <c r="I8" s="16"/>
    </row>
    <row r="9" customFormat="false" ht="15" hidden="false" customHeight="false" outlineLevel="0" collapsed="false">
      <c r="A9" s="7" t="n">
        <v>6</v>
      </c>
      <c r="B9" s="17"/>
      <c r="C9" s="17"/>
      <c r="D9" s="17"/>
      <c r="E9" s="17"/>
      <c r="F9" s="17"/>
      <c r="G9" s="17"/>
      <c r="H9" s="46" t="n">
        <f aca="false">IFERROR(IF(MAX($G$4:$G$33)&gt;0,G9/MAX($G$4:$G$33)*100,0),0)</f>
        <v>0</v>
      </c>
      <c r="I9" s="17"/>
    </row>
    <row r="10" customFormat="false" ht="15" hidden="false" customHeight="false" outlineLevel="0" collapsed="false">
      <c r="A10" s="11" t="n">
        <v>7</v>
      </c>
      <c r="B10" s="16"/>
      <c r="C10" s="16"/>
      <c r="D10" s="16"/>
      <c r="E10" s="16"/>
      <c r="F10" s="16"/>
      <c r="G10" s="16"/>
      <c r="H10" s="45" t="n">
        <f aca="false">IFERROR(IF(MAX($G$4:$G$33)&gt;0,G10/MAX($G$4:$G$33)*100,0),0)</f>
        <v>0</v>
      </c>
      <c r="I10" s="16"/>
    </row>
    <row r="11" customFormat="false" ht="15" hidden="false" customHeight="false" outlineLevel="0" collapsed="false">
      <c r="A11" s="7" t="n">
        <v>8</v>
      </c>
      <c r="B11" s="17"/>
      <c r="C11" s="17"/>
      <c r="D11" s="17"/>
      <c r="E11" s="17"/>
      <c r="F11" s="17"/>
      <c r="G11" s="17"/>
      <c r="H11" s="46" t="n">
        <f aca="false">IFERROR(IF(MAX($G$4:$G$33)&gt;0,G11/MAX($G$4:$G$33)*100,0),0)</f>
        <v>0</v>
      </c>
      <c r="I11" s="17"/>
    </row>
    <row r="12" customFormat="false" ht="15" hidden="false" customHeight="false" outlineLevel="0" collapsed="false">
      <c r="A12" s="11" t="n">
        <v>9</v>
      </c>
      <c r="B12" s="16"/>
      <c r="C12" s="16"/>
      <c r="D12" s="16"/>
      <c r="E12" s="16"/>
      <c r="F12" s="16"/>
      <c r="G12" s="16"/>
      <c r="H12" s="45" t="n">
        <f aca="false">IFERROR(IF(MAX($G$4:$G$33)&gt;0,G12/MAX($G$4:$G$33)*100,0),0)</f>
        <v>0</v>
      </c>
      <c r="I12" s="16"/>
    </row>
    <row r="13" customFormat="false" ht="15" hidden="false" customHeight="false" outlineLevel="0" collapsed="false">
      <c r="A13" s="7" t="n">
        <v>10</v>
      </c>
      <c r="B13" s="17"/>
      <c r="C13" s="17"/>
      <c r="D13" s="17"/>
      <c r="E13" s="17"/>
      <c r="F13" s="17"/>
      <c r="G13" s="17"/>
      <c r="H13" s="46" t="n">
        <f aca="false">IFERROR(IF(MAX($G$4:$G$33)&gt;0,G13/MAX($G$4:$G$33)*100,0),0)</f>
        <v>0</v>
      </c>
      <c r="I13" s="17"/>
    </row>
    <row r="14" customFormat="false" ht="15" hidden="false" customHeight="false" outlineLevel="0" collapsed="false">
      <c r="A14" s="11" t="n">
        <v>11</v>
      </c>
      <c r="B14" s="16"/>
      <c r="C14" s="16"/>
      <c r="D14" s="16"/>
      <c r="E14" s="16"/>
      <c r="F14" s="16"/>
      <c r="G14" s="16"/>
      <c r="H14" s="45" t="n">
        <f aca="false">IFERROR(IF(MAX($G$4:$G$33)&gt;0,G14/MAX($G$4:$G$33)*100,0),0)</f>
        <v>0</v>
      </c>
      <c r="I14" s="16"/>
    </row>
    <row r="15" customFormat="false" ht="15" hidden="false" customHeight="false" outlineLevel="0" collapsed="false">
      <c r="A15" s="7" t="n">
        <v>12</v>
      </c>
      <c r="B15" s="17"/>
      <c r="C15" s="17"/>
      <c r="D15" s="17"/>
      <c r="E15" s="17"/>
      <c r="F15" s="17"/>
      <c r="G15" s="17"/>
      <c r="H15" s="46" t="n">
        <f aca="false">IFERROR(IF(MAX($G$4:$G$33)&gt;0,G15/MAX($G$4:$G$33)*100,0),0)</f>
        <v>0</v>
      </c>
      <c r="I15" s="17"/>
    </row>
    <row r="16" customFormat="false" ht="15" hidden="false" customHeight="false" outlineLevel="0" collapsed="false">
      <c r="A16" s="11" t="n">
        <v>13</v>
      </c>
      <c r="B16" s="16"/>
      <c r="C16" s="16"/>
      <c r="D16" s="16"/>
      <c r="E16" s="16"/>
      <c r="F16" s="16"/>
      <c r="G16" s="16"/>
      <c r="H16" s="45" t="n">
        <f aca="false">IFERROR(IF(MAX($G$4:$G$33)&gt;0,G16/MAX($G$4:$G$33)*100,0),0)</f>
        <v>0</v>
      </c>
      <c r="I16" s="16"/>
    </row>
    <row r="17" customFormat="false" ht="15" hidden="false" customHeight="false" outlineLevel="0" collapsed="false">
      <c r="A17" s="7" t="n">
        <v>14</v>
      </c>
      <c r="B17" s="17"/>
      <c r="C17" s="17"/>
      <c r="D17" s="17"/>
      <c r="E17" s="17"/>
      <c r="F17" s="17"/>
      <c r="G17" s="17"/>
      <c r="H17" s="46" t="n">
        <f aca="false">IFERROR(IF(MAX($G$4:$G$33)&gt;0,G17/MAX($G$4:$G$33)*100,0),0)</f>
        <v>0</v>
      </c>
      <c r="I17" s="17"/>
    </row>
    <row r="18" customFormat="false" ht="15" hidden="false" customHeight="false" outlineLevel="0" collapsed="false">
      <c r="A18" s="11" t="n">
        <v>15</v>
      </c>
      <c r="B18" s="16"/>
      <c r="C18" s="16"/>
      <c r="D18" s="16"/>
      <c r="E18" s="16"/>
      <c r="F18" s="16"/>
      <c r="G18" s="16"/>
      <c r="H18" s="45" t="n">
        <f aca="false">IFERROR(IF(MAX($G$4:$G$33)&gt;0,G18/MAX($G$4:$G$33)*100,0),0)</f>
        <v>0</v>
      </c>
      <c r="I18" s="16"/>
    </row>
    <row r="19" customFormat="false" ht="15" hidden="false" customHeight="false" outlineLevel="0" collapsed="false">
      <c r="A19" s="7" t="n">
        <v>16</v>
      </c>
      <c r="B19" s="17"/>
      <c r="C19" s="17"/>
      <c r="D19" s="17"/>
      <c r="E19" s="17"/>
      <c r="F19" s="17"/>
      <c r="G19" s="17"/>
      <c r="H19" s="46" t="n">
        <f aca="false">IFERROR(IF(MAX($G$4:$G$33)&gt;0,G19/MAX($G$4:$G$33)*100,0),0)</f>
        <v>0</v>
      </c>
      <c r="I19" s="17"/>
    </row>
    <row r="20" customFormat="false" ht="15" hidden="false" customHeight="false" outlineLevel="0" collapsed="false">
      <c r="A20" s="11" t="n">
        <v>17</v>
      </c>
      <c r="B20" s="16"/>
      <c r="C20" s="16"/>
      <c r="D20" s="16"/>
      <c r="E20" s="16"/>
      <c r="F20" s="16"/>
      <c r="G20" s="16"/>
      <c r="H20" s="45" t="n">
        <f aca="false">IFERROR(IF(MAX($G$4:$G$33)&gt;0,G20/MAX($G$4:$G$33)*100,0),0)</f>
        <v>0</v>
      </c>
      <c r="I20" s="16"/>
    </row>
    <row r="21" customFormat="false" ht="15" hidden="false" customHeight="false" outlineLevel="0" collapsed="false">
      <c r="A21" s="7" t="n">
        <v>18</v>
      </c>
      <c r="B21" s="17"/>
      <c r="C21" s="17"/>
      <c r="D21" s="17"/>
      <c r="E21" s="17"/>
      <c r="F21" s="17"/>
      <c r="G21" s="17"/>
      <c r="H21" s="46" t="n">
        <f aca="false">IFERROR(IF(MAX($G$4:$G$33)&gt;0,G21/MAX($G$4:$G$33)*100,0),0)</f>
        <v>0</v>
      </c>
      <c r="I21" s="17"/>
    </row>
    <row r="22" customFormat="false" ht="15" hidden="false" customHeight="false" outlineLevel="0" collapsed="false">
      <c r="A22" s="11" t="n">
        <v>19</v>
      </c>
      <c r="B22" s="16"/>
      <c r="C22" s="16"/>
      <c r="D22" s="16"/>
      <c r="E22" s="16"/>
      <c r="F22" s="16"/>
      <c r="G22" s="16"/>
      <c r="H22" s="45" t="n">
        <f aca="false">IFERROR(IF(MAX($G$4:$G$33)&gt;0,G22/MAX($G$4:$G$33)*100,0),0)</f>
        <v>0</v>
      </c>
      <c r="I22" s="16"/>
    </row>
    <row r="23" customFormat="false" ht="15" hidden="false" customHeight="false" outlineLevel="0" collapsed="false">
      <c r="A23" s="7" t="n">
        <v>20</v>
      </c>
      <c r="B23" s="17"/>
      <c r="C23" s="17"/>
      <c r="D23" s="17"/>
      <c r="E23" s="17"/>
      <c r="F23" s="17"/>
      <c r="G23" s="17"/>
      <c r="H23" s="46" t="n">
        <f aca="false">IFERROR(IF(MAX($G$4:$G$33)&gt;0,G23/MAX($G$4:$G$33)*100,0),0)</f>
        <v>0</v>
      </c>
      <c r="I23" s="17"/>
    </row>
    <row r="24" customFormat="false" ht="15" hidden="false" customHeight="false" outlineLevel="0" collapsed="false">
      <c r="A24" s="11" t="n">
        <v>21</v>
      </c>
      <c r="B24" s="16"/>
      <c r="C24" s="16"/>
      <c r="D24" s="16"/>
      <c r="E24" s="16"/>
      <c r="F24" s="16"/>
      <c r="G24" s="16"/>
      <c r="H24" s="45" t="n">
        <f aca="false">IFERROR(IF(MAX($G$4:$G$33)&gt;0,G24/MAX($G$4:$G$33)*100,0),0)</f>
        <v>0</v>
      </c>
      <c r="I24" s="16"/>
    </row>
    <row r="25" customFormat="false" ht="15" hidden="false" customHeight="false" outlineLevel="0" collapsed="false">
      <c r="A25" s="7" t="n">
        <v>22</v>
      </c>
      <c r="B25" s="17"/>
      <c r="C25" s="17"/>
      <c r="D25" s="17"/>
      <c r="E25" s="17"/>
      <c r="F25" s="17"/>
      <c r="G25" s="17"/>
      <c r="H25" s="46" t="n">
        <f aca="false">IFERROR(IF(MAX($G$4:$G$33)&gt;0,G25/MAX($G$4:$G$33)*100,0),0)</f>
        <v>0</v>
      </c>
      <c r="I25" s="17"/>
    </row>
    <row r="26" customFormat="false" ht="15" hidden="false" customHeight="false" outlineLevel="0" collapsed="false">
      <c r="A26" s="11" t="n">
        <v>23</v>
      </c>
      <c r="B26" s="16"/>
      <c r="C26" s="16"/>
      <c r="D26" s="16"/>
      <c r="E26" s="16"/>
      <c r="F26" s="16"/>
      <c r="G26" s="16"/>
      <c r="H26" s="45" t="n">
        <f aca="false">IFERROR(IF(MAX($G$4:$G$33)&gt;0,G26/MAX($G$4:$G$33)*100,0),0)</f>
        <v>0</v>
      </c>
      <c r="I26" s="16"/>
    </row>
    <row r="27" customFormat="false" ht="15" hidden="false" customHeight="false" outlineLevel="0" collapsed="false">
      <c r="A27" s="7" t="n">
        <v>24</v>
      </c>
      <c r="B27" s="17"/>
      <c r="C27" s="17"/>
      <c r="D27" s="17"/>
      <c r="E27" s="17"/>
      <c r="F27" s="17"/>
      <c r="G27" s="17"/>
      <c r="H27" s="46" t="n">
        <f aca="false">IFERROR(IF(MAX($G$4:$G$33)&gt;0,G27/MAX($G$4:$G$33)*100,0),0)</f>
        <v>0</v>
      </c>
      <c r="I27" s="17"/>
    </row>
    <row r="28" customFormat="false" ht="15" hidden="false" customHeight="false" outlineLevel="0" collapsed="false">
      <c r="A28" s="11" t="n">
        <v>25</v>
      </c>
      <c r="B28" s="16"/>
      <c r="C28" s="16"/>
      <c r="D28" s="16"/>
      <c r="E28" s="16"/>
      <c r="F28" s="16"/>
      <c r="G28" s="16"/>
      <c r="H28" s="45" t="n">
        <f aca="false">IFERROR(IF(MAX($G$4:$G$33)&gt;0,G28/MAX($G$4:$G$33)*100,0),0)</f>
        <v>0</v>
      </c>
      <c r="I28" s="16"/>
    </row>
    <row r="29" customFormat="false" ht="15" hidden="false" customHeight="false" outlineLevel="0" collapsed="false">
      <c r="A29" s="7" t="n">
        <v>26</v>
      </c>
      <c r="B29" s="17"/>
      <c r="C29" s="17"/>
      <c r="D29" s="17"/>
      <c r="E29" s="17"/>
      <c r="F29" s="17"/>
      <c r="G29" s="17"/>
      <c r="H29" s="46" t="n">
        <f aca="false">IFERROR(IF(MAX($G$4:$G$33)&gt;0,G29/MAX($G$4:$G$33)*100,0),0)</f>
        <v>0</v>
      </c>
      <c r="I29" s="17"/>
    </row>
    <row r="30" customFormat="false" ht="15" hidden="false" customHeight="false" outlineLevel="0" collapsed="false">
      <c r="A30" s="11" t="n">
        <v>27</v>
      </c>
      <c r="B30" s="16"/>
      <c r="C30" s="16"/>
      <c r="D30" s="16"/>
      <c r="E30" s="16"/>
      <c r="F30" s="16"/>
      <c r="G30" s="16"/>
      <c r="H30" s="45" t="n">
        <f aca="false">IFERROR(IF(MAX($G$4:$G$33)&gt;0,G30/MAX($G$4:$G$33)*100,0),0)</f>
        <v>0</v>
      </c>
      <c r="I30" s="16"/>
    </row>
    <row r="31" customFormat="false" ht="15" hidden="false" customHeight="false" outlineLevel="0" collapsed="false">
      <c r="A31" s="7" t="n">
        <v>28</v>
      </c>
      <c r="B31" s="17"/>
      <c r="C31" s="17"/>
      <c r="D31" s="17"/>
      <c r="E31" s="17"/>
      <c r="F31" s="17"/>
      <c r="G31" s="17"/>
      <c r="H31" s="46" t="n">
        <f aca="false">IFERROR(IF(MAX($G$4:$G$33)&gt;0,G31/MAX($G$4:$G$33)*100,0),0)</f>
        <v>0</v>
      </c>
      <c r="I31" s="17"/>
    </row>
    <row r="32" customFormat="false" ht="15" hidden="false" customHeight="false" outlineLevel="0" collapsed="false">
      <c r="A32" s="11" t="n">
        <v>29</v>
      </c>
      <c r="B32" s="16"/>
      <c r="C32" s="16"/>
      <c r="D32" s="16"/>
      <c r="E32" s="16"/>
      <c r="F32" s="16"/>
      <c r="G32" s="16"/>
      <c r="H32" s="45" t="n">
        <f aca="false">IFERROR(IF(MAX($G$4:$G$33)&gt;0,G32/MAX($G$4:$G$33)*100,0),0)</f>
        <v>0</v>
      </c>
      <c r="I32" s="16"/>
    </row>
    <row r="33" customFormat="false" ht="15" hidden="false" customHeight="false" outlineLevel="0" collapsed="false">
      <c r="A33" s="7" t="n">
        <v>30</v>
      </c>
      <c r="B33" s="17"/>
      <c r="C33" s="17"/>
      <c r="D33" s="17"/>
      <c r="E33" s="17"/>
      <c r="F33" s="17"/>
      <c r="G33" s="17"/>
      <c r="H33" s="46" t="n">
        <f aca="false">IFERROR(IF(MAX($G$4:$G$33)&gt;0,G33/MAX($G$4:$G$33)*100,0),0)</f>
        <v>0</v>
      </c>
      <c r="I33" s="17"/>
    </row>
    <row r="35" customFormat="false" ht="25.5" hidden="false" customHeight="true" outlineLevel="0" collapsed="false">
      <c r="A35" s="30" t="s">
        <v>303</v>
      </c>
      <c r="B35" s="30"/>
      <c r="C35" s="30"/>
      <c r="D35" s="30"/>
      <c r="E35" s="30"/>
      <c r="F35" s="30"/>
      <c r="G35" s="30"/>
      <c r="H35" s="30"/>
      <c r="I35" s="30"/>
    </row>
    <row r="36" customFormat="false" ht="15" hidden="false" customHeight="true" outlineLevel="0" collapsed="false">
      <c r="A36" s="13" t="s">
        <v>304</v>
      </c>
      <c r="B36" s="13"/>
      <c r="C36" s="13"/>
      <c r="D36" s="13"/>
      <c r="E36" s="13"/>
      <c r="F36" s="13"/>
      <c r="G36" s="13"/>
      <c r="H36" s="13"/>
      <c r="I36" s="13"/>
    </row>
  </sheetData>
  <mergeCells count="4">
    <mergeCell ref="A1:I1"/>
    <mergeCell ref="A2:I2"/>
    <mergeCell ref="A35:I35"/>
    <mergeCell ref="A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20"/>
  </cols>
  <sheetData>
    <row r="1" customFormat="false" ht="33.75" hidden="false" customHeight="true" outlineLevel="0" collapsed="false">
      <c r="A1" s="47" t="s">
        <v>305</v>
      </c>
      <c r="B1" s="47"/>
      <c r="C1" s="47"/>
      <c r="D1" s="47"/>
      <c r="E1" s="47"/>
      <c r="F1" s="47"/>
      <c r="G1" s="47"/>
      <c r="H1" s="47"/>
      <c r="I1" s="47"/>
    </row>
    <row r="2" customFormat="false" ht="25.5" hidden="false" customHeight="true" outlineLevel="0" collapsed="false">
      <c r="A2" s="48" t="s">
        <v>306</v>
      </c>
      <c r="B2" s="48"/>
      <c r="C2" s="48"/>
      <c r="D2" s="48"/>
      <c r="E2" s="48"/>
      <c r="F2" s="48"/>
      <c r="G2" s="48"/>
      <c r="H2" s="48"/>
      <c r="I2" s="48"/>
    </row>
    <row r="3" customFormat="false" ht="23.85" hidden="false" customHeight="false" outlineLevel="0" collapsed="false">
      <c r="A3" s="49" t="s">
        <v>99</v>
      </c>
      <c r="B3" s="49" t="s">
        <v>100</v>
      </c>
      <c r="C3" s="49" t="s">
        <v>307</v>
      </c>
      <c r="D3" s="49" t="s">
        <v>308</v>
      </c>
      <c r="E3" s="49" t="s">
        <v>309</v>
      </c>
      <c r="F3" s="49" t="s">
        <v>310</v>
      </c>
      <c r="G3" s="49" t="s">
        <v>311</v>
      </c>
      <c r="H3" s="49" t="s">
        <v>312</v>
      </c>
      <c r="I3" s="49" t="s">
        <v>313</v>
      </c>
    </row>
    <row r="4" customFormat="false" ht="15" hidden="false" customHeight="false" outlineLevel="0" collapsed="false">
      <c r="A4" s="11" t="n">
        <v>1</v>
      </c>
      <c r="B4" s="16"/>
      <c r="C4" s="16"/>
      <c r="D4" s="16"/>
      <c r="E4" s="16"/>
      <c r="F4" s="16"/>
      <c r="G4" s="16"/>
      <c r="H4" s="16"/>
      <c r="I4" s="45" t="n">
        <f aca="false">IFERROR(IF(MAX($G$4:$G$33)&gt;0,G4/MAX($G$4:$G$33)*100,0),0)</f>
        <v>0</v>
      </c>
    </row>
    <row r="5" customFormat="false" ht="15" hidden="false" customHeight="false" outlineLevel="0" collapsed="false">
      <c r="A5" s="7" t="n">
        <v>2</v>
      </c>
      <c r="B5" s="17"/>
      <c r="C5" s="17"/>
      <c r="D5" s="17"/>
      <c r="E5" s="17"/>
      <c r="F5" s="17"/>
      <c r="G5" s="17"/>
      <c r="H5" s="17"/>
      <c r="I5" s="46" t="n">
        <f aca="false">IFERROR(IF(MAX($G$4:$G$33)&gt;0,G5/MAX($G$4:$G$33)*100,0),0)</f>
        <v>0</v>
      </c>
    </row>
    <row r="6" customFormat="false" ht="15" hidden="false" customHeight="false" outlineLevel="0" collapsed="false">
      <c r="A6" s="11" t="n">
        <v>3</v>
      </c>
      <c r="B6" s="16"/>
      <c r="C6" s="16"/>
      <c r="D6" s="16"/>
      <c r="E6" s="16"/>
      <c r="F6" s="16"/>
      <c r="G6" s="16"/>
      <c r="H6" s="16"/>
      <c r="I6" s="45" t="n">
        <f aca="false">IFERROR(IF(MAX($G$4:$G$33)&gt;0,G6/MAX($G$4:$G$33)*100,0),0)</f>
        <v>0</v>
      </c>
    </row>
    <row r="7" customFormat="false" ht="15" hidden="false" customHeight="false" outlineLevel="0" collapsed="false">
      <c r="A7" s="7" t="n">
        <v>4</v>
      </c>
      <c r="B7" s="17"/>
      <c r="C7" s="17"/>
      <c r="D7" s="17"/>
      <c r="E7" s="17"/>
      <c r="F7" s="17"/>
      <c r="G7" s="17"/>
      <c r="H7" s="17"/>
      <c r="I7" s="46" t="n">
        <f aca="false">IFERROR(IF(MAX($G$4:$G$33)&gt;0,G7/MAX($G$4:$G$33)*100,0),0)</f>
        <v>0</v>
      </c>
    </row>
    <row r="8" customFormat="false" ht="15" hidden="false" customHeight="false" outlineLevel="0" collapsed="false">
      <c r="A8" s="11" t="n">
        <v>5</v>
      </c>
      <c r="B8" s="16"/>
      <c r="C8" s="16"/>
      <c r="D8" s="16"/>
      <c r="E8" s="16"/>
      <c r="F8" s="16"/>
      <c r="G8" s="16"/>
      <c r="H8" s="16"/>
      <c r="I8" s="45" t="n">
        <f aca="false">IFERROR(IF(MAX($G$4:$G$33)&gt;0,G8/MAX($G$4:$G$33)*100,0),0)</f>
        <v>0</v>
      </c>
    </row>
    <row r="9" customFormat="false" ht="15" hidden="false" customHeight="false" outlineLevel="0" collapsed="false">
      <c r="A9" s="7" t="n">
        <v>6</v>
      </c>
      <c r="B9" s="17"/>
      <c r="C9" s="17"/>
      <c r="D9" s="17"/>
      <c r="E9" s="17"/>
      <c r="F9" s="17"/>
      <c r="G9" s="17"/>
      <c r="H9" s="17"/>
      <c r="I9" s="46" t="n">
        <f aca="false">IFERROR(IF(MAX($G$4:$G$33)&gt;0,G9/MAX($G$4:$G$33)*100,0),0)</f>
        <v>0</v>
      </c>
    </row>
    <row r="10" customFormat="false" ht="15" hidden="false" customHeight="false" outlineLevel="0" collapsed="false">
      <c r="A10" s="11" t="n">
        <v>7</v>
      </c>
      <c r="B10" s="16"/>
      <c r="C10" s="16"/>
      <c r="D10" s="16"/>
      <c r="E10" s="16"/>
      <c r="F10" s="16"/>
      <c r="G10" s="16"/>
      <c r="H10" s="16"/>
      <c r="I10" s="45" t="n">
        <f aca="false">IFERROR(IF(MAX($G$4:$G$33)&gt;0,G10/MAX($G$4:$G$33)*100,0),0)</f>
        <v>0</v>
      </c>
    </row>
    <row r="11" customFormat="false" ht="15" hidden="false" customHeight="false" outlineLevel="0" collapsed="false">
      <c r="A11" s="7" t="n">
        <v>8</v>
      </c>
      <c r="B11" s="17"/>
      <c r="C11" s="17"/>
      <c r="D11" s="17"/>
      <c r="E11" s="17"/>
      <c r="F11" s="17"/>
      <c r="G11" s="17"/>
      <c r="H11" s="17"/>
      <c r="I11" s="46" t="n">
        <f aca="false">IFERROR(IF(MAX($G$4:$G$33)&gt;0,G11/MAX($G$4:$G$33)*100,0),0)</f>
        <v>0</v>
      </c>
    </row>
    <row r="12" customFormat="false" ht="15" hidden="false" customHeight="false" outlineLevel="0" collapsed="false">
      <c r="A12" s="11" t="n">
        <v>9</v>
      </c>
      <c r="B12" s="16"/>
      <c r="C12" s="16"/>
      <c r="D12" s="16"/>
      <c r="E12" s="16"/>
      <c r="F12" s="16"/>
      <c r="G12" s="16"/>
      <c r="H12" s="16"/>
      <c r="I12" s="45" t="n">
        <f aca="false">IFERROR(IF(MAX($G$4:$G$33)&gt;0,G12/MAX($G$4:$G$33)*100,0),0)</f>
        <v>0</v>
      </c>
    </row>
    <row r="13" customFormat="false" ht="15" hidden="false" customHeight="false" outlineLevel="0" collapsed="false">
      <c r="A13" s="7" t="n">
        <v>10</v>
      </c>
      <c r="B13" s="17"/>
      <c r="C13" s="17"/>
      <c r="D13" s="17"/>
      <c r="E13" s="17"/>
      <c r="F13" s="17"/>
      <c r="G13" s="17"/>
      <c r="H13" s="17"/>
      <c r="I13" s="46" t="n">
        <f aca="false">IFERROR(IF(MAX($G$4:$G$33)&gt;0,G13/MAX($G$4:$G$33)*100,0),0)</f>
        <v>0</v>
      </c>
    </row>
    <row r="14" customFormat="false" ht="15" hidden="false" customHeight="false" outlineLevel="0" collapsed="false">
      <c r="A14" s="11" t="n">
        <v>11</v>
      </c>
      <c r="B14" s="16"/>
      <c r="C14" s="16"/>
      <c r="D14" s="16"/>
      <c r="E14" s="16"/>
      <c r="F14" s="16"/>
      <c r="G14" s="16"/>
      <c r="H14" s="16"/>
      <c r="I14" s="45" t="n">
        <f aca="false">IFERROR(IF(MAX($G$4:$G$33)&gt;0,G14/MAX($G$4:$G$33)*100,0),0)</f>
        <v>0</v>
      </c>
    </row>
    <row r="15" customFormat="false" ht="15" hidden="false" customHeight="false" outlineLevel="0" collapsed="false">
      <c r="A15" s="7" t="n">
        <v>12</v>
      </c>
      <c r="B15" s="17"/>
      <c r="C15" s="17"/>
      <c r="D15" s="17"/>
      <c r="E15" s="17"/>
      <c r="F15" s="17"/>
      <c r="G15" s="17"/>
      <c r="H15" s="17"/>
      <c r="I15" s="46" t="n">
        <f aca="false">IFERROR(IF(MAX($G$4:$G$33)&gt;0,G15/MAX($G$4:$G$33)*100,0),0)</f>
        <v>0</v>
      </c>
    </row>
    <row r="16" customFormat="false" ht="15" hidden="false" customHeight="false" outlineLevel="0" collapsed="false">
      <c r="A16" s="11" t="n">
        <v>13</v>
      </c>
      <c r="B16" s="16"/>
      <c r="C16" s="16"/>
      <c r="D16" s="16"/>
      <c r="E16" s="16"/>
      <c r="F16" s="16"/>
      <c r="G16" s="16"/>
      <c r="H16" s="16"/>
      <c r="I16" s="45" t="n">
        <f aca="false">IFERROR(IF(MAX($G$4:$G$33)&gt;0,G16/MAX($G$4:$G$33)*100,0),0)</f>
        <v>0</v>
      </c>
    </row>
    <row r="17" customFormat="false" ht="15" hidden="false" customHeight="false" outlineLevel="0" collapsed="false">
      <c r="A17" s="7" t="n">
        <v>14</v>
      </c>
      <c r="B17" s="17"/>
      <c r="C17" s="17"/>
      <c r="D17" s="17"/>
      <c r="E17" s="17"/>
      <c r="F17" s="17"/>
      <c r="G17" s="17"/>
      <c r="H17" s="17"/>
      <c r="I17" s="46" t="n">
        <f aca="false">IFERROR(IF(MAX($G$4:$G$33)&gt;0,G17/MAX($G$4:$G$33)*100,0),0)</f>
        <v>0</v>
      </c>
    </row>
    <row r="18" customFormat="false" ht="15" hidden="false" customHeight="false" outlineLevel="0" collapsed="false">
      <c r="A18" s="11" t="n">
        <v>15</v>
      </c>
      <c r="B18" s="16"/>
      <c r="C18" s="16"/>
      <c r="D18" s="16"/>
      <c r="E18" s="16"/>
      <c r="F18" s="16"/>
      <c r="G18" s="16"/>
      <c r="H18" s="16"/>
      <c r="I18" s="45" t="n">
        <f aca="false">IFERROR(IF(MAX($G$4:$G$33)&gt;0,G18/MAX($G$4:$G$33)*100,0),0)</f>
        <v>0</v>
      </c>
    </row>
    <row r="19" customFormat="false" ht="15" hidden="false" customHeight="false" outlineLevel="0" collapsed="false">
      <c r="A19" s="7" t="n">
        <v>16</v>
      </c>
      <c r="B19" s="17"/>
      <c r="C19" s="17"/>
      <c r="D19" s="17"/>
      <c r="E19" s="17"/>
      <c r="F19" s="17"/>
      <c r="G19" s="17"/>
      <c r="H19" s="17"/>
      <c r="I19" s="46" t="n">
        <f aca="false">IFERROR(IF(MAX($G$4:$G$33)&gt;0,G19/MAX($G$4:$G$33)*100,0),0)</f>
        <v>0</v>
      </c>
    </row>
    <row r="20" customFormat="false" ht="15" hidden="false" customHeight="false" outlineLevel="0" collapsed="false">
      <c r="A20" s="11" t="n">
        <v>17</v>
      </c>
      <c r="B20" s="16"/>
      <c r="C20" s="16"/>
      <c r="D20" s="16"/>
      <c r="E20" s="16"/>
      <c r="F20" s="16"/>
      <c r="G20" s="16"/>
      <c r="H20" s="16"/>
      <c r="I20" s="45" t="n">
        <f aca="false">IFERROR(IF(MAX($G$4:$G$33)&gt;0,G20/MAX($G$4:$G$33)*100,0),0)</f>
        <v>0</v>
      </c>
    </row>
    <row r="21" customFormat="false" ht="15" hidden="false" customHeight="false" outlineLevel="0" collapsed="false">
      <c r="A21" s="7" t="n">
        <v>18</v>
      </c>
      <c r="B21" s="17"/>
      <c r="C21" s="17"/>
      <c r="D21" s="17"/>
      <c r="E21" s="17"/>
      <c r="F21" s="17"/>
      <c r="G21" s="17"/>
      <c r="H21" s="17"/>
      <c r="I21" s="46" t="n">
        <f aca="false">IFERROR(IF(MAX($G$4:$G$33)&gt;0,G21/MAX($G$4:$G$33)*100,0),0)</f>
        <v>0</v>
      </c>
    </row>
    <row r="22" customFormat="false" ht="15" hidden="false" customHeight="false" outlineLevel="0" collapsed="false">
      <c r="A22" s="11" t="n">
        <v>19</v>
      </c>
      <c r="B22" s="16"/>
      <c r="C22" s="16"/>
      <c r="D22" s="16"/>
      <c r="E22" s="16"/>
      <c r="F22" s="16"/>
      <c r="G22" s="16"/>
      <c r="H22" s="16"/>
      <c r="I22" s="45" t="n">
        <f aca="false">IFERROR(IF(MAX($G$4:$G$33)&gt;0,G22/MAX($G$4:$G$33)*100,0),0)</f>
        <v>0</v>
      </c>
    </row>
    <row r="23" customFormat="false" ht="15" hidden="false" customHeight="false" outlineLevel="0" collapsed="false">
      <c r="A23" s="7" t="n">
        <v>20</v>
      </c>
      <c r="B23" s="17"/>
      <c r="C23" s="17"/>
      <c r="D23" s="17"/>
      <c r="E23" s="17"/>
      <c r="F23" s="17"/>
      <c r="G23" s="17"/>
      <c r="H23" s="17"/>
      <c r="I23" s="46" t="n">
        <f aca="false">IFERROR(IF(MAX($G$4:$G$33)&gt;0,G23/MAX($G$4:$G$33)*100,0),0)</f>
        <v>0</v>
      </c>
    </row>
    <row r="24" customFormat="false" ht="15" hidden="false" customHeight="false" outlineLevel="0" collapsed="false">
      <c r="A24" s="11" t="n">
        <v>21</v>
      </c>
      <c r="B24" s="16"/>
      <c r="C24" s="16"/>
      <c r="D24" s="16"/>
      <c r="E24" s="16"/>
      <c r="F24" s="16"/>
      <c r="G24" s="16"/>
      <c r="H24" s="16"/>
      <c r="I24" s="45" t="n">
        <f aca="false">IFERROR(IF(MAX($G$4:$G$33)&gt;0,G24/MAX($G$4:$G$33)*100,0),0)</f>
        <v>0</v>
      </c>
    </row>
    <row r="25" customFormat="false" ht="15" hidden="false" customHeight="false" outlineLevel="0" collapsed="false">
      <c r="A25" s="7" t="n">
        <v>22</v>
      </c>
      <c r="B25" s="17"/>
      <c r="C25" s="17"/>
      <c r="D25" s="17"/>
      <c r="E25" s="17"/>
      <c r="F25" s="17"/>
      <c r="G25" s="17"/>
      <c r="H25" s="17"/>
      <c r="I25" s="46" t="n">
        <f aca="false">IFERROR(IF(MAX($G$4:$G$33)&gt;0,G25/MAX($G$4:$G$33)*100,0),0)</f>
        <v>0</v>
      </c>
    </row>
    <row r="26" customFormat="false" ht="15" hidden="false" customHeight="false" outlineLevel="0" collapsed="false">
      <c r="A26" s="11" t="n">
        <v>23</v>
      </c>
      <c r="B26" s="16"/>
      <c r="C26" s="16"/>
      <c r="D26" s="16"/>
      <c r="E26" s="16"/>
      <c r="F26" s="16"/>
      <c r="G26" s="16"/>
      <c r="H26" s="16"/>
      <c r="I26" s="45" t="n">
        <f aca="false">IFERROR(IF(MAX($G$4:$G$33)&gt;0,G26/MAX($G$4:$G$33)*100,0),0)</f>
        <v>0</v>
      </c>
    </row>
    <row r="27" customFormat="false" ht="15" hidden="false" customHeight="false" outlineLevel="0" collapsed="false">
      <c r="A27" s="7" t="n">
        <v>24</v>
      </c>
      <c r="B27" s="17"/>
      <c r="C27" s="17"/>
      <c r="D27" s="17"/>
      <c r="E27" s="17"/>
      <c r="F27" s="17"/>
      <c r="G27" s="17"/>
      <c r="H27" s="17"/>
      <c r="I27" s="46" t="n">
        <f aca="false">IFERROR(IF(MAX($G$4:$G$33)&gt;0,G27/MAX($G$4:$G$33)*100,0),0)</f>
        <v>0</v>
      </c>
    </row>
    <row r="28" customFormat="false" ht="15" hidden="false" customHeight="false" outlineLevel="0" collapsed="false">
      <c r="A28" s="11" t="n">
        <v>25</v>
      </c>
      <c r="B28" s="16"/>
      <c r="C28" s="16"/>
      <c r="D28" s="16"/>
      <c r="E28" s="16"/>
      <c r="F28" s="16"/>
      <c r="G28" s="16"/>
      <c r="H28" s="16"/>
      <c r="I28" s="45" t="n">
        <f aca="false">IFERROR(IF(MAX($G$4:$G$33)&gt;0,G28/MAX($G$4:$G$33)*100,0),0)</f>
        <v>0</v>
      </c>
    </row>
    <row r="29" customFormat="false" ht="15" hidden="false" customHeight="false" outlineLevel="0" collapsed="false">
      <c r="A29" s="7" t="n">
        <v>26</v>
      </c>
      <c r="B29" s="17"/>
      <c r="C29" s="17"/>
      <c r="D29" s="17"/>
      <c r="E29" s="17"/>
      <c r="F29" s="17"/>
      <c r="G29" s="17"/>
      <c r="H29" s="17"/>
      <c r="I29" s="46" t="n">
        <f aca="false">IFERROR(IF(MAX($G$4:$G$33)&gt;0,G29/MAX($G$4:$G$33)*100,0),0)</f>
        <v>0</v>
      </c>
    </row>
    <row r="30" customFormat="false" ht="15" hidden="false" customHeight="false" outlineLevel="0" collapsed="false">
      <c r="A30" s="11" t="n">
        <v>27</v>
      </c>
      <c r="B30" s="16"/>
      <c r="C30" s="16"/>
      <c r="D30" s="16"/>
      <c r="E30" s="16"/>
      <c r="F30" s="16"/>
      <c r="G30" s="16"/>
      <c r="H30" s="16"/>
      <c r="I30" s="45" t="n">
        <f aca="false">IFERROR(IF(MAX($G$4:$G$33)&gt;0,G30/MAX($G$4:$G$33)*100,0),0)</f>
        <v>0</v>
      </c>
    </row>
    <row r="31" customFormat="false" ht="15" hidden="false" customHeight="false" outlineLevel="0" collapsed="false">
      <c r="A31" s="7" t="n">
        <v>28</v>
      </c>
      <c r="B31" s="17"/>
      <c r="C31" s="17"/>
      <c r="D31" s="17"/>
      <c r="E31" s="17"/>
      <c r="F31" s="17"/>
      <c r="G31" s="17"/>
      <c r="H31" s="17"/>
      <c r="I31" s="46" t="n">
        <f aca="false">IFERROR(IF(MAX($G$4:$G$33)&gt;0,G31/MAX($G$4:$G$33)*100,0),0)</f>
        <v>0</v>
      </c>
    </row>
    <row r="32" customFormat="false" ht="15" hidden="false" customHeight="false" outlineLevel="0" collapsed="false">
      <c r="A32" s="11" t="n">
        <v>29</v>
      </c>
      <c r="B32" s="16"/>
      <c r="C32" s="16"/>
      <c r="D32" s="16"/>
      <c r="E32" s="16"/>
      <c r="F32" s="16"/>
      <c r="G32" s="16"/>
      <c r="H32" s="16"/>
      <c r="I32" s="45" t="n">
        <f aca="false">IFERROR(IF(MAX($G$4:$G$33)&gt;0,G32/MAX($G$4:$G$33)*100,0),0)</f>
        <v>0</v>
      </c>
    </row>
    <row r="33" customFormat="false" ht="15" hidden="false" customHeight="false" outlineLevel="0" collapsed="false">
      <c r="A33" s="7" t="n">
        <v>30</v>
      </c>
      <c r="B33" s="17"/>
      <c r="C33" s="17"/>
      <c r="D33" s="17"/>
      <c r="E33" s="17"/>
      <c r="F33" s="17"/>
      <c r="G33" s="17"/>
      <c r="H33" s="17"/>
      <c r="I33" s="46" t="n">
        <f aca="false">IFERROR(IF(MAX($G$4:$G$33)&gt;0,G33/MAX($G$4:$G$33)*100,0),0)</f>
        <v>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5" min="3" style="0" width="18"/>
    <col collapsed="false" customWidth="true" hidden="false" outlineLevel="0" max="7" min="6" style="0" width="20"/>
    <col collapsed="false" customWidth="true" hidden="false" outlineLevel="0" max="8" min="8" style="0" width="16"/>
  </cols>
  <sheetData>
    <row r="1" customFormat="false" ht="33.75" hidden="false" customHeight="true" outlineLevel="0" collapsed="false">
      <c r="A1" s="50" t="s">
        <v>314</v>
      </c>
      <c r="B1" s="50"/>
      <c r="C1" s="50"/>
      <c r="D1" s="50"/>
      <c r="E1" s="50"/>
      <c r="F1" s="50"/>
      <c r="G1" s="50"/>
      <c r="H1" s="50"/>
    </row>
    <row r="2" customFormat="false" ht="25.5" hidden="false" customHeight="true" outlineLevel="0" collapsed="false">
      <c r="A2" s="51" t="s">
        <v>315</v>
      </c>
      <c r="B2" s="51"/>
      <c r="C2" s="51"/>
      <c r="D2" s="51"/>
      <c r="E2" s="51"/>
      <c r="F2" s="51"/>
      <c r="G2" s="51"/>
      <c r="H2" s="51"/>
    </row>
    <row r="3" customFormat="false" ht="23.85" hidden="false" customHeight="false" outlineLevel="0" collapsed="false">
      <c r="A3" s="38" t="s">
        <v>99</v>
      </c>
      <c r="B3" s="38" t="s">
        <v>100</v>
      </c>
      <c r="C3" s="38" t="s">
        <v>316</v>
      </c>
      <c r="D3" s="38" t="s">
        <v>317</v>
      </c>
      <c r="E3" s="38" t="s">
        <v>318</v>
      </c>
      <c r="F3" s="38" t="s">
        <v>319</v>
      </c>
      <c r="G3" s="38" t="s">
        <v>320</v>
      </c>
      <c r="H3" s="38" t="s">
        <v>110</v>
      </c>
    </row>
    <row r="4" customFormat="false" ht="15" hidden="false" customHeight="false" outlineLevel="0" collapsed="false">
      <c r="B4" s="52" t="s">
        <v>321</v>
      </c>
      <c r="C4" s="53" t="n">
        <v>0.6</v>
      </c>
      <c r="D4" s="53" t="n">
        <v>0.3</v>
      </c>
      <c r="E4" s="53" t="n">
        <v>0.1</v>
      </c>
    </row>
    <row r="5" customFormat="false" ht="15" hidden="false" customHeight="false" outlineLevel="0" collapsed="false">
      <c r="A5" s="7" t="n">
        <v>1</v>
      </c>
      <c r="B5" s="17"/>
      <c r="C5" s="46" t="n">
        <f aca="false">'8. Vote Counts'!I4</f>
        <v>0</v>
      </c>
      <c r="D5" s="46" t="n">
        <f aca="false">'6. Pairwise Scoring'!K4</f>
        <v>0</v>
      </c>
      <c r="E5" s="46" t="n">
        <f aca="false">'7. Voter Diversity'!H4</f>
        <v>0</v>
      </c>
      <c r="F5" s="46" t="n">
        <f aca="false">C5*$C$4+D5*$D$4+E5*$E$4</f>
        <v>0</v>
      </c>
      <c r="G5" s="7" t="n">
        <f aca="false">IFERROR(RANK(F5,$F$5:$F$34,0),"")</f>
        <v>1</v>
      </c>
      <c r="H5" s="17"/>
    </row>
    <row r="6" customFormat="false" ht="15" hidden="false" customHeight="false" outlineLevel="0" collapsed="false">
      <c r="A6" s="11" t="n">
        <v>2</v>
      </c>
      <c r="B6" s="16"/>
      <c r="C6" s="45" t="n">
        <f aca="false">'8. Vote Counts'!I5</f>
        <v>0</v>
      </c>
      <c r="D6" s="45" t="n">
        <f aca="false">'6. Pairwise Scoring'!K5</f>
        <v>0</v>
      </c>
      <c r="E6" s="45" t="n">
        <f aca="false">'7. Voter Diversity'!H5</f>
        <v>0</v>
      </c>
      <c r="F6" s="45" t="n">
        <f aca="false">C6*$C$4+D6*$D$4+E6*$E$4</f>
        <v>0</v>
      </c>
      <c r="G6" s="11" t="n">
        <f aca="false">IFERROR(RANK(F6,$F$5:$F$34,0),"")</f>
        <v>1</v>
      </c>
      <c r="H6" s="16"/>
    </row>
    <row r="7" customFormat="false" ht="15" hidden="false" customHeight="false" outlineLevel="0" collapsed="false">
      <c r="A7" s="7" t="n">
        <v>3</v>
      </c>
      <c r="B7" s="17"/>
      <c r="C7" s="46" t="n">
        <f aca="false">'8. Vote Counts'!I6</f>
        <v>0</v>
      </c>
      <c r="D7" s="46" t="n">
        <f aca="false">'6. Pairwise Scoring'!K6</f>
        <v>0</v>
      </c>
      <c r="E7" s="46" t="n">
        <f aca="false">'7. Voter Diversity'!H6</f>
        <v>0</v>
      </c>
      <c r="F7" s="46" t="n">
        <f aca="false">C7*$C$4+D7*$D$4+E7*$E$4</f>
        <v>0</v>
      </c>
      <c r="G7" s="7" t="n">
        <f aca="false">IFERROR(RANK(F7,$F$5:$F$34,0),"")</f>
        <v>1</v>
      </c>
      <c r="H7" s="17"/>
    </row>
    <row r="8" customFormat="false" ht="15" hidden="false" customHeight="false" outlineLevel="0" collapsed="false">
      <c r="A8" s="11" t="n">
        <v>4</v>
      </c>
      <c r="B8" s="16"/>
      <c r="C8" s="45" t="n">
        <f aca="false">'8. Vote Counts'!I7</f>
        <v>0</v>
      </c>
      <c r="D8" s="45" t="n">
        <f aca="false">'6. Pairwise Scoring'!K7</f>
        <v>0</v>
      </c>
      <c r="E8" s="45" t="n">
        <f aca="false">'7. Voter Diversity'!H7</f>
        <v>0</v>
      </c>
      <c r="F8" s="45" t="n">
        <f aca="false">C8*$C$4+D8*$D$4+E8*$E$4</f>
        <v>0</v>
      </c>
      <c r="G8" s="11" t="n">
        <f aca="false">IFERROR(RANK(F8,$F$5:$F$34,0),"")</f>
        <v>1</v>
      </c>
      <c r="H8" s="16"/>
    </row>
    <row r="9" customFormat="false" ht="15" hidden="false" customHeight="false" outlineLevel="0" collapsed="false">
      <c r="A9" s="7" t="n">
        <v>5</v>
      </c>
      <c r="B9" s="17"/>
      <c r="C9" s="46" t="n">
        <f aca="false">'8. Vote Counts'!I8</f>
        <v>0</v>
      </c>
      <c r="D9" s="46" t="n">
        <f aca="false">'6. Pairwise Scoring'!K8</f>
        <v>0</v>
      </c>
      <c r="E9" s="46" t="n">
        <f aca="false">'7. Voter Diversity'!H8</f>
        <v>0</v>
      </c>
      <c r="F9" s="46" t="n">
        <f aca="false">C9*$C$4+D9*$D$4+E9*$E$4</f>
        <v>0</v>
      </c>
      <c r="G9" s="7" t="n">
        <f aca="false">IFERROR(RANK(F9,$F$5:$F$34,0),"")</f>
        <v>1</v>
      </c>
      <c r="H9" s="17"/>
    </row>
    <row r="10" customFormat="false" ht="15" hidden="false" customHeight="false" outlineLevel="0" collapsed="false">
      <c r="A10" s="11" t="n">
        <v>6</v>
      </c>
      <c r="B10" s="16"/>
      <c r="C10" s="45" t="n">
        <f aca="false">'8. Vote Counts'!I9</f>
        <v>0</v>
      </c>
      <c r="D10" s="45" t="n">
        <f aca="false">'6. Pairwise Scoring'!K9</f>
        <v>0</v>
      </c>
      <c r="E10" s="45" t="n">
        <f aca="false">'7. Voter Diversity'!H9</f>
        <v>0</v>
      </c>
      <c r="F10" s="45" t="n">
        <f aca="false">C10*$C$4+D10*$D$4+E10*$E$4</f>
        <v>0</v>
      </c>
      <c r="G10" s="11" t="n">
        <f aca="false">IFERROR(RANK(F10,$F$5:$F$34,0),"")</f>
        <v>1</v>
      </c>
      <c r="H10" s="16"/>
    </row>
    <row r="11" customFormat="false" ht="15" hidden="false" customHeight="false" outlineLevel="0" collapsed="false">
      <c r="A11" s="7" t="n">
        <v>7</v>
      </c>
      <c r="B11" s="17"/>
      <c r="C11" s="46" t="n">
        <f aca="false">'8. Vote Counts'!I10</f>
        <v>0</v>
      </c>
      <c r="D11" s="46" t="n">
        <f aca="false">'6. Pairwise Scoring'!K10</f>
        <v>0</v>
      </c>
      <c r="E11" s="46" t="n">
        <f aca="false">'7. Voter Diversity'!H10</f>
        <v>0</v>
      </c>
      <c r="F11" s="46" t="n">
        <f aca="false">C11*$C$4+D11*$D$4+E11*$E$4</f>
        <v>0</v>
      </c>
      <c r="G11" s="7" t="n">
        <f aca="false">IFERROR(RANK(F11,$F$5:$F$34,0),"")</f>
        <v>1</v>
      </c>
      <c r="H11" s="17"/>
    </row>
    <row r="12" customFormat="false" ht="15" hidden="false" customHeight="false" outlineLevel="0" collapsed="false">
      <c r="A12" s="11" t="n">
        <v>8</v>
      </c>
      <c r="B12" s="16"/>
      <c r="C12" s="45" t="n">
        <f aca="false">'8. Vote Counts'!I11</f>
        <v>0</v>
      </c>
      <c r="D12" s="45" t="n">
        <f aca="false">'6. Pairwise Scoring'!K11</f>
        <v>0</v>
      </c>
      <c r="E12" s="45" t="n">
        <f aca="false">'7. Voter Diversity'!H11</f>
        <v>0</v>
      </c>
      <c r="F12" s="45" t="n">
        <f aca="false">C12*$C$4+D12*$D$4+E12*$E$4</f>
        <v>0</v>
      </c>
      <c r="G12" s="11" t="n">
        <f aca="false">IFERROR(RANK(F12,$F$5:$F$34,0),"")</f>
        <v>1</v>
      </c>
      <c r="H12" s="16"/>
    </row>
    <row r="13" customFormat="false" ht="15" hidden="false" customHeight="false" outlineLevel="0" collapsed="false">
      <c r="A13" s="7" t="n">
        <v>9</v>
      </c>
      <c r="B13" s="17"/>
      <c r="C13" s="46" t="n">
        <f aca="false">'8. Vote Counts'!I12</f>
        <v>0</v>
      </c>
      <c r="D13" s="46" t="n">
        <f aca="false">'6. Pairwise Scoring'!K12</f>
        <v>0</v>
      </c>
      <c r="E13" s="46" t="n">
        <f aca="false">'7. Voter Diversity'!H12</f>
        <v>0</v>
      </c>
      <c r="F13" s="46" t="n">
        <f aca="false">C13*$C$4+D13*$D$4+E13*$E$4</f>
        <v>0</v>
      </c>
      <c r="G13" s="7" t="n">
        <f aca="false">IFERROR(RANK(F13,$F$5:$F$34,0),"")</f>
        <v>1</v>
      </c>
      <c r="H13" s="17"/>
    </row>
    <row r="14" customFormat="false" ht="15" hidden="false" customHeight="false" outlineLevel="0" collapsed="false">
      <c r="A14" s="11" t="n">
        <v>10</v>
      </c>
      <c r="B14" s="16"/>
      <c r="C14" s="45" t="n">
        <f aca="false">'8. Vote Counts'!I13</f>
        <v>0</v>
      </c>
      <c r="D14" s="45" t="n">
        <f aca="false">'6. Pairwise Scoring'!K13</f>
        <v>0</v>
      </c>
      <c r="E14" s="45" t="n">
        <f aca="false">'7. Voter Diversity'!H13</f>
        <v>0</v>
      </c>
      <c r="F14" s="45" t="n">
        <f aca="false">C14*$C$4+D14*$D$4+E14*$E$4</f>
        <v>0</v>
      </c>
      <c r="G14" s="11" t="n">
        <f aca="false">IFERROR(RANK(F14,$F$5:$F$34,0),"")</f>
        <v>1</v>
      </c>
      <c r="H14" s="16"/>
    </row>
    <row r="15" customFormat="false" ht="15" hidden="false" customHeight="false" outlineLevel="0" collapsed="false">
      <c r="A15" s="7" t="n">
        <v>11</v>
      </c>
      <c r="B15" s="17"/>
      <c r="C15" s="46" t="n">
        <f aca="false">'8. Vote Counts'!I14</f>
        <v>0</v>
      </c>
      <c r="D15" s="46" t="n">
        <f aca="false">'6. Pairwise Scoring'!K14</f>
        <v>0</v>
      </c>
      <c r="E15" s="46" t="n">
        <f aca="false">'7. Voter Diversity'!H14</f>
        <v>0</v>
      </c>
      <c r="F15" s="46" t="n">
        <f aca="false">C15*$C$4+D15*$D$4+E15*$E$4</f>
        <v>0</v>
      </c>
      <c r="G15" s="7" t="n">
        <f aca="false">IFERROR(RANK(F15,$F$5:$F$34,0),"")</f>
        <v>1</v>
      </c>
      <c r="H15" s="17"/>
    </row>
    <row r="16" customFormat="false" ht="15" hidden="false" customHeight="false" outlineLevel="0" collapsed="false">
      <c r="A16" s="11" t="n">
        <v>12</v>
      </c>
      <c r="B16" s="16"/>
      <c r="C16" s="45" t="n">
        <f aca="false">'8. Vote Counts'!I15</f>
        <v>0</v>
      </c>
      <c r="D16" s="45" t="n">
        <f aca="false">'6. Pairwise Scoring'!K15</f>
        <v>0</v>
      </c>
      <c r="E16" s="45" t="n">
        <f aca="false">'7. Voter Diversity'!H15</f>
        <v>0</v>
      </c>
      <c r="F16" s="45" t="n">
        <f aca="false">C16*$C$4+D16*$D$4+E16*$E$4</f>
        <v>0</v>
      </c>
      <c r="G16" s="11" t="n">
        <f aca="false">IFERROR(RANK(F16,$F$5:$F$34,0),"")</f>
        <v>1</v>
      </c>
      <c r="H16" s="16"/>
    </row>
    <row r="17" customFormat="false" ht="15" hidden="false" customHeight="false" outlineLevel="0" collapsed="false">
      <c r="A17" s="7" t="n">
        <v>13</v>
      </c>
      <c r="B17" s="17"/>
      <c r="C17" s="46" t="n">
        <f aca="false">'8. Vote Counts'!I16</f>
        <v>0</v>
      </c>
      <c r="D17" s="46" t="n">
        <f aca="false">'6. Pairwise Scoring'!K16</f>
        <v>0</v>
      </c>
      <c r="E17" s="46" t="n">
        <f aca="false">'7. Voter Diversity'!H16</f>
        <v>0</v>
      </c>
      <c r="F17" s="46" t="n">
        <f aca="false">C17*$C$4+D17*$D$4+E17*$E$4</f>
        <v>0</v>
      </c>
      <c r="G17" s="7" t="n">
        <f aca="false">IFERROR(RANK(F17,$F$5:$F$34,0),"")</f>
        <v>1</v>
      </c>
      <c r="H17" s="17"/>
    </row>
    <row r="18" customFormat="false" ht="15" hidden="false" customHeight="false" outlineLevel="0" collapsed="false">
      <c r="A18" s="11" t="n">
        <v>14</v>
      </c>
      <c r="B18" s="16"/>
      <c r="C18" s="45" t="n">
        <f aca="false">'8. Vote Counts'!I17</f>
        <v>0</v>
      </c>
      <c r="D18" s="45" t="n">
        <f aca="false">'6. Pairwise Scoring'!K17</f>
        <v>0</v>
      </c>
      <c r="E18" s="45" t="n">
        <f aca="false">'7. Voter Diversity'!H17</f>
        <v>0</v>
      </c>
      <c r="F18" s="45" t="n">
        <f aca="false">C18*$C$4+D18*$D$4+E18*$E$4</f>
        <v>0</v>
      </c>
      <c r="G18" s="11" t="n">
        <f aca="false">IFERROR(RANK(F18,$F$5:$F$34,0),"")</f>
        <v>1</v>
      </c>
      <c r="H18" s="16"/>
    </row>
    <row r="19" customFormat="false" ht="15" hidden="false" customHeight="false" outlineLevel="0" collapsed="false">
      <c r="A19" s="7" t="n">
        <v>15</v>
      </c>
      <c r="B19" s="17"/>
      <c r="C19" s="46" t="n">
        <f aca="false">'8. Vote Counts'!I18</f>
        <v>0</v>
      </c>
      <c r="D19" s="46" t="n">
        <f aca="false">'6. Pairwise Scoring'!K18</f>
        <v>0</v>
      </c>
      <c r="E19" s="46" t="n">
        <f aca="false">'7. Voter Diversity'!H18</f>
        <v>0</v>
      </c>
      <c r="F19" s="46" t="n">
        <f aca="false">C19*$C$4+D19*$D$4+E19*$E$4</f>
        <v>0</v>
      </c>
      <c r="G19" s="7" t="n">
        <f aca="false">IFERROR(RANK(F19,$F$5:$F$34,0),"")</f>
        <v>1</v>
      </c>
      <c r="H19" s="17"/>
    </row>
    <row r="20" customFormat="false" ht="15" hidden="false" customHeight="false" outlineLevel="0" collapsed="false">
      <c r="A20" s="11" t="n">
        <v>16</v>
      </c>
      <c r="B20" s="16"/>
      <c r="C20" s="45" t="n">
        <f aca="false">'8. Vote Counts'!I19</f>
        <v>0</v>
      </c>
      <c r="D20" s="45" t="n">
        <f aca="false">'6. Pairwise Scoring'!K19</f>
        <v>0</v>
      </c>
      <c r="E20" s="45" t="n">
        <f aca="false">'7. Voter Diversity'!H19</f>
        <v>0</v>
      </c>
      <c r="F20" s="45" t="n">
        <f aca="false">C20*$C$4+D20*$D$4+E20*$E$4</f>
        <v>0</v>
      </c>
      <c r="G20" s="11" t="n">
        <f aca="false">IFERROR(RANK(F20,$F$5:$F$34,0),"")</f>
        <v>1</v>
      </c>
      <c r="H20" s="16"/>
    </row>
    <row r="21" customFormat="false" ht="15" hidden="false" customHeight="false" outlineLevel="0" collapsed="false">
      <c r="A21" s="7" t="n">
        <v>17</v>
      </c>
      <c r="B21" s="17"/>
      <c r="C21" s="46" t="n">
        <f aca="false">'8. Vote Counts'!I20</f>
        <v>0</v>
      </c>
      <c r="D21" s="46" t="n">
        <f aca="false">'6. Pairwise Scoring'!K20</f>
        <v>0</v>
      </c>
      <c r="E21" s="46" t="n">
        <f aca="false">'7. Voter Diversity'!H20</f>
        <v>0</v>
      </c>
      <c r="F21" s="46" t="n">
        <f aca="false">C21*$C$4+D21*$D$4+E21*$E$4</f>
        <v>0</v>
      </c>
      <c r="G21" s="7" t="n">
        <f aca="false">IFERROR(RANK(F21,$F$5:$F$34,0),"")</f>
        <v>1</v>
      </c>
      <c r="H21" s="17"/>
    </row>
    <row r="22" customFormat="false" ht="15" hidden="false" customHeight="false" outlineLevel="0" collapsed="false">
      <c r="A22" s="11" t="n">
        <v>18</v>
      </c>
      <c r="B22" s="16"/>
      <c r="C22" s="45" t="n">
        <f aca="false">'8. Vote Counts'!I21</f>
        <v>0</v>
      </c>
      <c r="D22" s="45" t="n">
        <f aca="false">'6. Pairwise Scoring'!K21</f>
        <v>0</v>
      </c>
      <c r="E22" s="45" t="n">
        <f aca="false">'7. Voter Diversity'!H21</f>
        <v>0</v>
      </c>
      <c r="F22" s="45" t="n">
        <f aca="false">C22*$C$4+D22*$D$4+E22*$E$4</f>
        <v>0</v>
      </c>
      <c r="G22" s="11" t="n">
        <f aca="false">IFERROR(RANK(F22,$F$5:$F$34,0),"")</f>
        <v>1</v>
      </c>
      <c r="H22" s="16"/>
    </row>
    <row r="23" customFormat="false" ht="15" hidden="false" customHeight="false" outlineLevel="0" collapsed="false">
      <c r="A23" s="7" t="n">
        <v>19</v>
      </c>
      <c r="B23" s="17"/>
      <c r="C23" s="46" t="n">
        <f aca="false">'8. Vote Counts'!I22</f>
        <v>0</v>
      </c>
      <c r="D23" s="46" t="n">
        <f aca="false">'6. Pairwise Scoring'!K22</f>
        <v>0</v>
      </c>
      <c r="E23" s="46" t="n">
        <f aca="false">'7. Voter Diversity'!H22</f>
        <v>0</v>
      </c>
      <c r="F23" s="46" t="n">
        <f aca="false">C23*$C$4+D23*$D$4+E23*$E$4</f>
        <v>0</v>
      </c>
      <c r="G23" s="7" t="n">
        <f aca="false">IFERROR(RANK(F23,$F$5:$F$34,0),"")</f>
        <v>1</v>
      </c>
      <c r="H23" s="17"/>
    </row>
    <row r="24" customFormat="false" ht="15" hidden="false" customHeight="false" outlineLevel="0" collapsed="false">
      <c r="A24" s="11" t="n">
        <v>20</v>
      </c>
      <c r="B24" s="16"/>
      <c r="C24" s="45" t="n">
        <f aca="false">'8. Vote Counts'!I23</f>
        <v>0</v>
      </c>
      <c r="D24" s="45" t="n">
        <f aca="false">'6. Pairwise Scoring'!K23</f>
        <v>0</v>
      </c>
      <c r="E24" s="45" t="n">
        <f aca="false">'7. Voter Diversity'!H23</f>
        <v>0</v>
      </c>
      <c r="F24" s="45" t="n">
        <f aca="false">C24*$C$4+D24*$D$4+E24*$E$4</f>
        <v>0</v>
      </c>
      <c r="G24" s="11" t="n">
        <f aca="false">IFERROR(RANK(F24,$F$5:$F$34,0),"")</f>
        <v>1</v>
      </c>
      <c r="H24" s="16"/>
    </row>
    <row r="25" customFormat="false" ht="15" hidden="false" customHeight="false" outlineLevel="0" collapsed="false">
      <c r="A25" s="7" t="n">
        <v>21</v>
      </c>
      <c r="B25" s="17"/>
      <c r="C25" s="46" t="n">
        <f aca="false">'8. Vote Counts'!I24</f>
        <v>0</v>
      </c>
      <c r="D25" s="46" t="n">
        <f aca="false">'6. Pairwise Scoring'!K24</f>
        <v>0</v>
      </c>
      <c r="E25" s="46" t="n">
        <f aca="false">'7. Voter Diversity'!H24</f>
        <v>0</v>
      </c>
      <c r="F25" s="46" t="n">
        <f aca="false">C25*$C$4+D25*$D$4+E25*$E$4</f>
        <v>0</v>
      </c>
      <c r="G25" s="7" t="n">
        <f aca="false">IFERROR(RANK(F25,$F$5:$F$34,0),"")</f>
        <v>1</v>
      </c>
      <c r="H25" s="17"/>
    </row>
    <row r="26" customFormat="false" ht="15" hidden="false" customHeight="false" outlineLevel="0" collapsed="false">
      <c r="A26" s="11" t="n">
        <v>22</v>
      </c>
      <c r="B26" s="16"/>
      <c r="C26" s="45" t="n">
        <f aca="false">'8. Vote Counts'!I25</f>
        <v>0</v>
      </c>
      <c r="D26" s="45" t="n">
        <f aca="false">'6. Pairwise Scoring'!K25</f>
        <v>0</v>
      </c>
      <c r="E26" s="45" t="n">
        <f aca="false">'7. Voter Diversity'!H25</f>
        <v>0</v>
      </c>
      <c r="F26" s="45" t="n">
        <f aca="false">C26*$C$4+D26*$D$4+E26*$E$4</f>
        <v>0</v>
      </c>
      <c r="G26" s="11" t="n">
        <f aca="false">IFERROR(RANK(F26,$F$5:$F$34,0),"")</f>
        <v>1</v>
      </c>
      <c r="H26" s="16"/>
    </row>
    <row r="27" customFormat="false" ht="15" hidden="false" customHeight="false" outlineLevel="0" collapsed="false">
      <c r="A27" s="7" t="n">
        <v>23</v>
      </c>
      <c r="B27" s="17"/>
      <c r="C27" s="46" t="n">
        <f aca="false">'8. Vote Counts'!I26</f>
        <v>0</v>
      </c>
      <c r="D27" s="46" t="n">
        <f aca="false">'6. Pairwise Scoring'!K26</f>
        <v>0</v>
      </c>
      <c r="E27" s="46" t="n">
        <f aca="false">'7. Voter Diversity'!H26</f>
        <v>0</v>
      </c>
      <c r="F27" s="46" t="n">
        <f aca="false">C27*$C$4+D27*$D$4+E27*$E$4</f>
        <v>0</v>
      </c>
      <c r="G27" s="7" t="n">
        <f aca="false">IFERROR(RANK(F27,$F$5:$F$34,0),"")</f>
        <v>1</v>
      </c>
      <c r="H27" s="17"/>
    </row>
    <row r="28" customFormat="false" ht="15" hidden="false" customHeight="false" outlineLevel="0" collapsed="false">
      <c r="A28" s="11" t="n">
        <v>24</v>
      </c>
      <c r="B28" s="16"/>
      <c r="C28" s="45" t="n">
        <f aca="false">'8. Vote Counts'!I27</f>
        <v>0</v>
      </c>
      <c r="D28" s="45" t="n">
        <f aca="false">'6. Pairwise Scoring'!K27</f>
        <v>0</v>
      </c>
      <c r="E28" s="45" t="n">
        <f aca="false">'7. Voter Diversity'!H27</f>
        <v>0</v>
      </c>
      <c r="F28" s="45" t="n">
        <f aca="false">C28*$C$4+D28*$D$4+E28*$E$4</f>
        <v>0</v>
      </c>
      <c r="G28" s="11" t="n">
        <f aca="false">IFERROR(RANK(F28,$F$5:$F$34,0),"")</f>
        <v>1</v>
      </c>
      <c r="H28" s="16"/>
    </row>
    <row r="29" customFormat="false" ht="15" hidden="false" customHeight="false" outlineLevel="0" collapsed="false">
      <c r="A29" s="7" t="n">
        <v>25</v>
      </c>
      <c r="B29" s="17"/>
      <c r="C29" s="46" t="n">
        <f aca="false">'8. Vote Counts'!I28</f>
        <v>0</v>
      </c>
      <c r="D29" s="46" t="n">
        <f aca="false">'6. Pairwise Scoring'!K28</f>
        <v>0</v>
      </c>
      <c r="E29" s="46" t="n">
        <f aca="false">'7. Voter Diversity'!H28</f>
        <v>0</v>
      </c>
      <c r="F29" s="46" t="n">
        <f aca="false">C29*$C$4+D29*$D$4+E29*$E$4</f>
        <v>0</v>
      </c>
      <c r="G29" s="7" t="n">
        <f aca="false">IFERROR(RANK(F29,$F$5:$F$34,0),"")</f>
        <v>1</v>
      </c>
      <c r="H29" s="17"/>
    </row>
    <row r="30" customFormat="false" ht="15" hidden="false" customHeight="false" outlineLevel="0" collapsed="false">
      <c r="A30" s="11" t="n">
        <v>26</v>
      </c>
      <c r="B30" s="16"/>
      <c r="C30" s="45" t="n">
        <f aca="false">'8. Vote Counts'!I29</f>
        <v>0</v>
      </c>
      <c r="D30" s="45" t="n">
        <f aca="false">'6. Pairwise Scoring'!K29</f>
        <v>0</v>
      </c>
      <c r="E30" s="45" t="n">
        <f aca="false">'7. Voter Diversity'!H29</f>
        <v>0</v>
      </c>
      <c r="F30" s="45" t="n">
        <f aca="false">C30*$C$4+D30*$D$4+E30*$E$4</f>
        <v>0</v>
      </c>
      <c r="G30" s="11" t="n">
        <f aca="false">IFERROR(RANK(F30,$F$5:$F$34,0),"")</f>
        <v>1</v>
      </c>
      <c r="H30" s="16"/>
    </row>
    <row r="31" customFormat="false" ht="15" hidden="false" customHeight="false" outlineLevel="0" collapsed="false">
      <c r="A31" s="7" t="n">
        <v>27</v>
      </c>
      <c r="B31" s="17"/>
      <c r="C31" s="46" t="n">
        <f aca="false">'8. Vote Counts'!I30</f>
        <v>0</v>
      </c>
      <c r="D31" s="46" t="n">
        <f aca="false">'6. Pairwise Scoring'!K30</f>
        <v>0</v>
      </c>
      <c r="E31" s="46" t="n">
        <f aca="false">'7. Voter Diversity'!H30</f>
        <v>0</v>
      </c>
      <c r="F31" s="46" t="n">
        <f aca="false">C31*$C$4+D31*$D$4+E31*$E$4</f>
        <v>0</v>
      </c>
      <c r="G31" s="7" t="n">
        <f aca="false">IFERROR(RANK(F31,$F$5:$F$34,0),"")</f>
        <v>1</v>
      </c>
      <c r="H31" s="17"/>
    </row>
    <row r="32" customFormat="false" ht="15" hidden="false" customHeight="false" outlineLevel="0" collapsed="false">
      <c r="A32" s="11" t="n">
        <v>28</v>
      </c>
      <c r="B32" s="16"/>
      <c r="C32" s="45" t="n">
        <f aca="false">'8. Vote Counts'!I31</f>
        <v>0</v>
      </c>
      <c r="D32" s="45" t="n">
        <f aca="false">'6. Pairwise Scoring'!K31</f>
        <v>0</v>
      </c>
      <c r="E32" s="45" t="n">
        <f aca="false">'7. Voter Diversity'!H31</f>
        <v>0</v>
      </c>
      <c r="F32" s="45" t="n">
        <f aca="false">C32*$C$4+D32*$D$4+E32*$E$4</f>
        <v>0</v>
      </c>
      <c r="G32" s="11" t="n">
        <f aca="false">IFERROR(RANK(F32,$F$5:$F$34,0),"")</f>
        <v>1</v>
      </c>
      <c r="H32" s="16"/>
    </row>
    <row r="33" customFormat="false" ht="15" hidden="false" customHeight="false" outlineLevel="0" collapsed="false">
      <c r="A33" s="7" t="n">
        <v>29</v>
      </c>
      <c r="B33" s="17"/>
      <c r="C33" s="46" t="n">
        <f aca="false">'8. Vote Counts'!I32</f>
        <v>0</v>
      </c>
      <c r="D33" s="46" t="n">
        <f aca="false">'6. Pairwise Scoring'!K32</f>
        <v>0</v>
      </c>
      <c r="E33" s="46" t="n">
        <f aca="false">'7. Voter Diversity'!H32</f>
        <v>0</v>
      </c>
      <c r="F33" s="46" t="n">
        <f aca="false">C33*$C$4+D33*$D$4+E33*$E$4</f>
        <v>0</v>
      </c>
      <c r="G33" s="7" t="n">
        <f aca="false">IFERROR(RANK(F33,$F$5:$F$34,0),"")</f>
        <v>1</v>
      </c>
      <c r="H33" s="17"/>
    </row>
    <row r="34" customFormat="false" ht="15" hidden="false" customHeight="false" outlineLevel="0" collapsed="false">
      <c r="A34" s="11" t="n">
        <v>30</v>
      </c>
      <c r="B34" s="16"/>
      <c r="C34" s="45" t="n">
        <f aca="false">'8. Vote Counts'!I33</f>
        <v>0</v>
      </c>
      <c r="D34" s="45" t="n">
        <f aca="false">'6. Pairwise Scoring'!K33</f>
        <v>0</v>
      </c>
      <c r="E34" s="45" t="n">
        <f aca="false">'7. Voter Diversity'!H33</f>
        <v>0</v>
      </c>
      <c r="F34" s="45" t="n">
        <f aca="false">C34*$C$4+D34*$D$4+E34*$E$4</f>
        <v>0</v>
      </c>
      <c r="G34" s="11" t="n">
        <f aca="false">IFERROR(RANK(F34,$F$5:$F$34,0),"")</f>
        <v>1</v>
      </c>
      <c r="H34" s="16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20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33.75" hidden="false" customHeight="true" outlineLevel="0" collapsed="false">
      <c r="A1" s="27" t="s">
        <v>322</v>
      </c>
      <c r="B1" s="27"/>
      <c r="C1" s="27"/>
      <c r="D1" s="27"/>
      <c r="E1" s="27"/>
      <c r="F1" s="27"/>
    </row>
    <row r="2" customFormat="false" ht="25.5" hidden="false" customHeight="true" outlineLevel="0" collapsed="false">
      <c r="A2" s="2" t="s">
        <v>323</v>
      </c>
      <c r="B2" s="2"/>
      <c r="C2" s="2"/>
      <c r="D2" s="2"/>
      <c r="E2" s="2"/>
      <c r="F2" s="2"/>
    </row>
    <row r="3" customFormat="false" ht="23.85" hidden="false" customHeight="false" outlineLevel="0" collapsed="false">
      <c r="A3" s="28" t="s">
        <v>99</v>
      </c>
      <c r="B3" s="28" t="s">
        <v>100</v>
      </c>
      <c r="C3" s="28" t="s">
        <v>324</v>
      </c>
      <c r="D3" s="28" t="s">
        <v>325</v>
      </c>
      <c r="E3" s="28" t="s">
        <v>326</v>
      </c>
      <c r="F3" s="28" t="s">
        <v>327</v>
      </c>
    </row>
    <row r="4" customFormat="false" ht="15" hidden="false" customHeight="false" outlineLevel="0" collapsed="false">
      <c r="B4" s="52" t="s">
        <v>321</v>
      </c>
      <c r="C4" s="54" t="n">
        <f aca="false">2/3</f>
        <v>0.666666666666667</v>
      </c>
      <c r="D4" s="54" t="n">
        <f aca="false">1/3</f>
        <v>0.333333333333333</v>
      </c>
    </row>
    <row r="5" customFormat="false" ht="15" hidden="false" customHeight="false" outlineLevel="0" collapsed="false">
      <c r="A5" s="7" t="n">
        <v>1</v>
      </c>
      <c r="B5" s="17"/>
      <c r="C5" s="55"/>
      <c r="D5" s="46" t="n">
        <f aca="false">'9. Composite Score'!F5</f>
        <v>0</v>
      </c>
      <c r="E5" s="46" t="n">
        <f aca="false">IFERROR(C5*$C$4+D5*$D$4,0)</f>
        <v>0</v>
      </c>
      <c r="F5" s="7" t="n">
        <f aca="false">IFERROR(RANK(E5,$E$5:$E$34,0),"")</f>
        <v>1</v>
      </c>
    </row>
    <row r="6" customFormat="false" ht="15" hidden="false" customHeight="false" outlineLevel="0" collapsed="false">
      <c r="A6" s="11" t="n">
        <v>2</v>
      </c>
      <c r="B6" s="16"/>
      <c r="C6" s="56"/>
      <c r="D6" s="45" t="n">
        <f aca="false">'9. Composite Score'!F6</f>
        <v>0</v>
      </c>
      <c r="E6" s="45" t="n">
        <f aca="false">IFERROR(C6*$C$4+D6*$D$4,0)</f>
        <v>0</v>
      </c>
      <c r="F6" s="11" t="n">
        <f aca="false">IFERROR(RANK(E6,$E$5:$E$34,0),"")</f>
        <v>1</v>
      </c>
    </row>
    <row r="7" customFormat="false" ht="15" hidden="false" customHeight="false" outlineLevel="0" collapsed="false">
      <c r="A7" s="7" t="n">
        <v>3</v>
      </c>
      <c r="B7" s="17"/>
      <c r="C7" s="55"/>
      <c r="D7" s="46" t="n">
        <f aca="false">'9. Composite Score'!F7</f>
        <v>0</v>
      </c>
      <c r="E7" s="46" t="n">
        <f aca="false">IFERROR(C7*$C$4+D7*$D$4,0)</f>
        <v>0</v>
      </c>
      <c r="F7" s="7" t="n">
        <f aca="false">IFERROR(RANK(E7,$E$5:$E$34,0),"")</f>
        <v>1</v>
      </c>
    </row>
    <row r="8" customFormat="false" ht="15" hidden="false" customHeight="false" outlineLevel="0" collapsed="false">
      <c r="A8" s="11" t="n">
        <v>4</v>
      </c>
      <c r="B8" s="16"/>
      <c r="C8" s="56"/>
      <c r="D8" s="45" t="n">
        <f aca="false">'9. Composite Score'!F8</f>
        <v>0</v>
      </c>
      <c r="E8" s="45" t="n">
        <f aca="false">IFERROR(C8*$C$4+D8*$D$4,0)</f>
        <v>0</v>
      </c>
      <c r="F8" s="11" t="n">
        <f aca="false">IFERROR(RANK(E8,$E$5:$E$34,0),"")</f>
        <v>1</v>
      </c>
    </row>
    <row r="9" customFormat="false" ht="15" hidden="false" customHeight="false" outlineLevel="0" collapsed="false">
      <c r="A9" s="7" t="n">
        <v>5</v>
      </c>
      <c r="B9" s="17"/>
      <c r="C9" s="55"/>
      <c r="D9" s="46" t="n">
        <f aca="false">'9. Composite Score'!F9</f>
        <v>0</v>
      </c>
      <c r="E9" s="46" t="n">
        <f aca="false">IFERROR(C9*$C$4+D9*$D$4,0)</f>
        <v>0</v>
      </c>
      <c r="F9" s="7" t="n">
        <f aca="false">IFERROR(RANK(E9,$E$5:$E$34,0),"")</f>
        <v>1</v>
      </c>
    </row>
    <row r="10" customFormat="false" ht="15" hidden="false" customHeight="false" outlineLevel="0" collapsed="false">
      <c r="A10" s="11" t="n">
        <v>6</v>
      </c>
      <c r="B10" s="16"/>
      <c r="C10" s="56"/>
      <c r="D10" s="45" t="n">
        <f aca="false">'9. Composite Score'!F10</f>
        <v>0</v>
      </c>
      <c r="E10" s="45" t="n">
        <f aca="false">IFERROR(C10*$C$4+D10*$D$4,0)</f>
        <v>0</v>
      </c>
      <c r="F10" s="11" t="n">
        <f aca="false">IFERROR(RANK(E10,$E$5:$E$34,0),"")</f>
        <v>1</v>
      </c>
    </row>
    <row r="11" customFormat="false" ht="15" hidden="false" customHeight="false" outlineLevel="0" collapsed="false">
      <c r="A11" s="7" t="n">
        <v>7</v>
      </c>
      <c r="B11" s="17"/>
      <c r="C11" s="55"/>
      <c r="D11" s="46" t="n">
        <f aca="false">'9. Composite Score'!F11</f>
        <v>0</v>
      </c>
      <c r="E11" s="46" t="n">
        <f aca="false">IFERROR(C11*$C$4+D11*$D$4,0)</f>
        <v>0</v>
      </c>
      <c r="F11" s="7" t="n">
        <f aca="false">IFERROR(RANK(E11,$E$5:$E$34,0),"")</f>
        <v>1</v>
      </c>
    </row>
    <row r="12" customFormat="false" ht="15" hidden="false" customHeight="false" outlineLevel="0" collapsed="false">
      <c r="A12" s="11" t="n">
        <v>8</v>
      </c>
      <c r="B12" s="16"/>
      <c r="C12" s="56"/>
      <c r="D12" s="45" t="n">
        <f aca="false">'9. Composite Score'!F12</f>
        <v>0</v>
      </c>
      <c r="E12" s="45" t="n">
        <f aca="false">IFERROR(C12*$C$4+D12*$D$4,0)</f>
        <v>0</v>
      </c>
      <c r="F12" s="11" t="n">
        <f aca="false">IFERROR(RANK(E12,$E$5:$E$34,0),"")</f>
        <v>1</v>
      </c>
    </row>
    <row r="13" customFormat="false" ht="15" hidden="false" customHeight="false" outlineLevel="0" collapsed="false">
      <c r="A13" s="7" t="n">
        <v>9</v>
      </c>
      <c r="B13" s="17"/>
      <c r="C13" s="55"/>
      <c r="D13" s="46" t="n">
        <f aca="false">'9. Composite Score'!F13</f>
        <v>0</v>
      </c>
      <c r="E13" s="46" t="n">
        <f aca="false">IFERROR(C13*$C$4+D13*$D$4,0)</f>
        <v>0</v>
      </c>
      <c r="F13" s="7" t="n">
        <f aca="false">IFERROR(RANK(E13,$E$5:$E$34,0),"")</f>
        <v>1</v>
      </c>
    </row>
    <row r="14" customFormat="false" ht="15" hidden="false" customHeight="false" outlineLevel="0" collapsed="false">
      <c r="A14" s="11" t="n">
        <v>10</v>
      </c>
      <c r="B14" s="16"/>
      <c r="C14" s="56"/>
      <c r="D14" s="45" t="n">
        <f aca="false">'9. Composite Score'!F14</f>
        <v>0</v>
      </c>
      <c r="E14" s="45" t="n">
        <f aca="false">IFERROR(C14*$C$4+D14*$D$4,0)</f>
        <v>0</v>
      </c>
      <c r="F14" s="11" t="n">
        <f aca="false">IFERROR(RANK(E14,$E$5:$E$34,0),"")</f>
        <v>1</v>
      </c>
    </row>
    <row r="15" customFormat="false" ht="15" hidden="false" customHeight="false" outlineLevel="0" collapsed="false">
      <c r="A15" s="7" t="n">
        <v>11</v>
      </c>
      <c r="B15" s="17"/>
      <c r="C15" s="55"/>
      <c r="D15" s="46" t="n">
        <f aca="false">'9. Composite Score'!F15</f>
        <v>0</v>
      </c>
      <c r="E15" s="46" t="n">
        <f aca="false">IFERROR(C15*$C$4+D15*$D$4,0)</f>
        <v>0</v>
      </c>
      <c r="F15" s="7" t="n">
        <f aca="false">IFERROR(RANK(E15,$E$5:$E$34,0),"")</f>
        <v>1</v>
      </c>
    </row>
    <row r="16" customFormat="false" ht="15" hidden="false" customHeight="false" outlineLevel="0" collapsed="false">
      <c r="A16" s="11" t="n">
        <v>12</v>
      </c>
      <c r="B16" s="16"/>
      <c r="C16" s="56"/>
      <c r="D16" s="45" t="n">
        <f aca="false">'9. Composite Score'!F16</f>
        <v>0</v>
      </c>
      <c r="E16" s="45" t="n">
        <f aca="false">IFERROR(C16*$C$4+D16*$D$4,0)</f>
        <v>0</v>
      </c>
      <c r="F16" s="11" t="n">
        <f aca="false">IFERROR(RANK(E16,$E$5:$E$34,0),"")</f>
        <v>1</v>
      </c>
    </row>
    <row r="17" customFormat="false" ht="15" hidden="false" customHeight="false" outlineLevel="0" collapsed="false">
      <c r="A17" s="7" t="n">
        <v>13</v>
      </c>
      <c r="B17" s="17"/>
      <c r="C17" s="55"/>
      <c r="D17" s="46" t="n">
        <f aca="false">'9. Composite Score'!F17</f>
        <v>0</v>
      </c>
      <c r="E17" s="46" t="n">
        <f aca="false">IFERROR(C17*$C$4+D17*$D$4,0)</f>
        <v>0</v>
      </c>
      <c r="F17" s="7" t="n">
        <f aca="false">IFERROR(RANK(E17,$E$5:$E$34,0),"")</f>
        <v>1</v>
      </c>
    </row>
    <row r="18" customFormat="false" ht="15" hidden="false" customHeight="false" outlineLevel="0" collapsed="false">
      <c r="A18" s="11" t="n">
        <v>14</v>
      </c>
      <c r="B18" s="16"/>
      <c r="C18" s="56"/>
      <c r="D18" s="45" t="n">
        <f aca="false">'9. Composite Score'!F18</f>
        <v>0</v>
      </c>
      <c r="E18" s="45" t="n">
        <f aca="false">IFERROR(C18*$C$4+D18*$D$4,0)</f>
        <v>0</v>
      </c>
      <c r="F18" s="11" t="n">
        <f aca="false">IFERROR(RANK(E18,$E$5:$E$34,0),"")</f>
        <v>1</v>
      </c>
    </row>
    <row r="19" customFormat="false" ht="15" hidden="false" customHeight="false" outlineLevel="0" collapsed="false">
      <c r="A19" s="7" t="n">
        <v>15</v>
      </c>
      <c r="B19" s="17"/>
      <c r="C19" s="55"/>
      <c r="D19" s="46" t="n">
        <f aca="false">'9. Composite Score'!F19</f>
        <v>0</v>
      </c>
      <c r="E19" s="46" t="n">
        <f aca="false">IFERROR(C19*$C$4+D19*$D$4,0)</f>
        <v>0</v>
      </c>
      <c r="F19" s="7" t="n">
        <f aca="false">IFERROR(RANK(E19,$E$5:$E$34,0),"")</f>
        <v>1</v>
      </c>
    </row>
    <row r="20" customFormat="false" ht="15" hidden="false" customHeight="false" outlineLevel="0" collapsed="false">
      <c r="A20" s="11" t="n">
        <v>16</v>
      </c>
      <c r="B20" s="16"/>
      <c r="C20" s="56"/>
      <c r="D20" s="45" t="n">
        <f aca="false">'9. Composite Score'!F20</f>
        <v>0</v>
      </c>
      <c r="E20" s="45" t="n">
        <f aca="false">IFERROR(C20*$C$4+D20*$D$4,0)</f>
        <v>0</v>
      </c>
      <c r="F20" s="11" t="n">
        <f aca="false">IFERROR(RANK(E20,$E$5:$E$34,0),"")</f>
        <v>1</v>
      </c>
    </row>
    <row r="21" customFormat="false" ht="15" hidden="false" customHeight="false" outlineLevel="0" collapsed="false">
      <c r="A21" s="7" t="n">
        <v>17</v>
      </c>
      <c r="B21" s="17"/>
      <c r="C21" s="55"/>
      <c r="D21" s="46" t="n">
        <f aca="false">'9. Composite Score'!F21</f>
        <v>0</v>
      </c>
      <c r="E21" s="46" t="n">
        <f aca="false">IFERROR(C21*$C$4+D21*$D$4,0)</f>
        <v>0</v>
      </c>
      <c r="F21" s="7" t="n">
        <f aca="false">IFERROR(RANK(E21,$E$5:$E$34,0),"")</f>
        <v>1</v>
      </c>
    </row>
    <row r="22" customFormat="false" ht="15" hidden="false" customHeight="false" outlineLevel="0" collapsed="false">
      <c r="A22" s="11" t="n">
        <v>18</v>
      </c>
      <c r="B22" s="16"/>
      <c r="C22" s="56"/>
      <c r="D22" s="45" t="n">
        <f aca="false">'9. Composite Score'!F22</f>
        <v>0</v>
      </c>
      <c r="E22" s="45" t="n">
        <f aca="false">IFERROR(C22*$C$4+D22*$D$4,0)</f>
        <v>0</v>
      </c>
      <c r="F22" s="11" t="n">
        <f aca="false">IFERROR(RANK(E22,$E$5:$E$34,0),"")</f>
        <v>1</v>
      </c>
    </row>
    <row r="23" customFormat="false" ht="15" hidden="false" customHeight="false" outlineLevel="0" collapsed="false">
      <c r="A23" s="7" t="n">
        <v>19</v>
      </c>
      <c r="B23" s="17"/>
      <c r="C23" s="55"/>
      <c r="D23" s="46" t="n">
        <f aca="false">'9. Composite Score'!F23</f>
        <v>0</v>
      </c>
      <c r="E23" s="46" t="n">
        <f aca="false">IFERROR(C23*$C$4+D23*$D$4,0)</f>
        <v>0</v>
      </c>
      <c r="F23" s="7" t="n">
        <f aca="false">IFERROR(RANK(E23,$E$5:$E$34,0),"")</f>
        <v>1</v>
      </c>
    </row>
    <row r="24" customFormat="false" ht="15" hidden="false" customHeight="false" outlineLevel="0" collapsed="false">
      <c r="A24" s="11" t="n">
        <v>20</v>
      </c>
      <c r="B24" s="16"/>
      <c r="C24" s="56"/>
      <c r="D24" s="45" t="n">
        <f aca="false">'9. Composite Score'!F24</f>
        <v>0</v>
      </c>
      <c r="E24" s="45" t="n">
        <f aca="false">IFERROR(C24*$C$4+D24*$D$4,0)</f>
        <v>0</v>
      </c>
      <c r="F24" s="11" t="n">
        <f aca="false">IFERROR(RANK(E24,$E$5:$E$34,0),"")</f>
        <v>1</v>
      </c>
    </row>
    <row r="25" customFormat="false" ht="15" hidden="false" customHeight="false" outlineLevel="0" collapsed="false">
      <c r="A25" s="7" t="n">
        <v>21</v>
      </c>
      <c r="B25" s="17"/>
      <c r="C25" s="55"/>
      <c r="D25" s="46" t="n">
        <f aca="false">'9. Composite Score'!F25</f>
        <v>0</v>
      </c>
      <c r="E25" s="46" t="n">
        <f aca="false">IFERROR(C25*$C$4+D25*$D$4,0)</f>
        <v>0</v>
      </c>
      <c r="F25" s="7" t="n">
        <f aca="false">IFERROR(RANK(E25,$E$5:$E$34,0),"")</f>
        <v>1</v>
      </c>
    </row>
    <row r="26" customFormat="false" ht="15" hidden="false" customHeight="false" outlineLevel="0" collapsed="false">
      <c r="A26" s="11" t="n">
        <v>22</v>
      </c>
      <c r="B26" s="16"/>
      <c r="C26" s="56"/>
      <c r="D26" s="45" t="n">
        <f aca="false">'9. Composite Score'!F26</f>
        <v>0</v>
      </c>
      <c r="E26" s="45" t="n">
        <f aca="false">IFERROR(C26*$C$4+D26*$D$4,0)</f>
        <v>0</v>
      </c>
      <c r="F26" s="11" t="n">
        <f aca="false">IFERROR(RANK(E26,$E$5:$E$34,0),"")</f>
        <v>1</v>
      </c>
    </row>
    <row r="27" customFormat="false" ht="15" hidden="false" customHeight="false" outlineLevel="0" collapsed="false">
      <c r="A27" s="7" t="n">
        <v>23</v>
      </c>
      <c r="B27" s="17"/>
      <c r="C27" s="55"/>
      <c r="D27" s="46" t="n">
        <f aca="false">'9. Composite Score'!F27</f>
        <v>0</v>
      </c>
      <c r="E27" s="46" t="n">
        <f aca="false">IFERROR(C27*$C$4+D27*$D$4,0)</f>
        <v>0</v>
      </c>
      <c r="F27" s="7" t="n">
        <f aca="false">IFERROR(RANK(E27,$E$5:$E$34,0),"")</f>
        <v>1</v>
      </c>
    </row>
    <row r="28" customFormat="false" ht="15" hidden="false" customHeight="false" outlineLevel="0" collapsed="false">
      <c r="A28" s="11" t="n">
        <v>24</v>
      </c>
      <c r="B28" s="16"/>
      <c r="C28" s="56"/>
      <c r="D28" s="45" t="n">
        <f aca="false">'9. Composite Score'!F28</f>
        <v>0</v>
      </c>
      <c r="E28" s="45" t="n">
        <f aca="false">IFERROR(C28*$C$4+D28*$D$4,0)</f>
        <v>0</v>
      </c>
      <c r="F28" s="11" t="n">
        <f aca="false">IFERROR(RANK(E28,$E$5:$E$34,0),"")</f>
        <v>1</v>
      </c>
    </row>
    <row r="29" customFormat="false" ht="15" hidden="false" customHeight="false" outlineLevel="0" collapsed="false">
      <c r="A29" s="7" t="n">
        <v>25</v>
      </c>
      <c r="B29" s="17"/>
      <c r="C29" s="55"/>
      <c r="D29" s="46" t="n">
        <f aca="false">'9. Composite Score'!F29</f>
        <v>0</v>
      </c>
      <c r="E29" s="46" t="n">
        <f aca="false">IFERROR(C29*$C$4+D29*$D$4,0)</f>
        <v>0</v>
      </c>
      <c r="F29" s="7" t="n">
        <f aca="false">IFERROR(RANK(E29,$E$5:$E$34,0),"")</f>
        <v>1</v>
      </c>
    </row>
    <row r="30" customFormat="false" ht="15" hidden="false" customHeight="false" outlineLevel="0" collapsed="false">
      <c r="A30" s="11" t="n">
        <v>26</v>
      </c>
      <c r="B30" s="16"/>
      <c r="C30" s="56"/>
      <c r="D30" s="45" t="n">
        <f aca="false">'9. Composite Score'!F30</f>
        <v>0</v>
      </c>
      <c r="E30" s="45" t="n">
        <f aca="false">IFERROR(C30*$C$4+D30*$D$4,0)</f>
        <v>0</v>
      </c>
      <c r="F30" s="11" t="n">
        <f aca="false">IFERROR(RANK(E30,$E$5:$E$34,0),"")</f>
        <v>1</v>
      </c>
    </row>
    <row r="31" customFormat="false" ht="15" hidden="false" customHeight="false" outlineLevel="0" collapsed="false">
      <c r="A31" s="7" t="n">
        <v>27</v>
      </c>
      <c r="B31" s="17"/>
      <c r="C31" s="55"/>
      <c r="D31" s="46" t="n">
        <f aca="false">'9. Composite Score'!F31</f>
        <v>0</v>
      </c>
      <c r="E31" s="46" t="n">
        <f aca="false">IFERROR(C31*$C$4+D31*$D$4,0)</f>
        <v>0</v>
      </c>
      <c r="F31" s="7" t="n">
        <f aca="false">IFERROR(RANK(E31,$E$5:$E$34,0),"")</f>
        <v>1</v>
      </c>
    </row>
    <row r="32" customFormat="false" ht="15" hidden="false" customHeight="false" outlineLevel="0" collapsed="false">
      <c r="A32" s="11" t="n">
        <v>28</v>
      </c>
      <c r="B32" s="16"/>
      <c r="C32" s="56"/>
      <c r="D32" s="45" t="n">
        <f aca="false">'9. Composite Score'!F32</f>
        <v>0</v>
      </c>
      <c r="E32" s="45" t="n">
        <f aca="false">IFERROR(C32*$C$4+D32*$D$4,0)</f>
        <v>0</v>
      </c>
      <c r="F32" s="11" t="n">
        <f aca="false">IFERROR(RANK(E32,$E$5:$E$34,0),"")</f>
        <v>1</v>
      </c>
    </row>
    <row r="33" customFormat="false" ht="15" hidden="false" customHeight="false" outlineLevel="0" collapsed="false">
      <c r="A33" s="7" t="n">
        <v>29</v>
      </c>
      <c r="B33" s="17"/>
      <c r="C33" s="55"/>
      <c r="D33" s="46" t="n">
        <f aca="false">'9. Composite Score'!F33</f>
        <v>0</v>
      </c>
      <c r="E33" s="46" t="n">
        <f aca="false">IFERROR(C33*$C$4+D33*$D$4,0)</f>
        <v>0</v>
      </c>
      <c r="F33" s="7" t="n">
        <f aca="false">IFERROR(RANK(E33,$E$5:$E$34,0),"")</f>
        <v>1</v>
      </c>
    </row>
    <row r="34" customFormat="false" ht="15" hidden="false" customHeight="false" outlineLevel="0" collapsed="false">
      <c r="A34" s="11" t="n">
        <v>30</v>
      </c>
      <c r="B34" s="16"/>
      <c r="C34" s="56"/>
      <c r="D34" s="45" t="n">
        <f aca="false">'9. Composite Score'!F34</f>
        <v>0</v>
      </c>
      <c r="E34" s="45" t="n">
        <f aca="false">IFERROR(C34*$C$4+D34*$D$4,0)</f>
        <v>0</v>
      </c>
      <c r="F34" s="11" t="n">
        <f aca="false">IFERROR(RANK(E34,$E$5:$E$34,0),"")</f>
        <v>1</v>
      </c>
    </row>
    <row r="36" customFormat="false" ht="22.35" hidden="false" customHeight="true" outlineLevel="0" collapsed="false">
      <c r="A36" s="57" t="s">
        <v>328</v>
      </c>
      <c r="B36" s="57"/>
      <c r="C36" s="57"/>
      <c r="D36" s="57"/>
      <c r="E36" s="57"/>
      <c r="F36" s="57"/>
    </row>
  </sheetData>
  <mergeCells count="3">
    <mergeCell ref="A1:F1"/>
    <mergeCell ref="A2:F2"/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36"/>
    <col collapsed="false" customWidth="true" hidden="false" outlineLevel="0" max="5" min="4" style="0" width="18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27" t="s">
        <v>329</v>
      </c>
      <c r="B1" s="27"/>
      <c r="C1" s="27"/>
      <c r="D1" s="27"/>
      <c r="E1" s="27"/>
      <c r="F1" s="27"/>
    </row>
    <row r="2" customFormat="false" ht="25.5" hidden="false" customHeight="true" outlineLevel="0" collapsed="false">
      <c r="A2" s="2" t="s">
        <v>330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8" t="s">
        <v>2</v>
      </c>
      <c r="B3" s="28" t="s">
        <v>331</v>
      </c>
      <c r="C3" s="28" t="s">
        <v>4</v>
      </c>
      <c r="D3" s="28" t="s">
        <v>332</v>
      </c>
      <c r="E3" s="28" t="s">
        <v>333</v>
      </c>
      <c r="F3" s="28" t="s">
        <v>334</v>
      </c>
    </row>
    <row r="4" customFormat="false" ht="31.5" hidden="false" customHeight="true" outlineLevel="0" collapsed="false">
      <c r="A4" s="11" t="n">
        <v>1</v>
      </c>
      <c r="B4" s="9" t="s">
        <v>335</v>
      </c>
      <c r="C4" s="10" t="s">
        <v>336</v>
      </c>
      <c r="D4" s="16"/>
      <c r="E4" s="16"/>
      <c r="F4" s="16"/>
    </row>
    <row r="5" customFormat="false" ht="31.5" hidden="false" customHeight="true" outlineLevel="0" collapsed="false">
      <c r="A5" s="7" t="n">
        <v>2</v>
      </c>
      <c r="B5" s="5" t="s">
        <v>337</v>
      </c>
      <c r="C5" s="6" t="s">
        <v>338</v>
      </c>
      <c r="D5" s="17"/>
      <c r="E5" s="17"/>
      <c r="F5" s="17"/>
    </row>
    <row r="6" customFormat="false" ht="31.5" hidden="false" customHeight="true" outlineLevel="0" collapsed="false">
      <c r="A6" s="11" t="n">
        <v>3</v>
      </c>
      <c r="B6" s="9" t="s">
        <v>339</v>
      </c>
      <c r="C6" s="10" t="s">
        <v>340</v>
      </c>
      <c r="D6" s="16"/>
      <c r="E6" s="16"/>
      <c r="F6" s="16"/>
    </row>
    <row r="7" customFormat="false" ht="31.5" hidden="false" customHeight="true" outlineLevel="0" collapsed="false">
      <c r="A7" s="7" t="n">
        <v>4</v>
      </c>
      <c r="B7" s="5" t="s">
        <v>341</v>
      </c>
      <c r="C7" s="6" t="s">
        <v>342</v>
      </c>
      <c r="D7" s="17"/>
      <c r="E7" s="17"/>
      <c r="F7" s="17"/>
    </row>
    <row r="8" customFormat="false" ht="31.5" hidden="false" customHeight="true" outlineLevel="0" collapsed="false">
      <c r="A8" s="11" t="n">
        <v>5</v>
      </c>
      <c r="B8" s="9" t="s">
        <v>343</v>
      </c>
      <c r="C8" s="10" t="s">
        <v>344</v>
      </c>
      <c r="D8" s="16"/>
      <c r="E8" s="16"/>
      <c r="F8" s="16"/>
    </row>
    <row r="9" customFormat="false" ht="31.5" hidden="false" customHeight="true" outlineLevel="0" collapsed="false">
      <c r="A9" s="7" t="n">
        <v>6</v>
      </c>
      <c r="B9" s="5" t="s">
        <v>345</v>
      </c>
      <c r="C9" s="6" t="s">
        <v>346</v>
      </c>
      <c r="D9" s="17"/>
      <c r="E9" s="17"/>
      <c r="F9" s="17"/>
    </row>
    <row r="10" customFormat="false" ht="31.5" hidden="false" customHeight="true" outlineLevel="0" collapsed="false">
      <c r="A10" s="11" t="n">
        <v>7</v>
      </c>
      <c r="B10" s="9" t="s">
        <v>347</v>
      </c>
      <c r="C10" s="10" t="s">
        <v>348</v>
      </c>
      <c r="D10" s="16"/>
      <c r="E10" s="16"/>
      <c r="F10" s="16"/>
    </row>
    <row r="11" customFormat="false" ht="31.5" hidden="false" customHeight="true" outlineLevel="0" collapsed="false">
      <c r="A11" s="7" t="n">
        <v>8</v>
      </c>
      <c r="B11" s="5" t="s">
        <v>349</v>
      </c>
      <c r="C11" s="6" t="s">
        <v>350</v>
      </c>
      <c r="D11" s="17"/>
      <c r="E11" s="17"/>
      <c r="F11" s="17"/>
    </row>
    <row r="12" customFormat="false" ht="31.5" hidden="false" customHeight="true" outlineLevel="0" collapsed="false">
      <c r="A12" s="11" t="n">
        <v>9</v>
      </c>
      <c r="B12" s="9" t="s">
        <v>351</v>
      </c>
      <c r="C12" s="10" t="s">
        <v>352</v>
      </c>
      <c r="D12" s="16"/>
      <c r="E12" s="16"/>
      <c r="F12" s="16"/>
    </row>
    <row r="13" customFormat="false" ht="31.5" hidden="false" customHeight="true" outlineLevel="0" collapsed="false">
      <c r="A13" s="7" t="n">
        <v>10</v>
      </c>
      <c r="B13" s="5" t="s">
        <v>353</v>
      </c>
      <c r="C13" s="6" t="s">
        <v>354</v>
      </c>
      <c r="D13" s="17"/>
      <c r="E13" s="17"/>
      <c r="F13" s="17"/>
    </row>
    <row r="14" customFormat="false" ht="31.5" hidden="false" customHeight="true" outlineLevel="0" collapsed="false">
      <c r="A14" s="11" t="n">
        <v>11</v>
      </c>
      <c r="B14" s="9" t="s">
        <v>355</v>
      </c>
      <c r="C14" s="10" t="s">
        <v>356</v>
      </c>
      <c r="D14" s="16"/>
      <c r="E14" s="16"/>
      <c r="F14" s="16"/>
    </row>
    <row r="15" customFormat="false" ht="31.5" hidden="false" customHeight="true" outlineLevel="0" collapsed="false">
      <c r="A15" s="7" t="n">
        <v>12</v>
      </c>
      <c r="B15" s="5" t="s">
        <v>357</v>
      </c>
      <c r="C15" s="6" t="s">
        <v>358</v>
      </c>
      <c r="D15" s="17"/>
      <c r="E15" s="17"/>
      <c r="F15" s="17"/>
    </row>
    <row r="16" customFormat="false" ht="31.5" hidden="false" customHeight="true" outlineLevel="0" collapsed="false">
      <c r="A16" s="11" t="n">
        <v>13</v>
      </c>
      <c r="B16" s="9" t="s">
        <v>359</v>
      </c>
      <c r="C16" s="10" t="s">
        <v>360</v>
      </c>
      <c r="D16" s="16"/>
      <c r="E16" s="16"/>
      <c r="F16" s="16"/>
    </row>
    <row r="17" customFormat="false" ht="31.5" hidden="false" customHeight="true" outlineLevel="0" collapsed="false">
      <c r="A17" s="7" t="n">
        <v>14</v>
      </c>
      <c r="B17" s="5" t="s">
        <v>361</v>
      </c>
      <c r="C17" s="6" t="s">
        <v>362</v>
      </c>
      <c r="D17" s="17"/>
      <c r="E17" s="17"/>
      <c r="F17" s="17"/>
    </row>
    <row r="18" customFormat="false" ht="31.5" hidden="false" customHeight="true" outlineLevel="0" collapsed="false">
      <c r="A18" s="11" t="n">
        <v>15</v>
      </c>
      <c r="B18" s="9" t="s">
        <v>363</v>
      </c>
      <c r="C18" s="10" t="s">
        <v>364</v>
      </c>
      <c r="D18" s="16"/>
      <c r="E18" s="16"/>
      <c r="F18" s="16"/>
    </row>
    <row r="19" customFormat="false" ht="31.5" hidden="false" customHeight="true" outlineLevel="0" collapsed="false">
      <c r="A19" s="7" t="n">
        <v>16</v>
      </c>
      <c r="B19" s="5" t="s">
        <v>365</v>
      </c>
      <c r="C19" s="6" t="s">
        <v>366</v>
      </c>
      <c r="D19" s="17"/>
      <c r="E19" s="17"/>
      <c r="F19" s="17"/>
    </row>
    <row r="20" customFormat="false" ht="31.5" hidden="false" customHeight="true" outlineLevel="0" collapsed="false">
      <c r="A20" s="11" t="n">
        <v>17</v>
      </c>
      <c r="B20" s="9" t="s">
        <v>367</v>
      </c>
      <c r="C20" s="10" t="s">
        <v>368</v>
      </c>
      <c r="D20" s="16"/>
      <c r="E20" s="16"/>
      <c r="F20" s="16"/>
    </row>
    <row r="21" customFormat="false" ht="31.5" hidden="false" customHeight="true" outlineLevel="0" collapsed="false">
      <c r="A21" s="7" t="n">
        <v>18</v>
      </c>
      <c r="B21" s="5" t="s">
        <v>369</v>
      </c>
      <c r="C21" s="6" t="s">
        <v>370</v>
      </c>
      <c r="D21" s="17"/>
      <c r="E21" s="17"/>
      <c r="F21" s="17"/>
    </row>
    <row r="22" customFormat="false" ht="31.5" hidden="false" customHeight="true" outlineLevel="0" collapsed="false">
      <c r="A22" s="11" t="n">
        <v>19</v>
      </c>
      <c r="B22" s="9" t="s">
        <v>371</v>
      </c>
      <c r="C22" s="10" t="s">
        <v>372</v>
      </c>
      <c r="D22" s="16"/>
      <c r="E22" s="16"/>
      <c r="F22" s="16"/>
    </row>
    <row r="23" customFormat="false" ht="31.5" hidden="false" customHeight="true" outlineLevel="0" collapsed="false">
      <c r="A23" s="7" t="n">
        <v>20</v>
      </c>
      <c r="B23" s="5" t="s">
        <v>373</v>
      </c>
      <c r="C23" s="6" t="s">
        <v>374</v>
      </c>
      <c r="D23" s="17"/>
      <c r="E23" s="17"/>
      <c r="F23" s="1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2026-04-16T05:08:52Z</dcterms:created>
  <dc:creator>openpyxl</dc:creator>
  <dc:description/>
  <dc:language>en-US</dc:language>
  <cp:lastModifiedBy/>
  <dcterms:modified xsi:type="dcterms:W3CDTF">2026-04-16T05:08:53Z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