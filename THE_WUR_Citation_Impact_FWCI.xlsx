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Overview" sheetId="1" state="visible" r:id="rId3"/>
    <sheet name="1. FWCI Summary" sheetId="2" state="visible" r:id="rId4"/>
    <sheet name="2. FWCI by Subject" sheetId="3" state="visible" r:id="rId5"/>
    <sheet name="3. Citation Distribution" sheetId="4" state="visible" r:id="rId6"/>
    <sheet name="4. Self-Citation Analysis" sheetId="5" state="visible" r:id="rId7"/>
    <sheet name="5. Dept FWCI" sheetId="6" state="visible" r:id="rId8"/>
    <sheet name="6. FWCI Trend" sheetId="7" state="visible" r:id="rId9"/>
    <sheet name="7. Scoring" sheetId="8" state="visible" r:id="rId10"/>
    <sheet name="8. Action Plan" sheetId="9" state="visible" r:id="rId11"/>
    <sheet name="9. Benchmarking" sheetId="10" state="visible" r:id="rId12"/>
    <sheet name="10. Risk Assessment" sheetId="11" state="visible" r:id="rId13"/>
    <sheet name="11. Data Quality Audit"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<sst xmlns="http://schemas.openxmlformats.org/spreadsheetml/2006/main" count="316" uniqueCount="276">
  <si>
    <t xml:space="preserve">THE WUR — Research Quality (30%) → Citation Impact / FWCI (15%)</t>
  </si>
  <si>
    <t xml:space="preserve">Field-Weighted Citation Impact — Measures Influence of Research Output | 15% of Total WUR</t>
  </si>
  <si>
    <t xml:space="preserve">#</t>
  </si>
  <si>
    <t xml:space="preserve">Component</t>
  </si>
  <si>
    <t xml:space="preserve">Description &amp; Methodology</t>
  </si>
  <si>
    <t xml:space="preserve">Weight</t>
  </si>
  <si>
    <t xml:space="preserve">Citation Impact (FWCI)</t>
  </si>
  <si>
    <t xml:space="preserve">Field-Weighted Citation Impact: the average number of citations received by a university's Scopus publications, NORMALIZED for field, year, and document type. FWCI = Actual Citations ÷ Expected Citations. FWCI &gt; 1.0 = above world average; FWCI = 2.0 = cited twice the world average. This is THE most important quality-adjusted research metric in the WUR.</t>
  </si>
  <si>
    <t xml:space="preserve">15% of WUR</t>
  </si>
  <si>
    <t xml:space="preserve">FWCI Calculation</t>
  </si>
  <si>
    <t xml:space="preserve">For each publication: (1) Extract actual citations from Scopus. (2) Map to ASJC codes. (3) Identify publication year and document type. (4) Retrieve expected citations from global benchmark table (world average for same field-year-doctype). (5) FWCI_paper = C / E. (6) For multi-ASJC papers, fractional aggregation across fields. (7) Institutional FWCI = mean of all paper-level FWCIs.</t>
  </si>
  <si>
    <t xml:space="preserve">Core formula</t>
  </si>
  <si>
    <t xml:space="preserve">5-Year Citation Window</t>
  </si>
  <si>
    <t xml:space="preserve">THE uses a 5-year rolling window of publications (e.g., 2019–2023 for 2025 rankings). Citations are counted up to the Scopus snapshot date. Older papers within the window have had more time to accumulate citations. FWCI benchmarks account for this via year-specific expected citation tables.</t>
  </si>
  <si>
    <t xml:space="preserve">Analysis window</t>
  </si>
  <si>
    <t xml:space="preserve">Self-Citation Treatment</t>
  </si>
  <si>
    <t xml:space="preserve">Institutional self-citations are EXCLUDED from the citation count. Author self-citations may remain (per THE methodology). Self-citation = any paper where the citing paper shares at least one institutional affiliation with the cited paper.</t>
  </si>
  <si>
    <t xml:space="preserve">Adjustment</t>
  </si>
  <si>
    <t xml:space="preserve">Context: Research Quality</t>
  </si>
  <si>
    <t xml:space="preserve">Research Quality (30%) = Citation Impact/FWCI (15%) + Research Strength (5%) + Research Excellence (5%) + Research Influence (5%). Citation Impact at 15% is the LARGEST single bibliometric indicator and the SECOND-LARGEST indicator in the entire WUR (after Research Reputation at 18%).</t>
  </si>
  <si>
    <t xml:space="preserve">15% of 30%</t>
  </si>
  <si>
    <t xml:space="preserve">Scoring Logic</t>
  </si>
  <si>
    <t xml:space="preserve">THE z-scores the institutional FWCI across all ranked universities. Higher FWCI = higher z-score. Exponential component may be applied per THE methodology to separate clusters. This is rated 🟡 Moderate (1–3 years) — improve by publishing in high-impact journals and increasing citation-generating collaborations.</t>
  </si>
  <si>
    <t xml:space="preserve">Normalization</t>
  </si>
  <si>
    <t xml:space="preserve">Step-by-Step FWCI Calculation Procedure</t>
  </si>
  <si>
    <t xml:space="preserve">Step</t>
  </si>
  <si>
    <t xml:space="preserve">Action</t>
  </si>
  <si>
    <t xml:space="preserve">Detail</t>
  </si>
  <si>
    <t xml:space="preserve">Data Source</t>
  </si>
  <si>
    <t xml:space="preserve">Step 1</t>
  </si>
  <si>
    <t xml:space="preserve">Extract citations from Scopus</t>
  </si>
  <si>
    <t xml:space="preserve">Count all citations received by each publication up to snapshot date</t>
  </si>
  <si>
    <t xml:space="preserve">Scopus Citation Database</t>
  </si>
  <si>
    <t xml:space="preserve">Step 2</t>
  </si>
  <si>
    <t xml:space="preserve">Map publication to ASJC codes</t>
  </si>
  <si>
    <t xml:space="preserve">Identify the ASJC top-level subject area(s) for each publication</t>
  </si>
  <si>
    <t xml:space="preserve">Scopus ASJC Classification</t>
  </si>
  <si>
    <t xml:space="preserve">Step 3</t>
  </si>
  <si>
    <t xml:space="preserve">Identify publication year</t>
  </si>
  <si>
    <t xml:space="preserve">Determine the calendar year of publication for benchmark lookup</t>
  </si>
  <si>
    <t xml:space="preserve">Scopus Publication Date</t>
  </si>
  <si>
    <t xml:space="preserve">Step 4</t>
  </si>
  <si>
    <t xml:space="preserve">Identify document type</t>
  </si>
  <si>
    <t xml:space="preserve">Classify as article, review, or conference paper</t>
  </si>
  <si>
    <t xml:space="preserve">Scopus Document Type field</t>
  </si>
  <si>
    <t xml:space="preserve">Step 5</t>
  </si>
  <si>
    <t xml:space="preserve">Retrieve expected citations</t>
  </si>
  <si>
    <t xml:space="preserve">Look up the world-average citation count for same field × year × doc-type</t>
  </si>
  <si>
    <t xml:space="preserve">Scopus/SciVal Global Benchmark Table</t>
  </si>
  <si>
    <t xml:space="preserve">Step 6</t>
  </si>
  <si>
    <t xml:space="preserve">Calculate paper-level FWCI</t>
  </si>
  <si>
    <t xml:space="preserve">FWCI_paper = Actual Citations (C) ÷ Expected Citations (E)</t>
  </si>
  <si>
    <t xml:space="preserve">Computed</t>
  </si>
  <si>
    <t xml:space="preserve">Step 7</t>
  </si>
  <si>
    <t xml:space="preserve">Multi-ASJC fractional aggregation</t>
  </si>
  <si>
    <t xml:space="preserve">If paper tagged to 2+ ASJC areas, compute weighted average FWCI across fields</t>
  </si>
  <si>
    <t xml:space="preserve">Step 8</t>
  </si>
  <si>
    <t xml:space="preserve">Validate &amp; clean</t>
  </si>
  <si>
    <t xml:space="preserve">Remove duplicates, papers in suspended journals, incorrect affiliations</t>
  </si>
  <si>
    <t xml:space="preserve">Scopus + Institutional Audit</t>
  </si>
  <si>
    <t xml:space="preserve">Step 9</t>
  </si>
  <si>
    <t xml:space="preserve">Aggregate for institution</t>
  </si>
  <si>
    <t xml:space="preserve">Institutional FWCI = mean of all paper-level FWCIs</t>
  </si>
  <si>
    <t xml:space="preserve">Improvement Strategies</t>
  </si>
  <si>
    <t xml:space="preserve">• Publish in high-impact Q1/Q2 journals to maximize citations received.</t>
  </si>
  <si>
    <t xml:space="preserve">• Target 40–50% internationally co-authored papers (higher citation rates).</t>
  </si>
  <si>
    <t xml:space="preserve">• Launch 'Highly Cited Papers Initiative' — focus on top-10% potential papers.</t>
  </si>
  <si>
    <t xml:space="preserve">• Encourage open access publishing — OA papers receive 18–50% more citations.</t>
  </si>
  <si>
    <t xml:space="preserve">• Reduce publications in low-citation journals; focus on fewer, higher-quality papers.</t>
  </si>
  <si>
    <t xml:space="preserve">• Build strategic co-authorship networks with highly-cited researchers.</t>
  </si>
  <si>
    <t xml:space="preserve">• Promote preprint sharing and social media dissemination of key findings.</t>
  </si>
  <si>
    <t xml:space="preserve">• Difficulty: 🟡 Moderate (1–3 years). Citations accumulate over 2–5 years after publication.</t>
  </si>
  <si>
    <t xml:space="preserve">Field-Weighted Citation Impact — University-Level Summary (5-Year Window)</t>
  </si>
  <si>
    <t xml:space="preserve">FWCI = Actual Citations ÷ Expected Citations | &gt;1.0 = above world average | Scopus data</t>
  </si>
  <si>
    <t xml:space="preserve">S.No.</t>
  </si>
  <si>
    <t xml:space="preserve">University Name</t>
  </si>
  <si>
    <t xml:space="preserve">Country</t>
  </si>
  <si>
    <t xml:space="preserve">Total Scopus Pubs (5yr)</t>
  </si>
  <si>
    <t xml:space="preserve">Total Citations Received</t>
  </si>
  <si>
    <t xml:space="preserve">Citations (Excl. Self-Cit.)</t>
  </si>
  <si>
    <t xml:space="preserve">FWCI (Institutional)</t>
  </si>
  <si>
    <t xml:space="preserve">% Pubs with FWCI &gt; 1.0</t>
  </si>
  <si>
    <t xml:space="preserve">% Pubs with FWCI &gt; 2.0</t>
  </si>
  <si>
    <t xml:space="preserve">% Uncited Papers</t>
  </si>
  <si>
    <t xml:space="preserve">Analysis Period</t>
  </si>
  <si>
    <t xml:space="preserve">Summary Statistics</t>
  </si>
  <si>
    <t xml:space="preserve">Average FWCI</t>
  </si>
  <si>
    <t xml:space="preserve">Highest FWCI</t>
  </si>
  <si>
    <t xml:space="preserve">Lowest FWCI</t>
  </si>
  <si>
    <t xml:space="preserve">Median FWCI</t>
  </si>
  <si>
    <t xml:space="preserve">Total Publications (All)</t>
  </si>
  <si>
    <t xml:space="preserve">Total Citations (Excl Self)</t>
  </si>
  <si>
    <t xml:space="preserve">FWCI by ASJC Subject Area — University × Subject Matrix</t>
  </si>
  <si>
    <t xml:space="preserve">FWCI per subject area | Identifies strong and weak fields | Helps target improvement</t>
  </si>
  <si>
    <t xml:space="preserve">University ↓ / ASJC FWCI →</t>
  </si>
  <si>
    <t xml:space="preserve">AGRI</t>
  </si>
  <si>
    <t xml:space="preserve">AH</t>
  </si>
  <si>
    <t xml:space="preserve">BIOC</t>
  </si>
  <si>
    <t xml:space="preserve">BUS</t>
  </si>
  <si>
    <t xml:space="preserve">CHEM</t>
  </si>
  <si>
    <t xml:space="preserve">CS</t>
  </si>
  <si>
    <t xml:space="preserve">EART</t>
  </si>
  <si>
    <t xml:space="preserve">ECON</t>
  </si>
  <si>
    <t xml:space="preserve">ENGI</t>
  </si>
  <si>
    <t xml:space="preserve">ENVI</t>
  </si>
  <si>
    <t xml:space="preserve">MATE</t>
  </si>
  <si>
    <t xml:space="preserve">MATH</t>
  </si>
  <si>
    <t xml:space="preserve">MEDI</t>
  </si>
  <si>
    <t xml:space="preserve">PHYS</t>
  </si>
  <si>
    <t xml:space="preserve">SOCI</t>
  </si>
  <si>
    <t xml:space="preserve">Overall FWCI</t>
  </si>
  <si>
    <t xml:space="preserve">Citation Distribution — Percentile &amp; Uncited Analysis</t>
  </si>
  <si>
    <t xml:space="preserve">Top 10%, Top 1%, Highly Cited Papers, and uncited paper proportion | Quality depth analysis</t>
  </si>
  <si>
    <t xml:space="preserve">Total Pubs (5yr)</t>
  </si>
  <si>
    <t xml:space="preserve">Top 10% Cited Pubs</t>
  </si>
  <si>
    <t xml:space="preserve">Top 1% Cited Pubs</t>
  </si>
  <si>
    <t xml:space="preserve">Highly Cited Papers (HCP)</t>
  </si>
  <si>
    <t xml:space="preserve">Uncited Papers</t>
  </si>
  <si>
    <t xml:space="preserve">% Top 10%</t>
  </si>
  <si>
    <t xml:space="preserve">% Uncited</t>
  </si>
  <si>
    <t xml:space="preserve">Self-Citation Analysis — Institutional Self-Citation Rate &amp; Exclusion</t>
  </si>
  <si>
    <t xml:space="preserve">Institutional self-citations EXCLUDED from FWCI | Monitor self-citation rate for data integrity</t>
  </si>
  <si>
    <t xml:space="preserve">Total Citations Received (5yr)</t>
  </si>
  <si>
    <t xml:space="preserve">Institutional Self-Citations</t>
  </si>
  <si>
    <t xml:space="preserve">Self-Citation Rate (%)</t>
  </si>
  <si>
    <t xml:space="preserve">Citations After Self-Cit. Exclusion</t>
  </si>
  <si>
    <t xml:space="preserve">FWCI (With Self-Cit.)</t>
  </si>
  <si>
    <t xml:space="preserve">FWCI (Excl. Self-Cit. — THE Method)</t>
  </si>
  <si>
    <t xml:space="preserve">Department-Level FWCI — Identifying High &amp; Low Citation Impact Departments</t>
  </si>
  <si>
    <t xml:space="preserve">Granular FWCI per department | Target citation improvement where impact is lowest</t>
  </si>
  <si>
    <t xml:space="preserve">Department / School</t>
  </si>
  <si>
    <t xml:space="preserve">Faculty / College</t>
  </si>
  <si>
    <t xml:space="preserve">Scopus Pubs (5yr)</t>
  </si>
  <si>
    <t xml:space="preserve">Citations (Excl. Self)</t>
  </si>
  <si>
    <t xml:space="preserve">FWCI</t>
  </si>
  <si>
    <t xml:space="preserve">Target FWCI</t>
  </si>
  <si>
    <t xml:space="preserve">Gap to Target</t>
  </si>
  <si>
    <t xml:space="preserve">Priority</t>
  </si>
  <si>
    <t xml:space="preserve">FWCI — 5-Year Trend Analysis</t>
  </si>
  <si>
    <t xml:space="preserve">Track citation impact improvement | Demonstrates growing research influence</t>
  </si>
  <si>
    <t xml:space="preserve">Year 1 FWCI</t>
  </si>
  <si>
    <t xml:space="preserve">Year 2</t>
  </si>
  <si>
    <t xml:space="preserve">Year 3</t>
  </si>
  <si>
    <t xml:space="preserve">Year 4</t>
  </si>
  <si>
    <t xml:space="preserve">Year 5 (Current)</t>
  </si>
  <si>
    <t xml:space="preserve">5-Year Change</t>
  </si>
  <si>
    <t xml:space="preserve">Growth (%)</t>
  </si>
  <si>
    <t xml:space="preserve">Trend</t>
  </si>
  <si>
    <t xml:space="preserve">Citation Impact Score (0–100) — 15% of Total WUR</t>
  </si>
  <si>
    <t xml:space="preserve">FWCI → Z-scored → Normalized 0–100 | Higher FWCI = higher score</t>
  </si>
  <si>
    <t xml:space="preserve">FWCI (Excl. Self-Cit.)</t>
  </si>
  <si>
    <t xml:space="preserve">Z-Score</t>
  </si>
  <si>
    <t xml:space="preserve">Normalized Score (0–100)</t>
  </si>
  <si>
    <t xml:space="preserve">Global Rank</t>
  </si>
  <si>
    <t xml:space="preserve">Citation Impact — Strategic Action Plan</t>
  </si>
  <si>
    <t xml:space="preserve">Action Item</t>
  </si>
  <si>
    <t xml:space="preserve">Phase</t>
  </si>
  <si>
    <t xml:space="preserve">Status</t>
  </si>
  <si>
    <t xml:space="preserve">Target Date</t>
  </si>
  <si>
    <t xml:space="preserve">Remarks</t>
  </si>
  <si>
    <t xml:space="preserve">Audit current FWCI by department using SciVal/Scopus analytics</t>
  </si>
  <si>
    <t xml:space="preserve">1 (0–6mo)</t>
  </si>
  <si>
    <t xml:space="preserve">Identify low-FWCI departments and assign citation improvement targets</t>
  </si>
  <si>
    <t xml:space="preserve">Train faculty on strategic publishing: Q1 journals, high-citation fields</t>
  </si>
  <si>
    <t xml:space="preserve">Launch open access publishing fund to increase citation visibility</t>
  </si>
  <si>
    <t xml:space="preserve">Build international co-authorship networks (papers with intl co-authors cited 2–3× more)</t>
  </si>
  <si>
    <t xml:space="preserve">2 (6–18mo)</t>
  </si>
  <si>
    <t xml:space="preserve">Launch 'Highly Cited Papers Initiative' — identify top-10% potential papers</t>
  </si>
  <si>
    <t xml:space="preserve">Reduce publication in low-impact / predatory journals</t>
  </si>
  <si>
    <t xml:space="preserve">Encourage preprint sharing to accelerate citation accumulation</t>
  </si>
  <si>
    <t xml:space="preserve">Monitor institutional self-citation rate; ensure &lt;15% threshold</t>
  </si>
  <si>
    <t xml:space="preserve">Promote social media &amp; altmetric visibility for key publications</t>
  </si>
  <si>
    <t xml:space="preserve">Target institutional FWCI &gt; 1.5 (50% above world average)</t>
  </si>
  <si>
    <t xml:space="preserve">3 (18–36mo)</t>
  </si>
  <si>
    <t xml:space="preserve">Achieve &gt;15% of papers in top 10% most-cited globally</t>
  </si>
  <si>
    <t xml:space="preserve">Reduce uncited papers to &lt;15% of total output</t>
  </si>
  <si>
    <t xml:space="preserve">Embed citation targets into faculty annual appraisal systems</t>
  </si>
  <si>
    <t xml:space="preserve">Progress</t>
  </si>
  <si>
    <t xml:space="preserve">Completed</t>
  </si>
  <si>
    <t xml:space="preserve">In Progress</t>
  </si>
  <si>
    <t xml:space="preserve">Completion (%)</t>
  </si>
  <si>
    <t xml:space="preserve">Benchmarking — Citation Impact / FWCI</t>
  </si>
  <si>
    <t xml:space="preserve">University / Benchmark</t>
  </si>
  <si>
    <t xml:space="preserve">Self-Cit %</t>
  </si>
  <si>
    <t xml:space="preserve">Score (0–100)</t>
  </si>
  <si>
    <t xml:space="preserve">Peer Group</t>
  </si>
  <si>
    <t xml:space="preserve">Your Institution</t>
  </si>
  <si>
    <t xml:space="preserve">Target</t>
  </si>
  <si>
    <t xml:space="preserve">Global Top 10 Average</t>
  </si>
  <si>
    <t xml:space="preserve">Aspirational</t>
  </si>
  <si>
    <t xml:space="preserve">National Average</t>
  </si>
  <si>
    <t xml:space="preserve">National</t>
  </si>
  <si>
    <t xml:space="preserve">Peer Group Average</t>
  </si>
  <si>
    <t xml:space="preserve">Peer</t>
  </si>
  <si>
    <t xml:space="preserve">World Average</t>
  </si>
  <si>
    <t xml:space="preserve">FWCI = 1.00</t>
  </si>
  <si>
    <t xml:space="preserve">Citation Impact — Risk Assessment</t>
  </si>
  <si>
    <t xml:space="preserve">Risk</t>
  </si>
  <si>
    <t xml:space="preserve">Level</t>
  </si>
  <si>
    <t xml:space="preserve">Impact</t>
  </si>
  <si>
    <t xml:space="preserve">Mitigation</t>
  </si>
  <si>
    <t xml:space="preserve">Owner</t>
  </si>
  <si>
    <t xml:space="preserve">High self-citation rate</t>
  </si>
  <si>
    <t xml:space="preserve">🔴 High</t>
  </si>
  <si>
    <t xml:space="preserve">Self-citations excluded; real FWCI lower than expected</t>
  </si>
  <si>
    <t xml:space="preserve">Monitor self-citation rate (&lt;15%); focus on external citation strategies</t>
  </si>
  <si>
    <t xml:space="preserve">Publishing in low-impact journals</t>
  </si>
  <si>
    <t xml:space="preserve">🟡 Medium</t>
  </si>
  <si>
    <t xml:space="preserve">Low citations per paper; depresses FWCI</t>
  </si>
  <si>
    <t xml:space="preserve">Journal selection strategy; Q1/Q2 target; avoid predatory journals</t>
  </si>
  <si>
    <t xml:space="preserve">Scopus affiliation errors</t>
  </si>
  <si>
    <t xml:space="preserve">Citations not attributed; FWCI miscalculated</t>
  </si>
  <si>
    <t xml:space="preserve">Quarterly Scopus audit; fix name variants; verify affiliations</t>
  </si>
  <si>
    <t xml:space="preserve">Papers in suspended/delisted journals</t>
  </si>
  <si>
    <t xml:space="preserve">Excluded from analysis; publications 'lost'</t>
  </si>
  <si>
    <t xml:space="preserve">Pre-submission journal verification; maintain approved journal list</t>
  </si>
  <si>
    <t xml:space="preserve">High proportion of uncited papers</t>
  </si>
  <si>
    <t xml:space="preserve">Uncited papers drag down average FWCI</t>
  </si>
  <si>
    <t xml:space="preserve">Reduce low-quality output; focus on fewer, higher-impact publications</t>
  </si>
  <si>
    <t xml:space="preserve">Field imbalance (high output in low-citation fields)</t>
  </si>
  <si>
    <t xml:space="preserve">Fields like humanities naturally cite less; lowers overall FWCI</t>
  </si>
  <si>
    <t xml:space="preserve">FWCI is field-normalized — but ensure faculty aware of field benchmarks</t>
  </si>
  <si>
    <t xml:space="preserve">Citation lag for recent publications</t>
  </si>
  <si>
    <t xml:space="preserve">🟢 Low</t>
  </si>
  <si>
    <t xml:space="preserve">Recent papers haven't had time to accumulate citations</t>
  </si>
  <si>
    <t xml:space="preserve">5-year window accounts for this; focus on earlier-year publications</t>
  </si>
  <si>
    <t xml:space="preserve">Lack of international co-authorship</t>
  </si>
  <si>
    <t xml:space="preserve">Domestically-only papers cited less frequently</t>
  </si>
  <si>
    <t xml:space="preserve">Target 40–50% international co-authorship; strategic collaboration</t>
  </si>
  <si>
    <t xml:space="preserve">Citation Impact / FWCI — Data Quality &amp; Audit Checklist</t>
  </si>
  <si>
    <t xml:space="preserve">Validation checks for this indicator (15% of total WUR — second-largest single indicator)</t>
  </si>
  <si>
    <t xml:space="preserve">Quality Check</t>
  </si>
  <si>
    <t xml:space="preserve">Description</t>
  </si>
  <si>
    <t xml:space="preserve">Status (✓/✗/IP)</t>
  </si>
  <si>
    <t xml:space="preserve">Date</t>
  </si>
  <si>
    <t xml:space="preserve">Reviewer</t>
  </si>
  <si>
    <t xml:space="preserve">Scopus source verification</t>
  </si>
  <si>
    <t xml:space="preserve">All citation data sourced exclusively from Scopus (not WoS, Google Scholar, or Dimensions)</t>
  </si>
  <si>
    <t xml:space="preserve">5-year window confirmation</t>
  </si>
  <si>
    <t xml:space="preserve">Publication window matches current THE ranking cycle (e.g., 2019–2023 for 2025)</t>
  </si>
  <si>
    <t xml:space="preserve">Document type filter</t>
  </si>
  <si>
    <t xml:space="preserve">Only articles, reviews, conference papers included; editorials, letters, errata excluded</t>
  </si>
  <si>
    <t xml:space="preserve">ASJC classification accuracy</t>
  </si>
  <si>
    <t xml:space="preserve">Publications correctly mapped to ASJC top-level subject areas for field normalization</t>
  </si>
  <si>
    <t xml:space="preserve">Expected citation benchmarks</t>
  </si>
  <si>
    <t xml:space="preserve">World-average expected citations retrieved from current Scopus/SciVal benchmark tables</t>
  </si>
  <si>
    <t xml:space="preserve">FWCI formula verification</t>
  </si>
  <si>
    <t xml:space="preserve">Paper-level FWCI = Actual Citations ÷ Expected Citations; verified for sample papers</t>
  </si>
  <si>
    <t xml:space="preserve">Multi-ASJC aggregation</t>
  </si>
  <si>
    <t xml:space="preserve">Papers in 2+ ASJC areas have fractional FWCI aggregated correctly across fields</t>
  </si>
  <si>
    <t xml:space="preserve">Institutional self-citation exclusion</t>
  </si>
  <si>
    <t xml:space="preserve">Self-citations (citing paper shares institutional affiliation) excluded from citation counts</t>
  </si>
  <si>
    <t xml:space="preserve">Self-citation rate monitoring</t>
  </si>
  <si>
    <t xml:space="preserve">Institutional self-citation rate documented; rates &gt;20% flagged for investigation</t>
  </si>
  <si>
    <t xml:space="preserve">Scopus Affiliation ID verification</t>
  </si>
  <si>
    <t xml:space="preserve">All institutional Scopus Affiliation IDs verified; includes campuses and merged IDs</t>
  </si>
  <si>
    <t xml:space="preserve">Suspended journal exclusion</t>
  </si>
  <si>
    <t xml:space="preserve">Publications in Scopus-suspended or delisted journals excluded from analysis</t>
  </si>
  <si>
    <t xml:space="preserve">Duplicate publication removal</t>
  </si>
  <si>
    <t xml:space="preserve">Duplicate records (same DOI, different Scopus IDs) identified and removed</t>
  </si>
  <si>
    <t xml:space="preserve">Top percentile benchmarks</t>
  </si>
  <si>
    <t xml:space="preserve">Top 10% and Top 1% thresholds based on global field-year-doctype citation distributions</t>
  </si>
  <si>
    <t xml:space="preserve">Uncited paper analysis</t>
  </si>
  <si>
    <t xml:space="preserve">Proportion of uncited papers documented; unusually high rates (&gt;30%) investigated</t>
  </si>
  <si>
    <t xml:space="preserve">Department-level FWCI consistency</t>
  </si>
  <si>
    <t xml:space="preserve">Sum/average of department FWCIs consistent with institutional FWCI (methodology differences documented)</t>
  </si>
  <si>
    <t xml:space="preserve">SciVal cross-validation</t>
  </si>
  <si>
    <t xml:space="preserve">Institutional FWCI cross-checked against SciVal institutional overview dashboard</t>
  </si>
  <si>
    <t xml:space="preserve">Year-on-year trend check</t>
  </si>
  <si>
    <t xml:space="preserve">Current FWCI compared with previous cycle; changes &gt;0.2 documented with explanation</t>
  </si>
  <si>
    <t xml:space="preserve">Outlier paper check</t>
  </si>
  <si>
    <t xml:space="preserve">Papers with extremely high citations (&gt;100×) investigated for data integrity</t>
  </si>
  <si>
    <t xml:space="preserve">Snapshot date documentation</t>
  </si>
  <si>
    <t xml:space="preserve">Scopus data snapshot date documented; consistent across all universities</t>
  </si>
  <si>
    <t xml:space="preserve">Reproducibility test</t>
  </si>
  <si>
    <t xml:space="preserve">FWCI independently reproducible from Scopus/SciVal data within ±5%</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</si>
</sst>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b val="true"/>
      <sz val="10"/>
      <color rgb="FFFFFFFF"/>
      <name val="Arial"/>
      <family val="0"/>
      <charset val="1"/>
    </font>
    <font>
      <sz val="10"/>
      <color rgb="FF404040"/>
      <name val="Arial"/>
      <family val="0"/>
      <charset val="1"/>
    </font>
    <font>
      <b val="true"/>
      <sz val="10"/>
      <color rgb="FF1A2E4F"/>
      <name val="Arial"/>
      <family val="0"/>
      <charset val="1"/>
    </font>
    <font>
      <b val="true"/>
      <sz val="10"/>
      <name val="Arial"/>
      <family val="0"/>
      <charset val="1"/>
    </font>
    <font>
      <sz val="10"/>
      <color rgb="FF0000FF"/>
      <name val="Arial"/>
      <family val="0"/>
      <charset val="1"/>
    </font>
    <font>
      <b val="true"/>
      <sz val="8"/>
      <color rgb="FFFFFFFF"/>
      <name val="Arial"/>
      <family val="0"/>
      <charset val="1"/>
    </font>
  </fonts>
  <fills count="16">
    <fill>
      <patternFill patternType="none"/>
    </fill>
    <fill>
      <patternFill patternType="gray125"/>
    </fill>
    <fill>
      <patternFill patternType="solid">
        <fgColor rgb="FFC8102E"/>
        <bgColor rgb="FF8B0000"/>
      </patternFill>
    </fill>
    <fill>
      <patternFill patternType="solid">
        <fgColor rgb="FFFFFFFF"/>
        <bgColor rgb="FFF2F2F2"/>
      </patternFill>
    </fill>
    <fill>
      <patternFill patternType="solid">
        <fgColor rgb="FFF2F2F2"/>
        <bgColor rgb="FFFFF5D9"/>
      </patternFill>
    </fill>
    <fill>
      <patternFill patternType="solid">
        <fgColor rgb="FF1A2E4F"/>
        <bgColor rgb="FF404040"/>
      </patternFill>
    </fill>
    <fill>
      <patternFill patternType="solid">
        <fgColor rgb="FFFFF5D9"/>
        <bgColor rgb="FFF2F2F2"/>
      </patternFill>
    </fill>
    <fill>
      <patternFill patternType="solid">
        <fgColor rgb="FF548235"/>
        <bgColor rgb="FF808080"/>
      </patternFill>
    </fill>
    <fill>
      <patternFill patternType="solid">
        <fgColor rgb="FFE2EFDA"/>
        <bgColor rgb="FFF2F2F2"/>
      </patternFill>
    </fill>
    <fill>
      <patternFill patternType="solid">
        <fgColor rgb="FF3F51B5"/>
        <bgColor rgb="FF666699"/>
      </patternFill>
    </fill>
    <fill>
      <patternFill patternType="solid">
        <fgColor rgb="FF7030A0"/>
        <bgColor rgb="FF993366"/>
      </patternFill>
    </fill>
    <fill>
      <patternFill patternType="solid">
        <fgColor rgb="FF8B0000"/>
        <bgColor rgb="FF800000"/>
      </patternFill>
    </fill>
    <fill>
      <patternFill patternType="solid">
        <fgColor rgb="FF2F8F9D"/>
        <bgColor rgb="FF2E75B6"/>
      </patternFill>
    </fill>
    <fill>
      <patternFill patternType="solid">
        <fgColor rgb="FFBF8F00"/>
        <bgColor rgb="FFED7D31"/>
      </patternFill>
    </fill>
    <fill>
      <patternFill patternType="solid">
        <fgColor rgb="FFED7D31"/>
        <bgColor rgb="FFFF8080"/>
      </patternFill>
    </fill>
    <fill>
      <patternFill patternType="solid">
        <fgColor rgb="FF2E75B6"/>
        <bgColor rgb="FF2F8F9D"/>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5" fillId="5" borderId="0"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5" fillId="7"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6" fontId="10" fillId="4"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10" fillId="3" borderId="1" xfId="0" applyFont="true" applyBorder="true" applyAlignment="true" applyProtection="false">
      <alignment horizontal="center" vertical="center" textRotation="0" wrapText="true" indent="0" shrinkToFit="false"/>
      <protection locked="true" hidden="false"/>
    </xf>
    <xf numFmtId="166" fontId="10" fillId="3"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5" fontId="9" fillId="8" borderId="1" xfId="0" applyFont="true" applyBorder="true" applyAlignment="true" applyProtection="false">
      <alignment horizontal="center" vertical="center" textRotation="0" wrapText="tru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7" fontId="9" fillId="8" borderId="1" xfId="0" applyFont="true" applyBorder="true" applyAlignment="true" applyProtection="false">
      <alignment horizontal="center" vertical="center" textRotation="0" wrapText="true" indent="0" shrinkToFit="false"/>
      <protection locked="true" hidden="false"/>
    </xf>
    <xf numFmtId="164" fontId="4" fillId="9" borderId="0"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5" fontId="9" fillId="4" borderId="1" xfId="0" applyFont="true" applyBorder="true" applyAlignment="true" applyProtection="false">
      <alignment horizontal="general" vertical="bottom" textRotation="0" wrapText="false" indent="0" shrinkToFit="false"/>
      <protection locked="true" hidden="false"/>
    </xf>
    <xf numFmtId="164" fontId="4" fillId="10" borderId="0" xfId="0" applyFont="true" applyBorder="true" applyAlignment="true" applyProtection="false">
      <alignment horizontal="center" vertical="center" textRotation="0" wrapText="true" indent="0" shrinkToFit="false"/>
      <protection locked="true" hidden="false"/>
    </xf>
    <xf numFmtId="164" fontId="5" fillId="10" borderId="0"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6" fontId="7" fillId="3" borderId="1" xfId="0" applyFont="true" applyBorder="true" applyAlignment="true" applyProtection="false">
      <alignment horizontal="center" vertical="center" textRotation="0" wrapText="true" indent="0" shrinkToFit="false"/>
      <protection locked="true" hidden="false"/>
    </xf>
    <xf numFmtId="164" fontId="4" fillId="11" borderId="0" xfId="0" applyFont="true" applyBorder="true" applyAlignment="true" applyProtection="false">
      <alignment horizontal="center" vertical="center" textRotation="0" wrapText="true" indent="0" shrinkToFit="false"/>
      <protection locked="true" hidden="false"/>
    </xf>
    <xf numFmtId="164" fontId="5" fillId="11" borderId="0"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4" fillId="12" borderId="0" xfId="0" applyFont="true" applyBorder="true" applyAlignment="true" applyProtection="false">
      <alignment horizontal="center" vertical="center" textRotation="0" wrapText="true" indent="0" shrinkToFit="false"/>
      <protection locked="true" hidden="false"/>
    </xf>
    <xf numFmtId="164" fontId="5" fillId="12" borderId="0"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4" fillId="13" borderId="0" xfId="0" applyFont="true" applyBorder="true" applyAlignment="true" applyProtection="false">
      <alignment horizontal="center" vertical="center" textRotation="0" wrapText="true" indent="0" shrinkToFit="false"/>
      <protection locked="true" hidden="false"/>
    </xf>
    <xf numFmtId="164" fontId="5" fillId="13" borderId="0"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true" applyAlignment="true" applyProtection="false">
      <alignment horizontal="center" vertical="center" textRotation="0" wrapText="true" indent="0"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xf numFmtId="164" fontId="4" fillId="7" borderId="0"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6" fontId="9" fillId="8" borderId="1" xfId="0" applyFont="true" applyBorder="true" applyAlignment="true" applyProtection="false">
      <alignment horizontal="center" vertical="center" textRotation="0" wrapText="true" indent="0" shrinkToFit="false"/>
      <protection locked="true" hidden="false"/>
    </xf>
    <xf numFmtId="164" fontId="4" fillId="14" borderId="0"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5" fillId="15"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8102E"/>
      <rgbColor rgb="FF00FF00"/>
      <rgbColor rgb="FF0000FF"/>
      <rgbColor rgb="FFFFFF00"/>
      <rgbColor rgb="FFFF00FF"/>
      <rgbColor rgb="FF00FFFF"/>
      <rgbColor rgb="FF8B0000"/>
      <rgbColor rgb="FF008000"/>
      <rgbColor rgb="FF000080"/>
      <rgbColor rgb="FF548235"/>
      <rgbColor rgb="FF800080"/>
      <rgbColor rgb="FF008080"/>
      <rgbColor rgb="FFB4B4B4"/>
      <rgbColor rgb="FF808080"/>
      <rgbColor rgb="FF9999FF"/>
      <rgbColor rgb="FF7030A0"/>
      <rgbColor rgb="FFFFF5D9"/>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BF8F00"/>
      <rgbColor rgb="FFED7D31"/>
      <rgbColor rgb="FF666699"/>
      <rgbColor rgb="FF969696"/>
      <rgbColor rgb="FF1A2E4F"/>
      <rgbColor rgb="FF2F8F9D"/>
      <rgbColor rgb="FF003300"/>
      <rgbColor rgb="FF333300"/>
      <rgbColor rgb="FF993300"/>
      <rgbColor rgb="FF993366"/>
      <rgbColor rgb="FF3F51B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D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55"/>
    <col collapsed="false" customWidth="true" hidden="false" outlineLevel="0" max="4" min="4" style="1" width="16"/>
  </cols>
  <sheetData>
    <row r="1" customFormat="false" ht="33.75" hidden="false" customHeight="true" outlineLevel="0" collapsed="false">
      <c r="A1" s="2" t="s">
        <v>0</v>
      </c>
      <c r="B1" s="2"/>
      <c r="C1" s="2"/>
      <c r="D1" s="2"/>
    </row>
    <row r="2" customFormat="false" ht="25.5" hidden="false" customHeight="true" outlineLevel="0" collapsed="false">
      <c r="A2" s="3" t="s">
        <v>1</v>
      </c>
      <c r="B2" s="3"/>
      <c r="C2" s="3"/>
      <c r="D2" s="3"/>
    </row>
    <row r="4" customFormat="false" ht="15" hidden="false" customHeight="true" outlineLevel="0" collapsed="false">
      <c r="A4" s="4" t="s">
        <v>2</v>
      </c>
      <c r="B4" s="4" t="s">
        <v>3</v>
      </c>
      <c r="C4" s="4" t="s">
        <v>4</v>
      </c>
      <c r="D4" s="4" t="s">
        <v>5</v>
      </c>
    </row>
    <row r="5" customFormat="false" ht="84.75" hidden="false" customHeight="true" outlineLevel="0" collapsed="false">
      <c r="A5" s="5" t="n">
        <v>1</v>
      </c>
      <c r="B5" s="6" t="s">
        <v>6</v>
      </c>
      <c r="C5" s="7" t="s">
        <v>7</v>
      </c>
      <c r="D5" s="8" t="s">
        <v>8</v>
      </c>
    </row>
    <row r="6" customFormat="false" ht="84.75" hidden="false" customHeight="true" outlineLevel="0" collapsed="false">
      <c r="A6" s="9" t="n">
        <v>2</v>
      </c>
      <c r="B6" s="10" t="s">
        <v>9</v>
      </c>
      <c r="C6" s="11" t="s">
        <v>10</v>
      </c>
      <c r="D6" s="12" t="s">
        <v>11</v>
      </c>
    </row>
    <row r="7" customFormat="false" ht="84.75" hidden="false" customHeight="true" outlineLevel="0" collapsed="false">
      <c r="A7" s="5" t="n">
        <v>3</v>
      </c>
      <c r="B7" s="6" t="s">
        <v>12</v>
      </c>
      <c r="C7" s="7" t="s">
        <v>13</v>
      </c>
      <c r="D7" s="8" t="s">
        <v>14</v>
      </c>
    </row>
    <row r="8" customFormat="false" ht="84.75" hidden="false" customHeight="true" outlineLevel="0" collapsed="false">
      <c r="A8" s="9" t="n">
        <v>4</v>
      </c>
      <c r="B8" s="10" t="s">
        <v>15</v>
      </c>
      <c r="C8" s="11" t="s">
        <v>16</v>
      </c>
      <c r="D8" s="12" t="s">
        <v>17</v>
      </c>
    </row>
    <row r="9" customFormat="false" ht="84.75" hidden="false" customHeight="true" outlineLevel="0" collapsed="false">
      <c r="A9" s="5" t="n">
        <v>5</v>
      </c>
      <c r="B9" s="6" t="s">
        <v>18</v>
      </c>
      <c r="C9" s="7" t="s">
        <v>19</v>
      </c>
      <c r="D9" s="8" t="s">
        <v>20</v>
      </c>
    </row>
    <row r="10" customFormat="false" ht="84.75" hidden="false" customHeight="true" outlineLevel="0" collapsed="false">
      <c r="A10" s="9" t="n">
        <v>6</v>
      </c>
      <c r="B10" s="10" t="s">
        <v>21</v>
      </c>
      <c r="C10" s="11" t="s">
        <v>22</v>
      </c>
      <c r="D10" s="12" t="s">
        <v>23</v>
      </c>
    </row>
    <row r="12" customFormat="false" ht="25.5" hidden="false" customHeight="true" outlineLevel="0" collapsed="false">
      <c r="A12" s="13" t="s">
        <v>24</v>
      </c>
      <c r="B12" s="13"/>
      <c r="C12" s="13"/>
      <c r="D12" s="13"/>
    </row>
    <row r="13" customFormat="false" ht="15" hidden="false" customHeight="true" outlineLevel="0" collapsed="false">
      <c r="A13" s="14" t="s">
        <v>25</v>
      </c>
      <c r="B13" s="14" t="s">
        <v>26</v>
      </c>
      <c r="C13" s="14" t="s">
        <v>27</v>
      </c>
      <c r="D13" s="14" t="s">
        <v>28</v>
      </c>
    </row>
    <row r="14" customFormat="false" ht="31.5" hidden="false" customHeight="true" outlineLevel="0" collapsed="false">
      <c r="A14" s="15" t="s">
        <v>29</v>
      </c>
      <c r="B14" s="16" t="s">
        <v>30</v>
      </c>
      <c r="C14" s="17" t="s">
        <v>31</v>
      </c>
      <c r="D14" s="18" t="s">
        <v>32</v>
      </c>
    </row>
    <row r="15" customFormat="false" ht="31.5" hidden="false" customHeight="true" outlineLevel="0" collapsed="false">
      <c r="A15" s="8" t="s">
        <v>33</v>
      </c>
      <c r="B15" s="6" t="s">
        <v>34</v>
      </c>
      <c r="C15" s="7" t="s">
        <v>35</v>
      </c>
      <c r="D15" s="5" t="s">
        <v>36</v>
      </c>
    </row>
    <row r="16" customFormat="false" ht="31.5" hidden="false" customHeight="true" outlineLevel="0" collapsed="false">
      <c r="A16" s="15" t="s">
        <v>37</v>
      </c>
      <c r="B16" s="16" t="s">
        <v>38</v>
      </c>
      <c r="C16" s="17" t="s">
        <v>39</v>
      </c>
      <c r="D16" s="18" t="s">
        <v>40</v>
      </c>
    </row>
    <row r="17" customFormat="false" ht="31.5" hidden="false" customHeight="true" outlineLevel="0" collapsed="false">
      <c r="A17" s="8" t="s">
        <v>41</v>
      </c>
      <c r="B17" s="6" t="s">
        <v>42</v>
      </c>
      <c r="C17" s="7" t="s">
        <v>43</v>
      </c>
      <c r="D17" s="5" t="s">
        <v>44</v>
      </c>
    </row>
    <row r="18" customFormat="false" ht="31.5" hidden="false" customHeight="true" outlineLevel="0" collapsed="false">
      <c r="A18" s="15" t="s">
        <v>45</v>
      </c>
      <c r="B18" s="16" t="s">
        <v>46</v>
      </c>
      <c r="C18" s="17" t="s">
        <v>47</v>
      </c>
      <c r="D18" s="18" t="s">
        <v>48</v>
      </c>
    </row>
    <row r="19" customFormat="false" ht="31.5" hidden="false" customHeight="true" outlineLevel="0" collapsed="false">
      <c r="A19" s="8" t="s">
        <v>49</v>
      </c>
      <c r="B19" s="6" t="s">
        <v>50</v>
      </c>
      <c r="C19" s="7" t="s">
        <v>51</v>
      </c>
      <c r="D19" s="5" t="s">
        <v>52</v>
      </c>
    </row>
    <row r="20" customFormat="false" ht="31.5" hidden="false" customHeight="true" outlineLevel="0" collapsed="false">
      <c r="A20" s="15" t="s">
        <v>53</v>
      </c>
      <c r="B20" s="16" t="s">
        <v>54</v>
      </c>
      <c r="C20" s="17" t="s">
        <v>55</v>
      </c>
      <c r="D20" s="18" t="s">
        <v>52</v>
      </c>
    </row>
    <row r="21" customFormat="false" ht="31.5" hidden="false" customHeight="true" outlineLevel="0" collapsed="false">
      <c r="A21" s="8" t="s">
        <v>56</v>
      </c>
      <c r="B21" s="6" t="s">
        <v>57</v>
      </c>
      <c r="C21" s="7" t="s">
        <v>58</v>
      </c>
      <c r="D21" s="5" t="s">
        <v>59</v>
      </c>
    </row>
    <row r="22" customFormat="false" ht="31.5" hidden="false" customHeight="true" outlineLevel="0" collapsed="false">
      <c r="A22" s="15" t="s">
        <v>60</v>
      </c>
      <c r="B22" s="16" t="s">
        <v>61</v>
      </c>
      <c r="C22" s="17" t="s">
        <v>62</v>
      </c>
      <c r="D22" s="18" t="s">
        <v>52</v>
      </c>
    </row>
    <row r="24" customFormat="false" ht="25.5" hidden="false" customHeight="true" outlineLevel="0" collapsed="false">
      <c r="A24" s="19" t="s">
        <v>63</v>
      </c>
      <c r="B24" s="19"/>
      <c r="C24" s="19"/>
      <c r="D24" s="19"/>
    </row>
    <row r="25" customFormat="false" ht="15" hidden="false" customHeight="true" outlineLevel="0" collapsed="false">
      <c r="A25" s="20" t="s">
        <v>64</v>
      </c>
      <c r="B25" s="20"/>
      <c r="C25" s="20"/>
      <c r="D25" s="20"/>
    </row>
    <row r="26" customFormat="false" ht="15" hidden="false" customHeight="true" outlineLevel="0" collapsed="false">
      <c r="A26" s="20" t="s">
        <v>65</v>
      </c>
      <c r="B26" s="20"/>
      <c r="C26" s="20"/>
      <c r="D26" s="20"/>
    </row>
    <row r="27" customFormat="false" ht="15" hidden="false" customHeight="true" outlineLevel="0" collapsed="false">
      <c r="A27" s="20" t="s">
        <v>66</v>
      </c>
      <c r="B27" s="20"/>
      <c r="C27" s="20"/>
      <c r="D27" s="20"/>
    </row>
    <row r="28" customFormat="false" ht="15" hidden="false" customHeight="true" outlineLevel="0" collapsed="false">
      <c r="A28" s="20" t="s">
        <v>67</v>
      </c>
      <c r="B28" s="20"/>
      <c r="C28" s="20"/>
      <c r="D28" s="20"/>
    </row>
    <row r="29" customFormat="false" ht="15" hidden="false" customHeight="true" outlineLevel="0" collapsed="false">
      <c r="A29" s="20" t="s">
        <v>68</v>
      </c>
      <c r="B29" s="20"/>
      <c r="C29" s="20"/>
      <c r="D29" s="20"/>
    </row>
    <row r="30" customFormat="false" ht="15" hidden="false" customHeight="true" outlineLevel="0" collapsed="false">
      <c r="A30" s="20" t="s">
        <v>69</v>
      </c>
      <c r="B30" s="20"/>
      <c r="C30" s="20"/>
      <c r="D30" s="20"/>
    </row>
    <row r="31" customFormat="false" ht="15" hidden="false" customHeight="true" outlineLevel="0" collapsed="false">
      <c r="A31" s="20" t="s">
        <v>70</v>
      </c>
      <c r="B31" s="20"/>
      <c r="C31" s="20"/>
      <c r="D31" s="20"/>
    </row>
    <row r="32" customFormat="false" ht="15" hidden="false" customHeight="true" outlineLevel="0" collapsed="false">
      <c r="A32" s="20" t="s">
        <v>71</v>
      </c>
      <c r="B32" s="20"/>
      <c r="C32" s="20"/>
      <c r="D32" s="20"/>
    </row>
  </sheetData>
  <mergeCells count="12">
    <mergeCell ref="A1:D1"/>
    <mergeCell ref="A2:D2"/>
    <mergeCell ref="A12:D12"/>
    <mergeCell ref="A24:D24"/>
    <mergeCell ref="A25:D25"/>
    <mergeCell ref="A26:D26"/>
    <mergeCell ref="A27:D27"/>
    <mergeCell ref="A28:D28"/>
    <mergeCell ref="A29:D29"/>
    <mergeCell ref="A30:D30"/>
    <mergeCell ref="A31:D31"/>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14"/>
    <col collapsed="false" customWidth="true" hidden="false" outlineLevel="0" max="6" min="4" style="1" width="18"/>
    <col collapsed="false" customWidth="true" hidden="false" outlineLevel="0" max="10" min="7" style="1" width="16"/>
    <col collapsed="false" customWidth="true" hidden="false" outlineLevel="0" max="11" min="11" style="1" width="14"/>
  </cols>
  <sheetData>
    <row r="1" customFormat="false" ht="33.75" hidden="false" customHeight="true" outlineLevel="0" collapsed="false">
      <c r="A1" s="2" t="s">
        <v>72</v>
      </c>
      <c r="B1" s="2"/>
      <c r="C1" s="2"/>
      <c r="D1" s="2"/>
      <c r="E1" s="2"/>
      <c r="F1" s="2"/>
      <c r="G1" s="2"/>
      <c r="H1" s="2"/>
      <c r="I1" s="2"/>
      <c r="J1" s="2"/>
      <c r="K1" s="2"/>
    </row>
    <row r="2" customFormat="false" ht="25.5" hidden="false" customHeight="true" outlineLevel="0" collapsed="false">
      <c r="A2" s="3" t="s">
        <v>73</v>
      </c>
      <c r="B2" s="3"/>
      <c r="C2" s="3"/>
      <c r="D2" s="3"/>
      <c r="E2" s="3"/>
      <c r="F2" s="3"/>
      <c r="G2" s="3"/>
      <c r="H2" s="3"/>
      <c r="I2" s="3"/>
      <c r="J2" s="3"/>
      <c r="K2" s="3"/>
    </row>
    <row r="3" customFormat="false" ht="23.25" hidden="false" customHeight="true" outlineLevel="0" collapsed="false">
      <c r="A3" s="4" t="s">
        <v>74</v>
      </c>
      <c r="B3" s="4" t="s">
        <v>75</v>
      </c>
      <c r="C3" s="4" t="s">
        <v>76</v>
      </c>
      <c r="D3" s="4" t="s">
        <v>77</v>
      </c>
      <c r="E3" s="4" t="s">
        <v>78</v>
      </c>
      <c r="F3" s="4" t="s">
        <v>79</v>
      </c>
      <c r="G3" s="4" t="s">
        <v>80</v>
      </c>
      <c r="H3" s="4" t="s">
        <v>81</v>
      </c>
      <c r="I3" s="4" t="s">
        <v>82</v>
      </c>
      <c r="J3" s="4" t="s">
        <v>83</v>
      </c>
      <c r="K3" s="4" t="s">
        <v>84</v>
      </c>
    </row>
    <row r="4" customFormat="false" ht="15" hidden="false" customHeight="true" outlineLevel="0" collapsed="false">
      <c r="A4" s="9" t="n">
        <v>1</v>
      </c>
      <c r="B4" s="21"/>
      <c r="C4" s="21"/>
      <c r="D4" s="21"/>
      <c r="E4" s="21"/>
      <c r="F4" s="21"/>
      <c r="G4" s="22"/>
      <c r="H4" s="23"/>
      <c r="I4" s="23"/>
      <c r="J4" s="23"/>
      <c r="K4" s="21"/>
    </row>
    <row r="5" customFormat="false" ht="15" hidden="false" customHeight="true" outlineLevel="0" collapsed="false">
      <c r="A5" s="5" t="n">
        <v>2</v>
      </c>
      <c r="B5" s="24"/>
      <c r="C5" s="24"/>
      <c r="D5" s="24"/>
      <c r="E5" s="24"/>
      <c r="F5" s="24"/>
      <c r="G5" s="25"/>
      <c r="H5" s="26"/>
      <c r="I5" s="26"/>
      <c r="J5" s="26"/>
      <c r="K5" s="24"/>
    </row>
    <row r="6" customFormat="false" ht="15" hidden="false" customHeight="true" outlineLevel="0" collapsed="false">
      <c r="A6" s="9" t="n">
        <v>3</v>
      </c>
      <c r="B6" s="21"/>
      <c r="C6" s="21"/>
      <c r="D6" s="21"/>
      <c r="E6" s="21"/>
      <c r="F6" s="21"/>
      <c r="G6" s="22"/>
      <c r="H6" s="23"/>
      <c r="I6" s="23"/>
      <c r="J6" s="23"/>
      <c r="K6" s="21"/>
    </row>
    <row r="7" customFormat="false" ht="15" hidden="false" customHeight="true" outlineLevel="0" collapsed="false">
      <c r="A7" s="5" t="n">
        <v>4</v>
      </c>
      <c r="B7" s="24"/>
      <c r="C7" s="24"/>
      <c r="D7" s="24"/>
      <c r="E7" s="24"/>
      <c r="F7" s="24"/>
      <c r="G7" s="25"/>
      <c r="H7" s="26"/>
      <c r="I7" s="26"/>
      <c r="J7" s="26"/>
      <c r="K7" s="24"/>
    </row>
    <row r="8" customFormat="false" ht="15" hidden="false" customHeight="true" outlineLevel="0" collapsed="false">
      <c r="A8" s="9" t="n">
        <v>5</v>
      </c>
      <c r="B8" s="21"/>
      <c r="C8" s="21"/>
      <c r="D8" s="21"/>
      <c r="E8" s="21"/>
      <c r="F8" s="21"/>
      <c r="G8" s="22"/>
      <c r="H8" s="23"/>
      <c r="I8" s="23"/>
      <c r="J8" s="23"/>
      <c r="K8" s="21"/>
    </row>
    <row r="9" customFormat="false" ht="15" hidden="false" customHeight="true" outlineLevel="0" collapsed="false">
      <c r="A9" s="5" t="n">
        <v>6</v>
      </c>
      <c r="B9" s="24"/>
      <c r="C9" s="24"/>
      <c r="D9" s="24"/>
      <c r="E9" s="24"/>
      <c r="F9" s="24"/>
      <c r="G9" s="25"/>
      <c r="H9" s="26"/>
      <c r="I9" s="26"/>
      <c r="J9" s="26"/>
      <c r="K9" s="24"/>
    </row>
    <row r="10" customFormat="false" ht="15" hidden="false" customHeight="true" outlineLevel="0" collapsed="false">
      <c r="A10" s="9" t="n">
        <v>7</v>
      </c>
      <c r="B10" s="21"/>
      <c r="C10" s="21"/>
      <c r="D10" s="21"/>
      <c r="E10" s="21"/>
      <c r="F10" s="21"/>
      <c r="G10" s="22"/>
      <c r="H10" s="23"/>
      <c r="I10" s="23"/>
      <c r="J10" s="23"/>
      <c r="K10" s="21"/>
    </row>
    <row r="11" customFormat="false" ht="15" hidden="false" customHeight="true" outlineLevel="0" collapsed="false">
      <c r="A11" s="5" t="n">
        <v>8</v>
      </c>
      <c r="B11" s="24"/>
      <c r="C11" s="24"/>
      <c r="D11" s="24"/>
      <c r="E11" s="24"/>
      <c r="F11" s="24"/>
      <c r="G11" s="25"/>
      <c r="H11" s="26"/>
      <c r="I11" s="26"/>
      <c r="J11" s="26"/>
      <c r="K11" s="24"/>
    </row>
    <row r="12" customFormat="false" ht="15" hidden="false" customHeight="true" outlineLevel="0" collapsed="false">
      <c r="A12" s="9" t="n">
        <v>9</v>
      </c>
      <c r="B12" s="21"/>
      <c r="C12" s="21"/>
      <c r="D12" s="21"/>
      <c r="E12" s="21"/>
      <c r="F12" s="21"/>
      <c r="G12" s="22"/>
      <c r="H12" s="23"/>
      <c r="I12" s="23"/>
      <c r="J12" s="23"/>
      <c r="K12" s="21"/>
    </row>
    <row r="13" customFormat="false" ht="15" hidden="false" customHeight="true" outlineLevel="0" collapsed="false">
      <c r="A13" s="5" t="n">
        <v>10</v>
      </c>
      <c r="B13" s="24"/>
      <c r="C13" s="24"/>
      <c r="D13" s="24"/>
      <c r="E13" s="24"/>
      <c r="F13" s="24"/>
      <c r="G13" s="25"/>
      <c r="H13" s="26"/>
      <c r="I13" s="26"/>
      <c r="J13" s="26"/>
      <c r="K13" s="24"/>
    </row>
    <row r="14" customFormat="false" ht="15" hidden="false" customHeight="true" outlineLevel="0" collapsed="false">
      <c r="A14" s="9" t="n">
        <v>11</v>
      </c>
      <c r="B14" s="21"/>
      <c r="C14" s="21"/>
      <c r="D14" s="21"/>
      <c r="E14" s="21"/>
      <c r="F14" s="21"/>
      <c r="G14" s="22"/>
      <c r="H14" s="23"/>
      <c r="I14" s="23"/>
      <c r="J14" s="23"/>
      <c r="K14" s="21"/>
    </row>
    <row r="15" customFormat="false" ht="15" hidden="false" customHeight="true" outlineLevel="0" collapsed="false">
      <c r="A15" s="5" t="n">
        <v>12</v>
      </c>
      <c r="B15" s="24"/>
      <c r="C15" s="24"/>
      <c r="D15" s="24"/>
      <c r="E15" s="24"/>
      <c r="F15" s="24"/>
      <c r="G15" s="25"/>
      <c r="H15" s="26"/>
      <c r="I15" s="26"/>
      <c r="J15" s="26"/>
      <c r="K15" s="24"/>
    </row>
    <row r="16" customFormat="false" ht="15" hidden="false" customHeight="true" outlineLevel="0" collapsed="false">
      <c r="A16" s="9" t="n">
        <v>13</v>
      </c>
      <c r="B16" s="21"/>
      <c r="C16" s="21"/>
      <c r="D16" s="21"/>
      <c r="E16" s="21"/>
      <c r="F16" s="21"/>
      <c r="G16" s="22"/>
      <c r="H16" s="23"/>
      <c r="I16" s="23"/>
      <c r="J16" s="23"/>
      <c r="K16" s="21"/>
    </row>
    <row r="17" customFormat="false" ht="15" hidden="false" customHeight="true" outlineLevel="0" collapsed="false">
      <c r="A17" s="5" t="n">
        <v>14</v>
      </c>
      <c r="B17" s="24"/>
      <c r="C17" s="24"/>
      <c r="D17" s="24"/>
      <c r="E17" s="24"/>
      <c r="F17" s="24"/>
      <c r="G17" s="25"/>
      <c r="H17" s="26"/>
      <c r="I17" s="26"/>
      <c r="J17" s="26"/>
      <c r="K17" s="24"/>
    </row>
    <row r="18" customFormat="false" ht="15" hidden="false" customHeight="true" outlineLevel="0" collapsed="false">
      <c r="A18" s="9" t="n">
        <v>15</v>
      </c>
      <c r="B18" s="21"/>
      <c r="C18" s="21"/>
      <c r="D18" s="21"/>
      <c r="E18" s="21"/>
      <c r="F18" s="21"/>
      <c r="G18" s="22"/>
      <c r="H18" s="23"/>
      <c r="I18" s="23"/>
      <c r="J18" s="23"/>
      <c r="K18" s="21"/>
    </row>
    <row r="19" customFormat="false" ht="15" hidden="false" customHeight="true" outlineLevel="0" collapsed="false">
      <c r="A19" s="5" t="n">
        <v>16</v>
      </c>
      <c r="B19" s="24"/>
      <c r="C19" s="24"/>
      <c r="D19" s="24"/>
      <c r="E19" s="24"/>
      <c r="F19" s="24"/>
      <c r="G19" s="25"/>
      <c r="H19" s="26"/>
      <c r="I19" s="26"/>
      <c r="J19" s="26"/>
      <c r="K19" s="24"/>
    </row>
    <row r="20" customFormat="false" ht="15" hidden="false" customHeight="true" outlineLevel="0" collapsed="false">
      <c r="A20" s="9" t="n">
        <v>17</v>
      </c>
      <c r="B20" s="21"/>
      <c r="C20" s="21"/>
      <c r="D20" s="21"/>
      <c r="E20" s="21"/>
      <c r="F20" s="21"/>
      <c r="G20" s="22"/>
      <c r="H20" s="23"/>
      <c r="I20" s="23"/>
      <c r="J20" s="23"/>
      <c r="K20" s="21"/>
    </row>
    <row r="21" customFormat="false" ht="15" hidden="false" customHeight="true" outlineLevel="0" collapsed="false">
      <c r="A21" s="5" t="n">
        <v>18</v>
      </c>
      <c r="B21" s="24"/>
      <c r="C21" s="24"/>
      <c r="D21" s="24"/>
      <c r="E21" s="24"/>
      <c r="F21" s="24"/>
      <c r="G21" s="25"/>
      <c r="H21" s="26"/>
      <c r="I21" s="26"/>
      <c r="J21" s="26"/>
      <c r="K21" s="24"/>
    </row>
    <row r="22" customFormat="false" ht="15" hidden="false" customHeight="true" outlineLevel="0" collapsed="false">
      <c r="A22" s="9" t="n">
        <v>19</v>
      </c>
      <c r="B22" s="21"/>
      <c r="C22" s="21"/>
      <c r="D22" s="21"/>
      <c r="E22" s="21"/>
      <c r="F22" s="21"/>
      <c r="G22" s="22"/>
      <c r="H22" s="23"/>
      <c r="I22" s="23"/>
      <c r="J22" s="23"/>
      <c r="K22" s="21"/>
    </row>
    <row r="23" customFormat="false" ht="15" hidden="false" customHeight="true" outlineLevel="0" collapsed="false">
      <c r="A23" s="5" t="n">
        <v>20</v>
      </c>
      <c r="B23" s="24"/>
      <c r="C23" s="24"/>
      <c r="D23" s="24"/>
      <c r="E23" s="24"/>
      <c r="F23" s="24"/>
      <c r="G23" s="25"/>
      <c r="H23" s="26"/>
      <c r="I23" s="26"/>
      <c r="J23" s="26"/>
      <c r="K23" s="24"/>
    </row>
    <row r="24" customFormat="false" ht="15" hidden="false" customHeight="true" outlineLevel="0" collapsed="false">
      <c r="A24" s="9" t="n">
        <v>21</v>
      </c>
      <c r="B24" s="21"/>
      <c r="C24" s="21"/>
      <c r="D24" s="21"/>
      <c r="E24" s="21"/>
      <c r="F24" s="21"/>
      <c r="G24" s="22"/>
      <c r="H24" s="23"/>
      <c r="I24" s="23"/>
      <c r="J24" s="23"/>
      <c r="K24" s="21"/>
    </row>
    <row r="25" customFormat="false" ht="15" hidden="false" customHeight="true" outlineLevel="0" collapsed="false">
      <c r="A25" s="5" t="n">
        <v>22</v>
      </c>
      <c r="B25" s="24"/>
      <c r="C25" s="24"/>
      <c r="D25" s="24"/>
      <c r="E25" s="24"/>
      <c r="F25" s="24"/>
      <c r="G25" s="25"/>
      <c r="H25" s="26"/>
      <c r="I25" s="26"/>
      <c r="J25" s="26"/>
      <c r="K25" s="24"/>
    </row>
    <row r="26" customFormat="false" ht="15" hidden="false" customHeight="true" outlineLevel="0" collapsed="false">
      <c r="A26" s="9" t="n">
        <v>23</v>
      </c>
      <c r="B26" s="21"/>
      <c r="C26" s="21"/>
      <c r="D26" s="21"/>
      <c r="E26" s="21"/>
      <c r="F26" s="21"/>
      <c r="G26" s="22"/>
      <c r="H26" s="23"/>
      <c r="I26" s="23"/>
      <c r="J26" s="23"/>
      <c r="K26" s="21"/>
    </row>
    <row r="27" customFormat="false" ht="15" hidden="false" customHeight="true" outlineLevel="0" collapsed="false">
      <c r="A27" s="5" t="n">
        <v>24</v>
      </c>
      <c r="B27" s="24"/>
      <c r="C27" s="24"/>
      <c r="D27" s="24"/>
      <c r="E27" s="24"/>
      <c r="F27" s="24"/>
      <c r="G27" s="25"/>
      <c r="H27" s="26"/>
      <c r="I27" s="26"/>
      <c r="J27" s="26"/>
      <c r="K27" s="24"/>
    </row>
    <row r="28" customFormat="false" ht="15" hidden="false" customHeight="true" outlineLevel="0" collapsed="false">
      <c r="A28" s="9" t="n">
        <v>25</v>
      </c>
      <c r="B28" s="21"/>
      <c r="C28" s="21"/>
      <c r="D28" s="21"/>
      <c r="E28" s="21"/>
      <c r="F28" s="21"/>
      <c r="G28" s="22"/>
      <c r="H28" s="23"/>
      <c r="I28" s="23"/>
      <c r="J28" s="23"/>
      <c r="K28" s="21"/>
    </row>
    <row r="29" customFormat="false" ht="15" hidden="false" customHeight="true" outlineLevel="0" collapsed="false">
      <c r="A29" s="5" t="n">
        <v>26</v>
      </c>
      <c r="B29" s="24"/>
      <c r="C29" s="24"/>
      <c r="D29" s="24"/>
      <c r="E29" s="24"/>
      <c r="F29" s="24"/>
      <c r="G29" s="25"/>
      <c r="H29" s="26"/>
      <c r="I29" s="26"/>
      <c r="J29" s="26"/>
      <c r="K29" s="24"/>
    </row>
    <row r="30" customFormat="false" ht="15" hidden="false" customHeight="true" outlineLevel="0" collapsed="false">
      <c r="A30" s="9" t="n">
        <v>27</v>
      </c>
      <c r="B30" s="21"/>
      <c r="C30" s="21"/>
      <c r="D30" s="21"/>
      <c r="E30" s="21"/>
      <c r="F30" s="21"/>
      <c r="G30" s="22"/>
      <c r="H30" s="23"/>
      <c r="I30" s="23"/>
      <c r="J30" s="23"/>
      <c r="K30" s="21"/>
    </row>
    <row r="31" customFormat="false" ht="15" hidden="false" customHeight="true" outlineLevel="0" collapsed="false">
      <c r="A31" s="5" t="n">
        <v>28</v>
      </c>
      <c r="B31" s="24"/>
      <c r="C31" s="24"/>
      <c r="D31" s="24"/>
      <c r="E31" s="24"/>
      <c r="F31" s="24"/>
      <c r="G31" s="25"/>
      <c r="H31" s="26"/>
      <c r="I31" s="26"/>
      <c r="J31" s="26"/>
      <c r="K31" s="24"/>
    </row>
    <row r="32" customFormat="false" ht="15" hidden="false" customHeight="true" outlineLevel="0" collapsed="false">
      <c r="A32" s="9" t="n">
        <v>29</v>
      </c>
      <c r="B32" s="21"/>
      <c r="C32" s="21"/>
      <c r="D32" s="21"/>
      <c r="E32" s="21"/>
      <c r="F32" s="21"/>
      <c r="G32" s="22"/>
      <c r="H32" s="23"/>
      <c r="I32" s="23"/>
      <c r="J32" s="23"/>
      <c r="K32" s="21"/>
    </row>
    <row r="33" customFormat="false" ht="15" hidden="false" customHeight="true" outlineLevel="0" collapsed="false">
      <c r="A33" s="5" t="n">
        <v>30</v>
      </c>
      <c r="B33" s="24"/>
      <c r="C33" s="24"/>
      <c r="D33" s="24"/>
      <c r="E33" s="24"/>
      <c r="F33" s="24"/>
      <c r="G33" s="25"/>
      <c r="H33" s="26"/>
      <c r="I33" s="26"/>
      <c r="J33" s="26"/>
      <c r="K33" s="24"/>
    </row>
    <row r="35" customFormat="false" ht="25.5" hidden="false" customHeight="true" outlineLevel="0" collapsed="false">
      <c r="A35" s="13" t="s">
        <v>85</v>
      </c>
      <c r="B35" s="13"/>
      <c r="C35" s="13"/>
      <c r="D35" s="13"/>
      <c r="E35" s="13"/>
      <c r="F35" s="13"/>
      <c r="G35" s="13"/>
      <c r="H35" s="13"/>
      <c r="I35" s="13"/>
      <c r="J35" s="13"/>
      <c r="K35" s="13"/>
    </row>
    <row r="36" customFormat="false" ht="15" hidden="false" customHeight="true" outlineLevel="0" collapsed="false">
      <c r="A36" s="27" t="s">
        <v>86</v>
      </c>
      <c r="B36" s="27"/>
      <c r="C36" s="27"/>
      <c r="D36" s="27"/>
      <c r="E36" s="27"/>
      <c r="F36" s="28" t="n">
        <f aca="false">IF(COUNTA(G4:G33)&gt;0,AVERAGE(G4:G33),0)</f>
        <v>0</v>
      </c>
      <c r="G36" s="29"/>
      <c r="H36" s="29"/>
      <c r="I36" s="29"/>
      <c r="J36" s="29"/>
      <c r="K36" s="29"/>
    </row>
    <row r="37" customFormat="false" ht="15" hidden="false" customHeight="true" outlineLevel="0" collapsed="false">
      <c r="A37" s="27" t="s">
        <v>87</v>
      </c>
      <c r="B37" s="27"/>
      <c r="C37" s="27"/>
      <c r="D37" s="27"/>
      <c r="E37" s="27"/>
      <c r="F37" s="28" t="n">
        <f aca="false">MAX(G4:G33)</f>
        <v>0</v>
      </c>
      <c r="G37" s="29"/>
      <c r="H37" s="29"/>
      <c r="I37" s="29"/>
      <c r="J37" s="29"/>
      <c r="K37" s="29"/>
    </row>
    <row r="38" customFormat="false" ht="15" hidden="false" customHeight="true" outlineLevel="0" collapsed="false">
      <c r="A38" s="27" t="s">
        <v>88</v>
      </c>
      <c r="B38" s="27"/>
      <c r="C38" s="27"/>
      <c r="D38" s="27"/>
      <c r="E38" s="27"/>
      <c r="F38" s="28" t="n">
        <f aca="false">MIN(G4:G33)</f>
        <v>0</v>
      </c>
      <c r="G38" s="29"/>
      <c r="H38" s="29"/>
      <c r="I38" s="29"/>
      <c r="J38" s="29"/>
      <c r="K38" s="29"/>
    </row>
    <row r="39" customFormat="false" ht="15" hidden="false" customHeight="true" outlineLevel="0" collapsed="false">
      <c r="A39" s="27" t="s">
        <v>89</v>
      </c>
      <c r="B39" s="27"/>
      <c r="C39" s="27"/>
      <c r="D39" s="27"/>
      <c r="E39" s="27"/>
      <c r="F39" s="28" t="n">
        <f aca="false">IF(COUNTA(F4:F33)&gt;0,SUM(F4:F33),0)</f>
        <v>0</v>
      </c>
      <c r="G39" s="29"/>
      <c r="H39" s="29"/>
      <c r="I39" s="29"/>
      <c r="J39" s="29"/>
      <c r="K39" s="29"/>
    </row>
    <row r="40" customFormat="false" ht="15" hidden="false" customHeight="true" outlineLevel="0" collapsed="false">
      <c r="A40" s="27" t="s">
        <v>90</v>
      </c>
      <c r="B40" s="27"/>
      <c r="C40" s="27"/>
      <c r="D40" s="27"/>
      <c r="E40" s="27"/>
      <c r="F40" s="30" t="n">
        <f aca="false">SUM(D4:D33)</f>
        <v>0</v>
      </c>
      <c r="G40" s="29"/>
      <c r="H40" s="29"/>
      <c r="I40" s="29"/>
      <c r="J40" s="29"/>
      <c r="K40" s="29"/>
    </row>
    <row r="41" customFormat="false" ht="15" hidden="false" customHeight="true" outlineLevel="0" collapsed="false">
      <c r="A41" s="27" t="s">
        <v>91</v>
      </c>
      <c r="B41" s="27"/>
      <c r="C41" s="27"/>
      <c r="D41" s="27"/>
      <c r="E41" s="27"/>
      <c r="F41" s="30" t="n">
        <f aca="false">SUM(F4:F33)</f>
        <v>0</v>
      </c>
      <c r="G41" s="29"/>
      <c r="H41" s="29"/>
      <c r="I41" s="29"/>
      <c r="J41" s="29"/>
      <c r="K41" s="29"/>
    </row>
  </sheetData>
  <mergeCells count="9">
    <mergeCell ref="A1:K1"/>
    <mergeCell ref="A2:K2"/>
    <mergeCell ref="A35:K35"/>
    <mergeCell ref="A36:E36"/>
    <mergeCell ref="A37:E37"/>
    <mergeCell ref="A38:E38"/>
    <mergeCell ref="A39:E39"/>
    <mergeCell ref="A40:E40"/>
    <mergeCell ref="A41:E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51B5"/>
    <pageSetUpPr fitToPage="false"/>
  </sheetPr>
  <dimension ref="A1:R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17" min="3" style="1" width="9"/>
    <col collapsed="false" customWidth="true" hidden="false" outlineLevel="0" max="18" min="18" style="1" width="14"/>
  </cols>
  <sheetData>
    <row r="1" customFormat="false" ht="33.75" hidden="false" customHeight="true" outlineLevel="0" collapsed="false">
      <c r="A1" s="31" t="s">
        <v>92</v>
      </c>
      <c r="B1" s="31"/>
      <c r="C1" s="31"/>
      <c r="D1" s="31"/>
      <c r="E1" s="31"/>
      <c r="F1" s="31"/>
      <c r="G1" s="31"/>
      <c r="H1" s="31"/>
      <c r="I1" s="31"/>
      <c r="J1" s="31"/>
      <c r="K1" s="31"/>
      <c r="L1" s="31"/>
      <c r="M1" s="31"/>
      <c r="N1" s="31"/>
      <c r="O1" s="31"/>
      <c r="P1" s="31"/>
      <c r="Q1" s="31"/>
      <c r="R1" s="31"/>
    </row>
    <row r="2" customFormat="false" ht="25.5" hidden="false" customHeight="true" outlineLevel="0" collapsed="false">
      <c r="A2" s="32" t="s">
        <v>93</v>
      </c>
      <c r="B2" s="32"/>
      <c r="C2" s="32"/>
      <c r="D2" s="32"/>
      <c r="E2" s="32"/>
      <c r="F2" s="32"/>
      <c r="G2" s="32"/>
      <c r="H2" s="32"/>
      <c r="I2" s="32"/>
      <c r="J2" s="32"/>
      <c r="K2" s="32"/>
      <c r="L2" s="32"/>
      <c r="M2" s="32"/>
      <c r="N2" s="32"/>
      <c r="O2" s="32"/>
      <c r="P2" s="32"/>
      <c r="Q2" s="32"/>
      <c r="R2" s="32"/>
    </row>
    <row r="4" customFormat="false" ht="15" hidden="false" customHeight="true" outlineLevel="0" collapsed="false">
      <c r="A4" s="33" t="s">
        <v>94</v>
      </c>
      <c r="B4" s="33" t="s">
        <v>76</v>
      </c>
      <c r="C4" s="34" t="s">
        <v>95</v>
      </c>
      <c r="D4" s="34" t="s">
        <v>96</v>
      </c>
      <c r="E4" s="34" t="s">
        <v>97</v>
      </c>
      <c r="F4" s="34" t="s">
        <v>98</v>
      </c>
      <c r="G4" s="34" t="s">
        <v>99</v>
      </c>
      <c r="H4" s="34" t="s">
        <v>100</v>
      </c>
      <c r="I4" s="34" t="s">
        <v>101</v>
      </c>
      <c r="J4" s="34" t="s">
        <v>102</v>
      </c>
      <c r="K4" s="34" t="s">
        <v>103</v>
      </c>
      <c r="L4" s="34" t="s">
        <v>104</v>
      </c>
      <c r="M4" s="34" t="s">
        <v>105</v>
      </c>
      <c r="N4" s="34" t="s">
        <v>106</v>
      </c>
      <c r="O4" s="34" t="s">
        <v>107</v>
      </c>
      <c r="P4" s="34" t="s">
        <v>108</v>
      </c>
      <c r="Q4" s="34" t="s">
        <v>109</v>
      </c>
      <c r="R4" s="14" t="s">
        <v>110</v>
      </c>
    </row>
    <row r="5" customFormat="false" ht="15" hidden="false" customHeight="true" outlineLevel="0" collapsed="false">
      <c r="A5" s="35"/>
      <c r="B5" s="24"/>
      <c r="C5" s="25"/>
      <c r="D5" s="25"/>
      <c r="E5" s="25"/>
      <c r="F5" s="25"/>
      <c r="G5" s="25"/>
      <c r="H5" s="25"/>
      <c r="I5" s="25"/>
      <c r="J5" s="25"/>
      <c r="K5" s="25"/>
      <c r="L5" s="25"/>
      <c r="M5" s="25"/>
      <c r="N5" s="25"/>
      <c r="O5" s="25"/>
      <c r="P5" s="25"/>
      <c r="Q5" s="25"/>
      <c r="R5" s="36" t="n">
        <f aca="false">IF(COUNTA(C5:Q5)&gt;0,AVERAGE(C5:Q5),0)</f>
        <v>0</v>
      </c>
    </row>
    <row r="6" customFormat="false" ht="15" hidden="false" customHeight="true" outlineLevel="0" collapsed="false">
      <c r="A6" s="37"/>
      <c r="B6" s="21"/>
      <c r="C6" s="22"/>
      <c r="D6" s="22"/>
      <c r="E6" s="22"/>
      <c r="F6" s="22"/>
      <c r="G6" s="22"/>
      <c r="H6" s="22"/>
      <c r="I6" s="22"/>
      <c r="J6" s="22"/>
      <c r="K6" s="22"/>
      <c r="L6" s="22"/>
      <c r="M6" s="22"/>
      <c r="N6" s="22"/>
      <c r="O6" s="22"/>
      <c r="P6" s="22"/>
      <c r="Q6" s="22"/>
      <c r="R6" s="38" t="n">
        <f aca="false">IF(COUNTA(C6:Q6)&gt;0,AVERAGE(C6:Q6),0)</f>
        <v>0</v>
      </c>
    </row>
    <row r="7" customFormat="false" ht="15" hidden="false" customHeight="true" outlineLevel="0" collapsed="false">
      <c r="A7" s="35"/>
      <c r="B7" s="24"/>
      <c r="C7" s="25"/>
      <c r="D7" s="25"/>
      <c r="E7" s="25"/>
      <c r="F7" s="25"/>
      <c r="G7" s="25"/>
      <c r="H7" s="25"/>
      <c r="I7" s="25"/>
      <c r="J7" s="25"/>
      <c r="K7" s="25"/>
      <c r="L7" s="25"/>
      <c r="M7" s="25"/>
      <c r="N7" s="25"/>
      <c r="O7" s="25"/>
      <c r="P7" s="25"/>
      <c r="Q7" s="25"/>
      <c r="R7" s="36" t="n">
        <f aca="false">IF(COUNTA(C7:Q7)&gt;0,AVERAGE(C7:Q7),0)</f>
        <v>0</v>
      </c>
    </row>
    <row r="8" customFormat="false" ht="15" hidden="false" customHeight="true" outlineLevel="0" collapsed="false">
      <c r="A8" s="37"/>
      <c r="B8" s="21"/>
      <c r="C8" s="22"/>
      <c r="D8" s="22"/>
      <c r="E8" s="22"/>
      <c r="F8" s="22"/>
      <c r="G8" s="22"/>
      <c r="H8" s="22"/>
      <c r="I8" s="22"/>
      <c r="J8" s="22"/>
      <c r="K8" s="22"/>
      <c r="L8" s="22"/>
      <c r="M8" s="22"/>
      <c r="N8" s="22"/>
      <c r="O8" s="22"/>
      <c r="P8" s="22"/>
      <c r="Q8" s="22"/>
      <c r="R8" s="38" t="n">
        <f aca="false">IF(COUNTA(C8:Q8)&gt;0,AVERAGE(C8:Q8),0)</f>
        <v>0</v>
      </c>
    </row>
    <row r="9" customFormat="false" ht="15" hidden="false" customHeight="true" outlineLevel="0" collapsed="false">
      <c r="A9" s="35"/>
      <c r="B9" s="24"/>
      <c r="C9" s="25"/>
      <c r="D9" s="25"/>
      <c r="E9" s="25"/>
      <c r="F9" s="25"/>
      <c r="G9" s="25"/>
      <c r="H9" s="25"/>
      <c r="I9" s="25"/>
      <c r="J9" s="25"/>
      <c r="K9" s="25"/>
      <c r="L9" s="25"/>
      <c r="M9" s="25"/>
      <c r="N9" s="25"/>
      <c r="O9" s="25"/>
      <c r="P9" s="25"/>
      <c r="Q9" s="25"/>
      <c r="R9" s="36" t="n">
        <f aca="false">IF(COUNTA(C9:Q9)&gt;0,AVERAGE(C9:Q9),0)</f>
        <v>0</v>
      </c>
    </row>
    <row r="10" customFormat="false" ht="15" hidden="false" customHeight="true" outlineLevel="0" collapsed="false">
      <c r="A10" s="37"/>
      <c r="B10" s="21"/>
      <c r="C10" s="22"/>
      <c r="D10" s="22"/>
      <c r="E10" s="22"/>
      <c r="F10" s="22"/>
      <c r="G10" s="22"/>
      <c r="H10" s="22"/>
      <c r="I10" s="22"/>
      <c r="J10" s="22"/>
      <c r="K10" s="22"/>
      <c r="L10" s="22"/>
      <c r="M10" s="22"/>
      <c r="N10" s="22"/>
      <c r="O10" s="22"/>
      <c r="P10" s="22"/>
      <c r="Q10" s="22"/>
      <c r="R10" s="38" t="n">
        <f aca="false">IF(COUNTA(C10:Q10)&gt;0,AVERAGE(C10:Q10),0)</f>
        <v>0</v>
      </c>
    </row>
    <row r="11" customFormat="false" ht="15" hidden="false" customHeight="true" outlineLevel="0" collapsed="false">
      <c r="A11" s="35"/>
      <c r="B11" s="24"/>
      <c r="C11" s="25"/>
      <c r="D11" s="25"/>
      <c r="E11" s="25"/>
      <c r="F11" s="25"/>
      <c r="G11" s="25"/>
      <c r="H11" s="25"/>
      <c r="I11" s="25"/>
      <c r="J11" s="25"/>
      <c r="K11" s="25"/>
      <c r="L11" s="25"/>
      <c r="M11" s="25"/>
      <c r="N11" s="25"/>
      <c r="O11" s="25"/>
      <c r="P11" s="25"/>
      <c r="Q11" s="25"/>
      <c r="R11" s="36" t="n">
        <f aca="false">IF(COUNTA(C11:Q11)&gt;0,AVERAGE(C11:Q11),0)</f>
        <v>0</v>
      </c>
    </row>
    <row r="12" customFormat="false" ht="15" hidden="false" customHeight="true" outlineLevel="0" collapsed="false">
      <c r="A12" s="37"/>
      <c r="B12" s="21"/>
      <c r="C12" s="22"/>
      <c r="D12" s="22"/>
      <c r="E12" s="22"/>
      <c r="F12" s="22"/>
      <c r="G12" s="22"/>
      <c r="H12" s="22"/>
      <c r="I12" s="22"/>
      <c r="J12" s="22"/>
      <c r="K12" s="22"/>
      <c r="L12" s="22"/>
      <c r="M12" s="22"/>
      <c r="N12" s="22"/>
      <c r="O12" s="22"/>
      <c r="P12" s="22"/>
      <c r="Q12" s="22"/>
      <c r="R12" s="38" t="n">
        <f aca="false">IF(COUNTA(C12:Q12)&gt;0,AVERAGE(C12:Q12),0)</f>
        <v>0</v>
      </c>
    </row>
    <row r="13" customFormat="false" ht="15" hidden="false" customHeight="true" outlineLevel="0" collapsed="false">
      <c r="A13" s="35"/>
      <c r="B13" s="24"/>
      <c r="C13" s="25"/>
      <c r="D13" s="25"/>
      <c r="E13" s="25"/>
      <c r="F13" s="25"/>
      <c r="G13" s="25"/>
      <c r="H13" s="25"/>
      <c r="I13" s="25"/>
      <c r="J13" s="25"/>
      <c r="K13" s="25"/>
      <c r="L13" s="25"/>
      <c r="M13" s="25"/>
      <c r="N13" s="25"/>
      <c r="O13" s="25"/>
      <c r="P13" s="25"/>
      <c r="Q13" s="25"/>
      <c r="R13" s="36" t="n">
        <f aca="false">IF(COUNTA(C13:Q13)&gt;0,AVERAGE(C13:Q13),0)</f>
        <v>0</v>
      </c>
    </row>
    <row r="14" customFormat="false" ht="15" hidden="false" customHeight="true" outlineLevel="0" collapsed="false">
      <c r="A14" s="37"/>
      <c r="B14" s="21"/>
      <c r="C14" s="22"/>
      <c r="D14" s="22"/>
      <c r="E14" s="22"/>
      <c r="F14" s="22"/>
      <c r="G14" s="22"/>
      <c r="H14" s="22"/>
      <c r="I14" s="22"/>
      <c r="J14" s="22"/>
      <c r="K14" s="22"/>
      <c r="L14" s="22"/>
      <c r="M14" s="22"/>
      <c r="N14" s="22"/>
      <c r="O14" s="22"/>
      <c r="P14" s="22"/>
      <c r="Q14" s="22"/>
      <c r="R14" s="38" t="n">
        <f aca="false">IF(COUNTA(C14:Q14)&gt;0,AVERAGE(C14:Q14),0)</f>
        <v>0</v>
      </c>
    </row>
    <row r="15" customFormat="false" ht="15" hidden="false" customHeight="true" outlineLevel="0" collapsed="false">
      <c r="A15" s="35"/>
      <c r="B15" s="24"/>
      <c r="C15" s="25"/>
      <c r="D15" s="25"/>
      <c r="E15" s="25"/>
      <c r="F15" s="25"/>
      <c r="G15" s="25"/>
      <c r="H15" s="25"/>
      <c r="I15" s="25"/>
      <c r="J15" s="25"/>
      <c r="K15" s="25"/>
      <c r="L15" s="25"/>
      <c r="M15" s="25"/>
      <c r="N15" s="25"/>
      <c r="O15" s="25"/>
      <c r="P15" s="25"/>
      <c r="Q15" s="25"/>
      <c r="R15" s="36" t="n">
        <f aca="false">IF(COUNTA(C15:Q15)&gt;0,AVERAGE(C15:Q15),0)</f>
        <v>0</v>
      </c>
    </row>
    <row r="16" customFormat="false" ht="15" hidden="false" customHeight="true" outlineLevel="0" collapsed="false">
      <c r="A16" s="37"/>
      <c r="B16" s="21"/>
      <c r="C16" s="22"/>
      <c r="D16" s="22"/>
      <c r="E16" s="22"/>
      <c r="F16" s="22"/>
      <c r="G16" s="22"/>
      <c r="H16" s="22"/>
      <c r="I16" s="22"/>
      <c r="J16" s="22"/>
      <c r="K16" s="22"/>
      <c r="L16" s="22"/>
      <c r="M16" s="22"/>
      <c r="N16" s="22"/>
      <c r="O16" s="22"/>
      <c r="P16" s="22"/>
      <c r="Q16" s="22"/>
      <c r="R16" s="38" t="n">
        <f aca="false">IF(COUNTA(C16:Q16)&gt;0,AVERAGE(C16:Q16),0)</f>
        <v>0</v>
      </c>
    </row>
    <row r="17" customFormat="false" ht="15" hidden="false" customHeight="true" outlineLevel="0" collapsed="false">
      <c r="A17" s="35"/>
      <c r="B17" s="24"/>
      <c r="C17" s="25"/>
      <c r="D17" s="25"/>
      <c r="E17" s="25"/>
      <c r="F17" s="25"/>
      <c r="G17" s="25"/>
      <c r="H17" s="25"/>
      <c r="I17" s="25"/>
      <c r="J17" s="25"/>
      <c r="K17" s="25"/>
      <c r="L17" s="25"/>
      <c r="M17" s="25"/>
      <c r="N17" s="25"/>
      <c r="O17" s="25"/>
      <c r="P17" s="25"/>
      <c r="Q17" s="25"/>
      <c r="R17" s="36" t="n">
        <f aca="false">IF(COUNTA(C17:Q17)&gt;0,AVERAGE(C17:Q17),0)</f>
        <v>0</v>
      </c>
    </row>
    <row r="18" customFormat="false" ht="15" hidden="false" customHeight="true" outlineLevel="0" collapsed="false">
      <c r="A18" s="37"/>
      <c r="B18" s="21"/>
      <c r="C18" s="22"/>
      <c r="D18" s="22"/>
      <c r="E18" s="22"/>
      <c r="F18" s="22"/>
      <c r="G18" s="22"/>
      <c r="H18" s="22"/>
      <c r="I18" s="22"/>
      <c r="J18" s="22"/>
      <c r="K18" s="22"/>
      <c r="L18" s="22"/>
      <c r="M18" s="22"/>
      <c r="N18" s="22"/>
      <c r="O18" s="22"/>
      <c r="P18" s="22"/>
      <c r="Q18" s="22"/>
      <c r="R18" s="38" t="n">
        <f aca="false">IF(COUNTA(C18:Q18)&gt;0,AVERAGE(C18:Q18),0)</f>
        <v>0</v>
      </c>
    </row>
    <row r="19" customFormat="false" ht="15" hidden="false" customHeight="true" outlineLevel="0" collapsed="false">
      <c r="A19" s="35"/>
      <c r="B19" s="24"/>
      <c r="C19" s="25"/>
      <c r="D19" s="25"/>
      <c r="E19" s="25"/>
      <c r="F19" s="25"/>
      <c r="G19" s="25"/>
      <c r="H19" s="25"/>
      <c r="I19" s="25"/>
      <c r="J19" s="25"/>
      <c r="K19" s="25"/>
      <c r="L19" s="25"/>
      <c r="M19" s="25"/>
      <c r="N19" s="25"/>
      <c r="O19" s="25"/>
      <c r="P19" s="25"/>
      <c r="Q19" s="25"/>
      <c r="R19" s="36" t="n">
        <f aca="false">IF(COUNTA(C19:Q19)&gt;0,AVERAGE(C19:Q19),0)</f>
        <v>0</v>
      </c>
    </row>
    <row r="20" customFormat="false" ht="15" hidden="false" customHeight="true" outlineLevel="0" collapsed="false">
      <c r="A20" s="37"/>
      <c r="B20" s="21"/>
      <c r="C20" s="22"/>
      <c r="D20" s="22"/>
      <c r="E20" s="22"/>
      <c r="F20" s="22"/>
      <c r="G20" s="22"/>
      <c r="H20" s="22"/>
      <c r="I20" s="22"/>
      <c r="J20" s="22"/>
      <c r="K20" s="22"/>
      <c r="L20" s="22"/>
      <c r="M20" s="22"/>
      <c r="N20" s="22"/>
      <c r="O20" s="22"/>
      <c r="P20" s="22"/>
      <c r="Q20" s="22"/>
      <c r="R20" s="38" t="n">
        <f aca="false">IF(COUNTA(C20:Q20)&gt;0,AVERAGE(C20:Q20),0)</f>
        <v>0</v>
      </c>
    </row>
    <row r="21" customFormat="false" ht="15" hidden="false" customHeight="true" outlineLevel="0" collapsed="false">
      <c r="A21" s="35"/>
      <c r="B21" s="24"/>
      <c r="C21" s="25"/>
      <c r="D21" s="25"/>
      <c r="E21" s="25"/>
      <c r="F21" s="25"/>
      <c r="G21" s="25"/>
      <c r="H21" s="25"/>
      <c r="I21" s="25"/>
      <c r="J21" s="25"/>
      <c r="K21" s="25"/>
      <c r="L21" s="25"/>
      <c r="M21" s="25"/>
      <c r="N21" s="25"/>
      <c r="O21" s="25"/>
      <c r="P21" s="25"/>
      <c r="Q21" s="25"/>
      <c r="R21" s="36" t="n">
        <f aca="false">IF(COUNTA(C21:Q21)&gt;0,AVERAGE(C21:Q21),0)</f>
        <v>0</v>
      </c>
    </row>
    <row r="22" customFormat="false" ht="15" hidden="false" customHeight="true" outlineLevel="0" collapsed="false">
      <c r="A22" s="37"/>
      <c r="B22" s="21"/>
      <c r="C22" s="22"/>
      <c r="D22" s="22"/>
      <c r="E22" s="22"/>
      <c r="F22" s="22"/>
      <c r="G22" s="22"/>
      <c r="H22" s="22"/>
      <c r="I22" s="22"/>
      <c r="J22" s="22"/>
      <c r="K22" s="22"/>
      <c r="L22" s="22"/>
      <c r="M22" s="22"/>
      <c r="N22" s="22"/>
      <c r="O22" s="22"/>
      <c r="P22" s="22"/>
      <c r="Q22" s="22"/>
      <c r="R22" s="38" t="n">
        <f aca="false">IF(COUNTA(C22:Q22)&gt;0,AVERAGE(C22:Q22),0)</f>
        <v>0</v>
      </c>
    </row>
    <row r="23" customFormat="false" ht="15" hidden="false" customHeight="true" outlineLevel="0" collapsed="false">
      <c r="A23" s="35"/>
      <c r="B23" s="24"/>
      <c r="C23" s="25"/>
      <c r="D23" s="25"/>
      <c r="E23" s="25"/>
      <c r="F23" s="25"/>
      <c r="G23" s="25"/>
      <c r="H23" s="25"/>
      <c r="I23" s="25"/>
      <c r="J23" s="25"/>
      <c r="K23" s="25"/>
      <c r="L23" s="25"/>
      <c r="M23" s="25"/>
      <c r="N23" s="25"/>
      <c r="O23" s="25"/>
      <c r="P23" s="25"/>
      <c r="Q23" s="25"/>
      <c r="R23" s="36" t="n">
        <f aca="false">IF(COUNTA(C23:Q23)&gt;0,AVERAGE(C23:Q23),0)</f>
        <v>0</v>
      </c>
    </row>
    <row r="24" customFormat="false" ht="15" hidden="false" customHeight="true" outlineLevel="0" collapsed="false">
      <c r="A24" s="37"/>
      <c r="B24" s="21"/>
      <c r="C24" s="22"/>
      <c r="D24" s="22"/>
      <c r="E24" s="22"/>
      <c r="F24" s="22"/>
      <c r="G24" s="22"/>
      <c r="H24" s="22"/>
      <c r="I24" s="22"/>
      <c r="J24" s="22"/>
      <c r="K24" s="22"/>
      <c r="L24" s="22"/>
      <c r="M24" s="22"/>
      <c r="N24" s="22"/>
      <c r="O24" s="22"/>
      <c r="P24" s="22"/>
      <c r="Q24" s="22"/>
      <c r="R24" s="38" t="n">
        <f aca="false">IF(COUNTA(C24:Q24)&gt;0,AVERAGE(C24:Q24),0)</f>
        <v>0</v>
      </c>
    </row>
    <row r="25" customFormat="false" ht="15" hidden="false" customHeight="true" outlineLevel="0" collapsed="false">
      <c r="A25" s="35"/>
      <c r="B25" s="24"/>
      <c r="C25" s="25"/>
      <c r="D25" s="25"/>
      <c r="E25" s="25"/>
      <c r="F25" s="25"/>
      <c r="G25" s="25"/>
      <c r="H25" s="25"/>
      <c r="I25" s="25"/>
      <c r="J25" s="25"/>
      <c r="K25" s="25"/>
      <c r="L25" s="25"/>
      <c r="M25" s="25"/>
      <c r="N25" s="25"/>
      <c r="O25" s="25"/>
      <c r="P25" s="25"/>
      <c r="Q25" s="25"/>
      <c r="R25" s="36" t="n">
        <f aca="false">IF(COUNTA(C25:Q25)&gt;0,AVERAGE(C25:Q25),0)</f>
        <v>0</v>
      </c>
    </row>
    <row r="26" customFormat="false" ht="15" hidden="false" customHeight="true" outlineLevel="0" collapsed="false">
      <c r="A26" s="37"/>
      <c r="B26" s="21"/>
      <c r="C26" s="22"/>
      <c r="D26" s="22"/>
      <c r="E26" s="22"/>
      <c r="F26" s="22"/>
      <c r="G26" s="22"/>
      <c r="H26" s="22"/>
      <c r="I26" s="22"/>
      <c r="J26" s="22"/>
      <c r="K26" s="22"/>
      <c r="L26" s="22"/>
      <c r="M26" s="22"/>
      <c r="N26" s="22"/>
      <c r="O26" s="22"/>
      <c r="P26" s="22"/>
      <c r="Q26" s="22"/>
      <c r="R26" s="38" t="n">
        <f aca="false">IF(COUNTA(C26:Q26)&gt;0,AVERAGE(C26:Q26),0)</f>
        <v>0</v>
      </c>
    </row>
    <row r="27" customFormat="false" ht="15" hidden="false" customHeight="true" outlineLevel="0" collapsed="false">
      <c r="A27" s="35"/>
      <c r="B27" s="24"/>
      <c r="C27" s="25"/>
      <c r="D27" s="25"/>
      <c r="E27" s="25"/>
      <c r="F27" s="25"/>
      <c r="G27" s="25"/>
      <c r="H27" s="25"/>
      <c r="I27" s="25"/>
      <c r="J27" s="25"/>
      <c r="K27" s="25"/>
      <c r="L27" s="25"/>
      <c r="M27" s="25"/>
      <c r="N27" s="25"/>
      <c r="O27" s="25"/>
      <c r="P27" s="25"/>
      <c r="Q27" s="25"/>
      <c r="R27" s="36" t="n">
        <f aca="false">IF(COUNTA(C27:Q27)&gt;0,AVERAGE(C27:Q27),0)</f>
        <v>0</v>
      </c>
    </row>
    <row r="28" customFormat="false" ht="15" hidden="false" customHeight="true" outlineLevel="0" collapsed="false">
      <c r="A28" s="37"/>
      <c r="B28" s="21"/>
      <c r="C28" s="22"/>
      <c r="D28" s="22"/>
      <c r="E28" s="22"/>
      <c r="F28" s="22"/>
      <c r="G28" s="22"/>
      <c r="H28" s="22"/>
      <c r="I28" s="22"/>
      <c r="J28" s="22"/>
      <c r="K28" s="22"/>
      <c r="L28" s="22"/>
      <c r="M28" s="22"/>
      <c r="N28" s="22"/>
      <c r="O28" s="22"/>
      <c r="P28" s="22"/>
      <c r="Q28" s="22"/>
      <c r="R28" s="38" t="n">
        <f aca="false">IF(COUNTA(C28:Q28)&gt;0,AVERAGE(C28:Q28),0)</f>
        <v>0</v>
      </c>
    </row>
    <row r="29" customFormat="false" ht="15" hidden="false" customHeight="true" outlineLevel="0" collapsed="false">
      <c r="A29" s="35"/>
      <c r="B29" s="24"/>
      <c r="C29" s="25"/>
      <c r="D29" s="25"/>
      <c r="E29" s="25"/>
      <c r="F29" s="25"/>
      <c r="G29" s="25"/>
      <c r="H29" s="25"/>
      <c r="I29" s="25"/>
      <c r="J29" s="25"/>
      <c r="K29" s="25"/>
      <c r="L29" s="25"/>
      <c r="M29" s="25"/>
      <c r="N29" s="25"/>
      <c r="O29" s="25"/>
      <c r="P29" s="25"/>
      <c r="Q29" s="25"/>
      <c r="R29" s="36" t="n">
        <f aca="false">IF(COUNTA(C29:Q29)&gt;0,AVERAGE(C29:Q29),0)</f>
        <v>0</v>
      </c>
    </row>
    <row r="30" customFormat="false" ht="15" hidden="false" customHeight="true" outlineLevel="0" collapsed="false">
      <c r="A30" s="37"/>
      <c r="B30" s="21"/>
      <c r="C30" s="22"/>
      <c r="D30" s="22"/>
      <c r="E30" s="22"/>
      <c r="F30" s="22"/>
      <c r="G30" s="22"/>
      <c r="H30" s="22"/>
      <c r="I30" s="22"/>
      <c r="J30" s="22"/>
      <c r="K30" s="22"/>
      <c r="L30" s="22"/>
      <c r="M30" s="22"/>
      <c r="N30" s="22"/>
      <c r="O30" s="22"/>
      <c r="P30" s="22"/>
      <c r="Q30" s="22"/>
      <c r="R30" s="38" t="n">
        <f aca="false">IF(COUNTA(C30:Q30)&gt;0,AVERAGE(C30:Q30),0)</f>
        <v>0</v>
      </c>
    </row>
    <row r="31" customFormat="false" ht="15" hidden="false" customHeight="true" outlineLevel="0" collapsed="false">
      <c r="A31" s="35"/>
      <c r="B31" s="24"/>
      <c r="C31" s="25"/>
      <c r="D31" s="25"/>
      <c r="E31" s="25"/>
      <c r="F31" s="25"/>
      <c r="G31" s="25"/>
      <c r="H31" s="25"/>
      <c r="I31" s="25"/>
      <c r="J31" s="25"/>
      <c r="K31" s="25"/>
      <c r="L31" s="25"/>
      <c r="M31" s="25"/>
      <c r="N31" s="25"/>
      <c r="O31" s="25"/>
      <c r="P31" s="25"/>
      <c r="Q31" s="25"/>
      <c r="R31" s="36" t="n">
        <f aca="false">IF(COUNTA(C31:Q31)&gt;0,AVERAGE(C31:Q31),0)</f>
        <v>0</v>
      </c>
    </row>
    <row r="32" customFormat="false" ht="15" hidden="false" customHeight="true" outlineLevel="0" collapsed="false">
      <c r="A32" s="37"/>
      <c r="B32" s="21"/>
      <c r="C32" s="22"/>
      <c r="D32" s="22"/>
      <c r="E32" s="22"/>
      <c r="F32" s="22"/>
      <c r="G32" s="22"/>
      <c r="H32" s="22"/>
      <c r="I32" s="22"/>
      <c r="J32" s="22"/>
      <c r="K32" s="22"/>
      <c r="L32" s="22"/>
      <c r="M32" s="22"/>
      <c r="N32" s="22"/>
      <c r="O32" s="22"/>
      <c r="P32" s="22"/>
      <c r="Q32" s="22"/>
      <c r="R32" s="38" t="n">
        <f aca="false">IF(COUNTA(C32:Q32)&gt;0,AVERAGE(C32:Q32),0)</f>
        <v>0</v>
      </c>
    </row>
    <row r="33" customFormat="false" ht="15" hidden="false" customHeight="true" outlineLevel="0" collapsed="false">
      <c r="A33" s="35"/>
      <c r="B33" s="24"/>
      <c r="C33" s="25"/>
      <c r="D33" s="25"/>
      <c r="E33" s="25"/>
      <c r="F33" s="25"/>
      <c r="G33" s="25"/>
      <c r="H33" s="25"/>
      <c r="I33" s="25"/>
      <c r="J33" s="25"/>
      <c r="K33" s="25"/>
      <c r="L33" s="25"/>
      <c r="M33" s="25"/>
      <c r="N33" s="25"/>
      <c r="O33" s="25"/>
      <c r="P33" s="25"/>
      <c r="Q33" s="25"/>
      <c r="R33" s="36" t="n">
        <f aca="false">IF(COUNTA(C33:Q33)&gt;0,AVERAGE(C33:Q33),0)</f>
        <v>0</v>
      </c>
    </row>
    <row r="34" customFormat="false" ht="15" hidden="false" customHeight="true" outlineLevel="0" collapsed="false">
      <c r="A34" s="37"/>
      <c r="B34" s="21"/>
      <c r="C34" s="22"/>
      <c r="D34" s="22"/>
      <c r="E34" s="22"/>
      <c r="F34" s="22"/>
      <c r="G34" s="22"/>
      <c r="H34" s="22"/>
      <c r="I34" s="22"/>
      <c r="J34" s="22"/>
      <c r="K34" s="22"/>
      <c r="L34" s="22"/>
      <c r="M34" s="22"/>
      <c r="N34" s="22"/>
      <c r="O34" s="22"/>
      <c r="P34" s="22"/>
      <c r="Q34" s="22"/>
      <c r="R34" s="38" t="n">
        <f aca="false">IF(COUNTA(C34:Q34)&gt;0,AVERAGE(C34:Q34),0)</f>
        <v>0</v>
      </c>
    </row>
  </sheetData>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14"/>
    <col collapsed="false" customWidth="true" hidden="false" outlineLevel="0" max="9" min="4" style="1" width="18"/>
    <col collapsed="false" customWidth="true" hidden="false" outlineLevel="0" max="10" min="10" style="1" width="14"/>
  </cols>
  <sheetData>
    <row r="1" customFormat="false" ht="33.75" hidden="false" customHeight="true" outlineLevel="0" collapsed="false">
      <c r="A1" s="39" t="s">
        <v>111</v>
      </c>
      <c r="B1" s="39"/>
      <c r="C1" s="39"/>
      <c r="D1" s="39"/>
      <c r="E1" s="39"/>
      <c r="F1" s="39"/>
      <c r="G1" s="39"/>
      <c r="H1" s="39"/>
      <c r="I1" s="39"/>
      <c r="J1" s="39"/>
    </row>
    <row r="2" customFormat="false" ht="25.5" hidden="false" customHeight="true" outlineLevel="0" collapsed="false">
      <c r="A2" s="40" t="s">
        <v>112</v>
      </c>
      <c r="B2" s="40"/>
      <c r="C2" s="40"/>
      <c r="D2" s="40"/>
      <c r="E2" s="40"/>
      <c r="F2" s="40"/>
      <c r="G2" s="40"/>
      <c r="H2" s="40"/>
      <c r="I2" s="40"/>
      <c r="J2" s="40"/>
    </row>
    <row r="3" customFormat="false" ht="23.25" hidden="false" customHeight="true" outlineLevel="0" collapsed="false">
      <c r="A3" s="41" t="s">
        <v>74</v>
      </c>
      <c r="B3" s="41" t="s">
        <v>75</v>
      </c>
      <c r="C3" s="41" t="s">
        <v>76</v>
      </c>
      <c r="D3" s="41" t="s">
        <v>113</v>
      </c>
      <c r="E3" s="41" t="s">
        <v>114</v>
      </c>
      <c r="F3" s="41" t="s">
        <v>115</v>
      </c>
      <c r="G3" s="41" t="s">
        <v>116</v>
      </c>
      <c r="H3" s="41" t="s">
        <v>117</v>
      </c>
      <c r="I3" s="41" t="s">
        <v>118</v>
      </c>
      <c r="J3" s="41" t="s">
        <v>119</v>
      </c>
    </row>
    <row r="4" customFormat="false" ht="15" hidden="false" customHeight="true" outlineLevel="0" collapsed="false">
      <c r="A4" s="9" t="n">
        <v>1</v>
      </c>
      <c r="B4" s="21"/>
      <c r="C4" s="21"/>
      <c r="D4" s="21"/>
      <c r="E4" s="21"/>
      <c r="F4" s="21"/>
      <c r="G4" s="21"/>
      <c r="H4" s="21"/>
      <c r="I4" s="42" t="n">
        <f aca="false">IF(D4&gt;0,E4/D4*100,0)</f>
        <v>0</v>
      </c>
      <c r="J4" s="42" t="n">
        <f aca="false">IF(D4&gt;0,H4/D4*100,0)</f>
        <v>0</v>
      </c>
    </row>
    <row r="5" customFormat="false" ht="15" hidden="false" customHeight="true" outlineLevel="0" collapsed="false">
      <c r="A5" s="5" t="n">
        <v>2</v>
      </c>
      <c r="B5" s="24"/>
      <c r="C5" s="24"/>
      <c r="D5" s="24"/>
      <c r="E5" s="24"/>
      <c r="F5" s="24"/>
      <c r="G5" s="24"/>
      <c r="H5" s="24"/>
      <c r="I5" s="43" t="n">
        <f aca="false">IF(D5&gt;0,E5/D5*100,0)</f>
        <v>0</v>
      </c>
      <c r="J5" s="43" t="n">
        <f aca="false">IF(D5&gt;0,H5/D5*100,0)</f>
        <v>0</v>
      </c>
    </row>
    <row r="6" customFormat="false" ht="15" hidden="false" customHeight="true" outlineLevel="0" collapsed="false">
      <c r="A6" s="9" t="n">
        <v>3</v>
      </c>
      <c r="B6" s="21"/>
      <c r="C6" s="21"/>
      <c r="D6" s="21"/>
      <c r="E6" s="21"/>
      <c r="F6" s="21"/>
      <c r="G6" s="21"/>
      <c r="H6" s="21"/>
      <c r="I6" s="42" t="n">
        <f aca="false">IF(D6&gt;0,E6/D6*100,0)</f>
        <v>0</v>
      </c>
      <c r="J6" s="42" t="n">
        <f aca="false">IF(D6&gt;0,H6/D6*100,0)</f>
        <v>0</v>
      </c>
    </row>
    <row r="7" customFormat="false" ht="15" hidden="false" customHeight="true" outlineLevel="0" collapsed="false">
      <c r="A7" s="5" t="n">
        <v>4</v>
      </c>
      <c r="B7" s="24"/>
      <c r="C7" s="24"/>
      <c r="D7" s="24"/>
      <c r="E7" s="24"/>
      <c r="F7" s="24"/>
      <c r="G7" s="24"/>
      <c r="H7" s="24"/>
      <c r="I7" s="43" t="n">
        <f aca="false">IF(D7&gt;0,E7/D7*100,0)</f>
        <v>0</v>
      </c>
      <c r="J7" s="43" t="n">
        <f aca="false">IF(D7&gt;0,H7/D7*100,0)</f>
        <v>0</v>
      </c>
    </row>
    <row r="8" customFormat="false" ht="15" hidden="false" customHeight="true" outlineLevel="0" collapsed="false">
      <c r="A8" s="9" t="n">
        <v>5</v>
      </c>
      <c r="B8" s="21"/>
      <c r="C8" s="21"/>
      <c r="D8" s="21"/>
      <c r="E8" s="21"/>
      <c r="F8" s="21"/>
      <c r="G8" s="21"/>
      <c r="H8" s="21"/>
      <c r="I8" s="42" t="n">
        <f aca="false">IF(D8&gt;0,E8/D8*100,0)</f>
        <v>0</v>
      </c>
      <c r="J8" s="42" t="n">
        <f aca="false">IF(D8&gt;0,H8/D8*100,0)</f>
        <v>0</v>
      </c>
    </row>
    <row r="9" customFormat="false" ht="15" hidden="false" customHeight="true" outlineLevel="0" collapsed="false">
      <c r="A9" s="5" t="n">
        <v>6</v>
      </c>
      <c r="B9" s="24"/>
      <c r="C9" s="24"/>
      <c r="D9" s="24"/>
      <c r="E9" s="24"/>
      <c r="F9" s="24"/>
      <c r="G9" s="24"/>
      <c r="H9" s="24"/>
      <c r="I9" s="43" t="n">
        <f aca="false">IF(D9&gt;0,E9/D9*100,0)</f>
        <v>0</v>
      </c>
      <c r="J9" s="43" t="n">
        <f aca="false">IF(D9&gt;0,H9/D9*100,0)</f>
        <v>0</v>
      </c>
    </row>
    <row r="10" customFormat="false" ht="15" hidden="false" customHeight="true" outlineLevel="0" collapsed="false">
      <c r="A10" s="9" t="n">
        <v>7</v>
      </c>
      <c r="B10" s="21"/>
      <c r="C10" s="21"/>
      <c r="D10" s="21"/>
      <c r="E10" s="21"/>
      <c r="F10" s="21"/>
      <c r="G10" s="21"/>
      <c r="H10" s="21"/>
      <c r="I10" s="42" t="n">
        <f aca="false">IF(D10&gt;0,E10/D10*100,0)</f>
        <v>0</v>
      </c>
      <c r="J10" s="42" t="n">
        <f aca="false">IF(D10&gt;0,H10/D10*100,0)</f>
        <v>0</v>
      </c>
    </row>
    <row r="11" customFormat="false" ht="15" hidden="false" customHeight="true" outlineLevel="0" collapsed="false">
      <c r="A11" s="5" t="n">
        <v>8</v>
      </c>
      <c r="B11" s="24"/>
      <c r="C11" s="24"/>
      <c r="D11" s="24"/>
      <c r="E11" s="24"/>
      <c r="F11" s="24"/>
      <c r="G11" s="24"/>
      <c r="H11" s="24"/>
      <c r="I11" s="43" t="n">
        <f aca="false">IF(D11&gt;0,E11/D11*100,0)</f>
        <v>0</v>
      </c>
      <c r="J11" s="43" t="n">
        <f aca="false">IF(D11&gt;0,H11/D11*100,0)</f>
        <v>0</v>
      </c>
    </row>
    <row r="12" customFormat="false" ht="15" hidden="false" customHeight="true" outlineLevel="0" collapsed="false">
      <c r="A12" s="9" t="n">
        <v>9</v>
      </c>
      <c r="B12" s="21"/>
      <c r="C12" s="21"/>
      <c r="D12" s="21"/>
      <c r="E12" s="21"/>
      <c r="F12" s="21"/>
      <c r="G12" s="21"/>
      <c r="H12" s="21"/>
      <c r="I12" s="42" t="n">
        <f aca="false">IF(D12&gt;0,E12/D12*100,0)</f>
        <v>0</v>
      </c>
      <c r="J12" s="42" t="n">
        <f aca="false">IF(D12&gt;0,H12/D12*100,0)</f>
        <v>0</v>
      </c>
    </row>
    <row r="13" customFormat="false" ht="15" hidden="false" customHeight="true" outlineLevel="0" collapsed="false">
      <c r="A13" s="5" t="n">
        <v>10</v>
      </c>
      <c r="B13" s="24"/>
      <c r="C13" s="24"/>
      <c r="D13" s="24"/>
      <c r="E13" s="24"/>
      <c r="F13" s="24"/>
      <c r="G13" s="24"/>
      <c r="H13" s="24"/>
      <c r="I13" s="43" t="n">
        <f aca="false">IF(D13&gt;0,E13/D13*100,0)</f>
        <v>0</v>
      </c>
      <c r="J13" s="43" t="n">
        <f aca="false">IF(D13&gt;0,H13/D13*100,0)</f>
        <v>0</v>
      </c>
    </row>
    <row r="14" customFormat="false" ht="15" hidden="false" customHeight="true" outlineLevel="0" collapsed="false">
      <c r="A14" s="9" t="n">
        <v>11</v>
      </c>
      <c r="B14" s="21"/>
      <c r="C14" s="21"/>
      <c r="D14" s="21"/>
      <c r="E14" s="21"/>
      <c r="F14" s="21"/>
      <c r="G14" s="21"/>
      <c r="H14" s="21"/>
      <c r="I14" s="42" t="n">
        <f aca="false">IF(D14&gt;0,E14/D14*100,0)</f>
        <v>0</v>
      </c>
      <c r="J14" s="42" t="n">
        <f aca="false">IF(D14&gt;0,H14/D14*100,0)</f>
        <v>0</v>
      </c>
    </row>
    <row r="15" customFormat="false" ht="15" hidden="false" customHeight="true" outlineLevel="0" collapsed="false">
      <c r="A15" s="5" t="n">
        <v>12</v>
      </c>
      <c r="B15" s="24"/>
      <c r="C15" s="24"/>
      <c r="D15" s="24"/>
      <c r="E15" s="24"/>
      <c r="F15" s="24"/>
      <c r="G15" s="24"/>
      <c r="H15" s="24"/>
      <c r="I15" s="43" t="n">
        <f aca="false">IF(D15&gt;0,E15/D15*100,0)</f>
        <v>0</v>
      </c>
      <c r="J15" s="43" t="n">
        <f aca="false">IF(D15&gt;0,H15/D15*100,0)</f>
        <v>0</v>
      </c>
    </row>
    <row r="16" customFormat="false" ht="15" hidden="false" customHeight="true" outlineLevel="0" collapsed="false">
      <c r="A16" s="9" t="n">
        <v>13</v>
      </c>
      <c r="B16" s="21"/>
      <c r="C16" s="21"/>
      <c r="D16" s="21"/>
      <c r="E16" s="21"/>
      <c r="F16" s="21"/>
      <c r="G16" s="21"/>
      <c r="H16" s="21"/>
      <c r="I16" s="42" t="n">
        <f aca="false">IF(D16&gt;0,E16/D16*100,0)</f>
        <v>0</v>
      </c>
      <c r="J16" s="42" t="n">
        <f aca="false">IF(D16&gt;0,H16/D16*100,0)</f>
        <v>0</v>
      </c>
    </row>
    <row r="17" customFormat="false" ht="15" hidden="false" customHeight="true" outlineLevel="0" collapsed="false">
      <c r="A17" s="5" t="n">
        <v>14</v>
      </c>
      <c r="B17" s="24"/>
      <c r="C17" s="24"/>
      <c r="D17" s="24"/>
      <c r="E17" s="24"/>
      <c r="F17" s="24"/>
      <c r="G17" s="24"/>
      <c r="H17" s="24"/>
      <c r="I17" s="43" t="n">
        <f aca="false">IF(D17&gt;0,E17/D17*100,0)</f>
        <v>0</v>
      </c>
      <c r="J17" s="43" t="n">
        <f aca="false">IF(D17&gt;0,H17/D17*100,0)</f>
        <v>0</v>
      </c>
    </row>
    <row r="18" customFormat="false" ht="15" hidden="false" customHeight="true" outlineLevel="0" collapsed="false">
      <c r="A18" s="9" t="n">
        <v>15</v>
      </c>
      <c r="B18" s="21"/>
      <c r="C18" s="21"/>
      <c r="D18" s="21"/>
      <c r="E18" s="21"/>
      <c r="F18" s="21"/>
      <c r="G18" s="21"/>
      <c r="H18" s="21"/>
      <c r="I18" s="42" t="n">
        <f aca="false">IF(D18&gt;0,E18/D18*100,0)</f>
        <v>0</v>
      </c>
      <c r="J18" s="42" t="n">
        <f aca="false">IF(D18&gt;0,H18/D18*100,0)</f>
        <v>0</v>
      </c>
    </row>
    <row r="19" customFormat="false" ht="15" hidden="false" customHeight="true" outlineLevel="0" collapsed="false">
      <c r="A19" s="5" t="n">
        <v>16</v>
      </c>
      <c r="B19" s="24"/>
      <c r="C19" s="24"/>
      <c r="D19" s="24"/>
      <c r="E19" s="24"/>
      <c r="F19" s="24"/>
      <c r="G19" s="24"/>
      <c r="H19" s="24"/>
      <c r="I19" s="43" t="n">
        <f aca="false">IF(D19&gt;0,E19/D19*100,0)</f>
        <v>0</v>
      </c>
      <c r="J19" s="43" t="n">
        <f aca="false">IF(D19&gt;0,H19/D19*100,0)</f>
        <v>0</v>
      </c>
    </row>
    <row r="20" customFormat="false" ht="15" hidden="false" customHeight="true" outlineLevel="0" collapsed="false">
      <c r="A20" s="9" t="n">
        <v>17</v>
      </c>
      <c r="B20" s="21"/>
      <c r="C20" s="21"/>
      <c r="D20" s="21"/>
      <c r="E20" s="21"/>
      <c r="F20" s="21"/>
      <c r="G20" s="21"/>
      <c r="H20" s="21"/>
      <c r="I20" s="42" t="n">
        <f aca="false">IF(D20&gt;0,E20/D20*100,0)</f>
        <v>0</v>
      </c>
      <c r="J20" s="42" t="n">
        <f aca="false">IF(D20&gt;0,H20/D20*100,0)</f>
        <v>0</v>
      </c>
    </row>
    <row r="21" customFormat="false" ht="15" hidden="false" customHeight="true" outlineLevel="0" collapsed="false">
      <c r="A21" s="5" t="n">
        <v>18</v>
      </c>
      <c r="B21" s="24"/>
      <c r="C21" s="24"/>
      <c r="D21" s="24"/>
      <c r="E21" s="24"/>
      <c r="F21" s="24"/>
      <c r="G21" s="24"/>
      <c r="H21" s="24"/>
      <c r="I21" s="43" t="n">
        <f aca="false">IF(D21&gt;0,E21/D21*100,0)</f>
        <v>0</v>
      </c>
      <c r="J21" s="43" t="n">
        <f aca="false">IF(D21&gt;0,H21/D21*100,0)</f>
        <v>0</v>
      </c>
    </row>
    <row r="22" customFormat="false" ht="15" hidden="false" customHeight="true" outlineLevel="0" collapsed="false">
      <c r="A22" s="9" t="n">
        <v>19</v>
      </c>
      <c r="B22" s="21"/>
      <c r="C22" s="21"/>
      <c r="D22" s="21"/>
      <c r="E22" s="21"/>
      <c r="F22" s="21"/>
      <c r="G22" s="21"/>
      <c r="H22" s="21"/>
      <c r="I22" s="42" t="n">
        <f aca="false">IF(D22&gt;0,E22/D22*100,0)</f>
        <v>0</v>
      </c>
      <c r="J22" s="42" t="n">
        <f aca="false">IF(D22&gt;0,H22/D22*100,0)</f>
        <v>0</v>
      </c>
    </row>
    <row r="23" customFormat="false" ht="15" hidden="false" customHeight="true" outlineLevel="0" collapsed="false">
      <c r="A23" s="5" t="n">
        <v>20</v>
      </c>
      <c r="B23" s="24"/>
      <c r="C23" s="24"/>
      <c r="D23" s="24"/>
      <c r="E23" s="24"/>
      <c r="F23" s="24"/>
      <c r="G23" s="24"/>
      <c r="H23" s="24"/>
      <c r="I23" s="43" t="n">
        <f aca="false">IF(D23&gt;0,E23/D23*100,0)</f>
        <v>0</v>
      </c>
      <c r="J23" s="43" t="n">
        <f aca="false">IF(D23&gt;0,H23/D23*100,0)</f>
        <v>0</v>
      </c>
    </row>
    <row r="24" customFormat="false" ht="15" hidden="false" customHeight="true" outlineLevel="0" collapsed="false">
      <c r="A24" s="9" t="n">
        <v>21</v>
      </c>
      <c r="B24" s="21"/>
      <c r="C24" s="21"/>
      <c r="D24" s="21"/>
      <c r="E24" s="21"/>
      <c r="F24" s="21"/>
      <c r="G24" s="21"/>
      <c r="H24" s="21"/>
      <c r="I24" s="42" t="n">
        <f aca="false">IF(D24&gt;0,E24/D24*100,0)</f>
        <v>0</v>
      </c>
      <c r="J24" s="42" t="n">
        <f aca="false">IF(D24&gt;0,H24/D24*100,0)</f>
        <v>0</v>
      </c>
    </row>
    <row r="25" customFormat="false" ht="15" hidden="false" customHeight="true" outlineLevel="0" collapsed="false">
      <c r="A25" s="5" t="n">
        <v>22</v>
      </c>
      <c r="B25" s="24"/>
      <c r="C25" s="24"/>
      <c r="D25" s="24"/>
      <c r="E25" s="24"/>
      <c r="F25" s="24"/>
      <c r="G25" s="24"/>
      <c r="H25" s="24"/>
      <c r="I25" s="43" t="n">
        <f aca="false">IF(D25&gt;0,E25/D25*100,0)</f>
        <v>0</v>
      </c>
      <c r="J25" s="43" t="n">
        <f aca="false">IF(D25&gt;0,H25/D25*100,0)</f>
        <v>0</v>
      </c>
    </row>
    <row r="26" customFormat="false" ht="15" hidden="false" customHeight="true" outlineLevel="0" collapsed="false">
      <c r="A26" s="9" t="n">
        <v>23</v>
      </c>
      <c r="B26" s="21"/>
      <c r="C26" s="21"/>
      <c r="D26" s="21"/>
      <c r="E26" s="21"/>
      <c r="F26" s="21"/>
      <c r="G26" s="21"/>
      <c r="H26" s="21"/>
      <c r="I26" s="42" t="n">
        <f aca="false">IF(D26&gt;0,E26/D26*100,0)</f>
        <v>0</v>
      </c>
      <c r="J26" s="42" t="n">
        <f aca="false">IF(D26&gt;0,H26/D26*100,0)</f>
        <v>0</v>
      </c>
    </row>
    <row r="27" customFormat="false" ht="15" hidden="false" customHeight="true" outlineLevel="0" collapsed="false">
      <c r="A27" s="5" t="n">
        <v>24</v>
      </c>
      <c r="B27" s="24"/>
      <c r="C27" s="24"/>
      <c r="D27" s="24"/>
      <c r="E27" s="24"/>
      <c r="F27" s="24"/>
      <c r="G27" s="24"/>
      <c r="H27" s="24"/>
      <c r="I27" s="43" t="n">
        <f aca="false">IF(D27&gt;0,E27/D27*100,0)</f>
        <v>0</v>
      </c>
      <c r="J27" s="43" t="n">
        <f aca="false">IF(D27&gt;0,H27/D27*100,0)</f>
        <v>0</v>
      </c>
    </row>
    <row r="28" customFormat="false" ht="15" hidden="false" customHeight="true" outlineLevel="0" collapsed="false">
      <c r="A28" s="9" t="n">
        <v>25</v>
      </c>
      <c r="B28" s="21"/>
      <c r="C28" s="21"/>
      <c r="D28" s="21"/>
      <c r="E28" s="21"/>
      <c r="F28" s="21"/>
      <c r="G28" s="21"/>
      <c r="H28" s="21"/>
      <c r="I28" s="42" t="n">
        <f aca="false">IF(D28&gt;0,E28/D28*100,0)</f>
        <v>0</v>
      </c>
      <c r="J28" s="42" t="n">
        <f aca="false">IF(D28&gt;0,H28/D28*100,0)</f>
        <v>0</v>
      </c>
    </row>
    <row r="29" customFormat="false" ht="15" hidden="false" customHeight="true" outlineLevel="0" collapsed="false">
      <c r="A29" s="5" t="n">
        <v>26</v>
      </c>
      <c r="B29" s="24"/>
      <c r="C29" s="24"/>
      <c r="D29" s="24"/>
      <c r="E29" s="24"/>
      <c r="F29" s="24"/>
      <c r="G29" s="24"/>
      <c r="H29" s="24"/>
      <c r="I29" s="43" t="n">
        <f aca="false">IF(D29&gt;0,E29/D29*100,0)</f>
        <v>0</v>
      </c>
      <c r="J29" s="43" t="n">
        <f aca="false">IF(D29&gt;0,H29/D29*100,0)</f>
        <v>0</v>
      </c>
    </row>
    <row r="30" customFormat="false" ht="15" hidden="false" customHeight="true" outlineLevel="0" collapsed="false">
      <c r="A30" s="9" t="n">
        <v>27</v>
      </c>
      <c r="B30" s="21"/>
      <c r="C30" s="21"/>
      <c r="D30" s="21"/>
      <c r="E30" s="21"/>
      <c r="F30" s="21"/>
      <c r="G30" s="21"/>
      <c r="H30" s="21"/>
      <c r="I30" s="42" t="n">
        <f aca="false">IF(D30&gt;0,E30/D30*100,0)</f>
        <v>0</v>
      </c>
      <c r="J30" s="42" t="n">
        <f aca="false">IF(D30&gt;0,H30/D30*100,0)</f>
        <v>0</v>
      </c>
    </row>
    <row r="31" customFormat="false" ht="15" hidden="false" customHeight="true" outlineLevel="0" collapsed="false">
      <c r="A31" s="5" t="n">
        <v>28</v>
      </c>
      <c r="B31" s="24"/>
      <c r="C31" s="24"/>
      <c r="D31" s="24"/>
      <c r="E31" s="24"/>
      <c r="F31" s="24"/>
      <c r="G31" s="24"/>
      <c r="H31" s="24"/>
      <c r="I31" s="43" t="n">
        <f aca="false">IF(D31&gt;0,E31/D31*100,0)</f>
        <v>0</v>
      </c>
      <c r="J31" s="43" t="n">
        <f aca="false">IF(D31&gt;0,H31/D31*100,0)</f>
        <v>0</v>
      </c>
    </row>
    <row r="32" customFormat="false" ht="15" hidden="false" customHeight="true" outlineLevel="0" collapsed="false">
      <c r="A32" s="9" t="n">
        <v>29</v>
      </c>
      <c r="B32" s="21"/>
      <c r="C32" s="21"/>
      <c r="D32" s="21"/>
      <c r="E32" s="21"/>
      <c r="F32" s="21"/>
      <c r="G32" s="21"/>
      <c r="H32" s="21"/>
      <c r="I32" s="42" t="n">
        <f aca="false">IF(D32&gt;0,E32/D32*100,0)</f>
        <v>0</v>
      </c>
      <c r="J32" s="42" t="n">
        <f aca="false">IF(D32&gt;0,H32/D32*100,0)</f>
        <v>0</v>
      </c>
    </row>
    <row r="33" customFormat="false" ht="15" hidden="false" customHeight="true" outlineLevel="0" collapsed="false">
      <c r="A33" s="5" t="n">
        <v>30</v>
      </c>
      <c r="B33" s="24"/>
      <c r="C33" s="24"/>
      <c r="D33" s="24"/>
      <c r="E33" s="24"/>
      <c r="F33" s="24"/>
      <c r="G33" s="24"/>
      <c r="H33" s="24"/>
      <c r="I33" s="43" t="n">
        <f aca="false">IF(D33&gt;0,E33/D33*100,0)</f>
        <v>0</v>
      </c>
      <c r="J33" s="43" t="n">
        <f aca="false">IF(D33&gt;0,H33/D33*100,0)</f>
        <v>0</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14"/>
    <col collapsed="false" customWidth="true" hidden="false" outlineLevel="0" max="8" min="4" style="1" width="18"/>
    <col collapsed="false" customWidth="true" hidden="false" outlineLevel="0" max="9" min="9" style="1" width="14"/>
  </cols>
  <sheetData>
    <row r="1" customFormat="false" ht="33.75" hidden="false" customHeight="true" outlineLevel="0" collapsed="false">
      <c r="A1" s="44" t="s">
        <v>120</v>
      </c>
      <c r="B1" s="44"/>
      <c r="C1" s="44"/>
      <c r="D1" s="44"/>
      <c r="E1" s="44"/>
      <c r="F1" s="44"/>
      <c r="G1" s="44"/>
      <c r="H1" s="44"/>
      <c r="I1" s="44"/>
    </row>
    <row r="2" customFormat="false" ht="25.5" hidden="false" customHeight="true" outlineLevel="0" collapsed="false">
      <c r="A2" s="45" t="s">
        <v>121</v>
      </c>
      <c r="B2" s="45"/>
      <c r="C2" s="45"/>
      <c r="D2" s="45"/>
      <c r="E2" s="45"/>
      <c r="F2" s="45"/>
      <c r="G2" s="45"/>
      <c r="H2" s="45"/>
      <c r="I2" s="45"/>
    </row>
    <row r="3" customFormat="false" ht="34.5" hidden="false" customHeight="true" outlineLevel="0" collapsed="false">
      <c r="A3" s="46" t="s">
        <v>74</v>
      </c>
      <c r="B3" s="46" t="s">
        <v>75</v>
      </c>
      <c r="C3" s="46" t="s">
        <v>76</v>
      </c>
      <c r="D3" s="46" t="s">
        <v>122</v>
      </c>
      <c r="E3" s="46" t="s">
        <v>123</v>
      </c>
      <c r="F3" s="46" t="s">
        <v>124</v>
      </c>
      <c r="G3" s="46" t="s">
        <v>125</v>
      </c>
      <c r="H3" s="46" t="s">
        <v>126</v>
      </c>
      <c r="I3" s="46" t="s">
        <v>127</v>
      </c>
    </row>
    <row r="4" customFormat="false" ht="15" hidden="false" customHeight="true" outlineLevel="0" collapsed="false">
      <c r="A4" s="9" t="n">
        <v>1</v>
      </c>
      <c r="B4" s="21"/>
      <c r="C4" s="21"/>
      <c r="D4" s="21"/>
      <c r="E4" s="21"/>
      <c r="F4" s="42" t="n">
        <f aca="false">IF(D4&gt;0,E4/D4*100,0)</f>
        <v>0</v>
      </c>
      <c r="G4" s="9" t="n">
        <f aca="false">D4-E4</f>
        <v>0</v>
      </c>
      <c r="H4" s="22"/>
      <c r="I4" s="22"/>
    </row>
    <row r="5" customFormat="false" ht="15" hidden="false" customHeight="true" outlineLevel="0" collapsed="false">
      <c r="A5" s="5" t="n">
        <v>2</v>
      </c>
      <c r="B5" s="24"/>
      <c r="C5" s="24"/>
      <c r="D5" s="24"/>
      <c r="E5" s="24"/>
      <c r="F5" s="43" t="n">
        <f aca="false">IF(D5&gt;0,E5/D5*100,0)</f>
        <v>0</v>
      </c>
      <c r="G5" s="5" t="n">
        <f aca="false">D5-E5</f>
        <v>0</v>
      </c>
      <c r="H5" s="25"/>
      <c r="I5" s="25"/>
    </row>
    <row r="6" customFormat="false" ht="15" hidden="false" customHeight="true" outlineLevel="0" collapsed="false">
      <c r="A6" s="9" t="n">
        <v>3</v>
      </c>
      <c r="B6" s="21"/>
      <c r="C6" s="21"/>
      <c r="D6" s="21"/>
      <c r="E6" s="21"/>
      <c r="F6" s="42" t="n">
        <f aca="false">IF(D6&gt;0,E6/D6*100,0)</f>
        <v>0</v>
      </c>
      <c r="G6" s="9" t="n">
        <f aca="false">D6-E6</f>
        <v>0</v>
      </c>
      <c r="H6" s="22"/>
      <c r="I6" s="22"/>
    </row>
    <row r="7" customFormat="false" ht="15" hidden="false" customHeight="true" outlineLevel="0" collapsed="false">
      <c r="A7" s="5" t="n">
        <v>4</v>
      </c>
      <c r="B7" s="24"/>
      <c r="C7" s="24"/>
      <c r="D7" s="24"/>
      <c r="E7" s="24"/>
      <c r="F7" s="43" t="n">
        <f aca="false">IF(D7&gt;0,E7/D7*100,0)</f>
        <v>0</v>
      </c>
      <c r="G7" s="5" t="n">
        <f aca="false">D7-E7</f>
        <v>0</v>
      </c>
      <c r="H7" s="25"/>
      <c r="I7" s="25"/>
    </row>
    <row r="8" customFormat="false" ht="15" hidden="false" customHeight="true" outlineLevel="0" collapsed="false">
      <c r="A8" s="9" t="n">
        <v>5</v>
      </c>
      <c r="B8" s="21"/>
      <c r="C8" s="21"/>
      <c r="D8" s="21"/>
      <c r="E8" s="21"/>
      <c r="F8" s="42" t="n">
        <f aca="false">IF(D8&gt;0,E8/D8*100,0)</f>
        <v>0</v>
      </c>
      <c r="G8" s="9" t="n">
        <f aca="false">D8-E8</f>
        <v>0</v>
      </c>
      <c r="H8" s="22"/>
      <c r="I8" s="22"/>
    </row>
    <row r="9" customFormat="false" ht="15" hidden="false" customHeight="true" outlineLevel="0" collapsed="false">
      <c r="A9" s="5" t="n">
        <v>6</v>
      </c>
      <c r="B9" s="24"/>
      <c r="C9" s="24"/>
      <c r="D9" s="24"/>
      <c r="E9" s="24"/>
      <c r="F9" s="43" t="n">
        <f aca="false">IF(D9&gt;0,E9/D9*100,0)</f>
        <v>0</v>
      </c>
      <c r="G9" s="5" t="n">
        <f aca="false">D9-E9</f>
        <v>0</v>
      </c>
      <c r="H9" s="25"/>
      <c r="I9" s="25"/>
    </row>
    <row r="10" customFormat="false" ht="15" hidden="false" customHeight="true" outlineLevel="0" collapsed="false">
      <c r="A10" s="9" t="n">
        <v>7</v>
      </c>
      <c r="B10" s="21"/>
      <c r="C10" s="21"/>
      <c r="D10" s="21"/>
      <c r="E10" s="21"/>
      <c r="F10" s="42" t="n">
        <f aca="false">IF(D10&gt;0,E10/D10*100,0)</f>
        <v>0</v>
      </c>
      <c r="G10" s="9" t="n">
        <f aca="false">D10-E10</f>
        <v>0</v>
      </c>
      <c r="H10" s="22"/>
      <c r="I10" s="22"/>
    </row>
    <row r="11" customFormat="false" ht="15" hidden="false" customHeight="true" outlineLevel="0" collapsed="false">
      <c r="A11" s="5" t="n">
        <v>8</v>
      </c>
      <c r="B11" s="24"/>
      <c r="C11" s="24"/>
      <c r="D11" s="24"/>
      <c r="E11" s="24"/>
      <c r="F11" s="43" t="n">
        <f aca="false">IF(D11&gt;0,E11/D11*100,0)</f>
        <v>0</v>
      </c>
      <c r="G11" s="5" t="n">
        <f aca="false">D11-E11</f>
        <v>0</v>
      </c>
      <c r="H11" s="25"/>
      <c r="I11" s="25"/>
    </row>
    <row r="12" customFormat="false" ht="15" hidden="false" customHeight="true" outlineLevel="0" collapsed="false">
      <c r="A12" s="9" t="n">
        <v>9</v>
      </c>
      <c r="B12" s="21"/>
      <c r="C12" s="21"/>
      <c r="D12" s="21"/>
      <c r="E12" s="21"/>
      <c r="F12" s="42" t="n">
        <f aca="false">IF(D12&gt;0,E12/D12*100,0)</f>
        <v>0</v>
      </c>
      <c r="G12" s="9" t="n">
        <f aca="false">D12-E12</f>
        <v>0</v>
      </c>
      <c r="H12" s="22"/>
      <c r="I12" s="22"/>
    </row>
    <row r="13" customFormat="false" ht="15" hidden="false" customHeight="true" outlineLevel="0" collapsed="false">
      <c r="A13" s="5" t="n">
        <v>10</v>
      </c>
      <c r="B13" s="24"/>
      <c r="C13" s="24"/>
      <c r="D13" s="24"/>
      <c r="E13" s="24"/>
      <c r="F13" s="43" t="n">
        <f aca="false">IF(D13&gt;0,E13/D13*100,0)</f>
        <v>0</v>
      </c>
      <c r="G13" s="5" t="n">
        <f aca="false">D13-E13</f>
        <v>0</v>
      </c>
      <c r="H13" s="25"/>
      <c r="I13" s="25"/>
    </row>
    <row r="14" customFormat="false" ht="15" hidden="false" customHeight="true" outlineLevel="0" collapsed="false">
      <c r="A14" s="9" t="n">
        <v>11</v>
      </c>
      <c r="B14" s="21"/>
      <c r="C14" s="21"/>
      <c r="D14" s="21"/>
      <c r="E14" s="21"/>
      <c r="F14" s="42" t="n">
        <f aca="false">IF(D14&gt;0,E14/D14*100,0)</f>
        <v>0</v>
      </c>
      <c r="G14" s="9" t="n">
        <f aca="false">D14-E14</f>
        <v>0</v>
      </c>
      <c r="H14" s="22"/>
      <c r="I14" s="22"/>
    </row>
    <row r="15" customFormat="false" ht="15" hidden="false" customHeight="true" outlineLevel="0" collapsed="false">
      <c r="A15" s="5" t="n">
        <v>12</v>
      </c>
      <c r="B15" s="24"/>
      <c r="C15" s="24"/>
      <c r="D15" s="24"/>
      <c r="E15" s="24"/>
      <c r="F15" s="43" t="n">
        <f aca="false">IF(D15&gt;0,E15/D15*100,0)</f>
        <v>0</v>
      </c>
      <c r="G15" s="5" t="n">
        <f aca="false">D15-E15</f>
        <v>0</v>
      </c>
      <c r="H15" s="25"/>
      <c r="I15" s="25"/>
    </row>
    <row r="16" customFormat="false" ht="15" hidden="false" customHeight="true" outlineLevel="0" collapsed="false">
      <c r="A16" s="9" t="n">
        <v>13</v>
      </c>
      <c r="B16" s="21"/>
      <c r="C16" s="21"/>
      <c r="D16" s="21"/>
      <c r="E16" s="21"/>
      <c r="F16" s="42" t="n">
        <f aca="false">IF(D16&gt;0,E16/D16*100,0)</f>
        <v>0</v>
      </c>
      <c r="G16" s="9" t="n">
        <f aca="false">D16-E16</f>
        <v>0</v>
      </c>
      <c r="H16" s="22"/>
      <c r="I16" s="22"/>
    </row>
    <row r="17" customFormat="false" ht="15" hidden="false" customHeight="true" outlineLevel="0" collapsed="false">
      <c r="A17" s="5" t="n">
        <v>14</v>
      </c>
      <c r="B17" s="24"/>
      <c r="C17" s="24"/>
      <c r="D17" s="24"/>
      <c r="E17" s="24"/>
      <c r="F17" s="43" t="n">
        <f aca="false">IF(D17&gt;0,E17/D17*100,0)</f>
        <v>0</v>
      </c>
      <c r="G17" s="5" t="n">
        <f aca="false">D17-E17</f>
        <v>0</v>
      </c>
      <c r="H17" s="25"/>
      <c r="I17" s="25"/>
    </row>
    <row r="18" customFormat="false" ht="15" hidden="false" customHeight="true" outlineLevel="0" collapsed="false">
      <c r="A18" s="9" t="n">
        <v>15</v>
      </c>
      <c r="B18" s="21"/>
      <c r="C18" s="21"/>
      <c r="D18" s="21"/>
      <c r="E18" s="21"/>
      <c r="F18" s="42" t="n">
        <f aca="false">IF(D18&gt;0,E18/D18*100,0)</f>
        <v>0</v>
      </c>
      <c r="G18" s="9" t="n">
        <f aca="false">D18-E18</f>
        <v>0</v>
      </c>
      <c r="H18" s="22"/>
      <c r="I18" s="22"/>
    </row>
    <row r="19" customFormat="false" ht="15" hidden="false" customHeight="true" outlineLevel="0" collapsed="false">
      <c r="A19" s="5" t="n">
        <v>16</v>
      </c>
      <c r="B19" s="24"/>
      <c r="C19" s="24"/>
      <c r="D19" s="24"/>
      <c r="E19" s="24"/>
      <c r="F19" s="43" t="n">
        <f aca="false">IF(D19&gt;0,E19/D19*100,0)</f>
        <v>0</v>
      </c>
      <c r="G19" s="5" t="n">
        <f aca="false">D19-E19</f>
        <v>0</v>
      </c>
      <c r="H19" s="25"/>
      <c r="I19" s="25"/>
    </row>
    <row r="20" customFormat="false" ht="15" hidden="false" customHeight="true" outlineLevel="0" collapsed="false">
      <c r="A20" s="9" t="n">
        <v>17</v>
      </c>
      <c r="B20" s="21"/>
      <c r="C20" s="21"/>
      <c r="D20" s="21"/>
      <c r="E20" s="21"/>
      <c r="F20" s="42" t="n">
        <f aca="false">IF(D20&gt;0,E20/D20*100,0)</f>
        <v>0</v>
      </c>
      <c r="G20" s="9" t="n">
        <f aca="false">D20-E20</f>
        <v>0</v>
      </c>
      <c r="H20" s="22"/>
      <c r="I20" s="22"/>
    </row>
    <row r="21" customFormat="false" ht="15" hidden="false" customHeight="true" outlineLevel="0" collapsed="false">
      <c r="A21" s="5" t="n">
        <v>18</v>
      </c>
      <c r="B21" s="24"/>
      <c r="C21" s="24"/>
      <c r="D21" s="24"/>
      <c r="E21" s="24"/>
      <c r="F21" s="43" t="n">
        <f aca="false">IF(D21&gt;0,E21/D21*100,0)</f>
        <v>0</v>
      </c>
      <c r="G21" s="5" t="n">
        <f aca="false">D21-E21</f>
        <v>0</v>
      </c>
      <c r="H21" s="25"/>
      <c r="I21" s="25"/>
    </row>
    <row r="22" customFormat="false" ht="15" hidden="false" customHeight="true" outlineLevel="0" collapsed="false">
      <c r="A22" s="9" t="n">
        <v>19</v>
      </c>
      <c r="B22" s="21"/>
      <c r="C22" s="21"/>
      <c r="D22" s="21"/>
      <c r="E22" s="21"/>
      <c r="F22" s="42" t="n">
        <f aca="false">IF(D22&gt;0,E22/D22*100,0)</f>
        <v>0</v>
      </c>
      <c r="G22" s="9" t="n">
        <f aca="false">D22-E22</f>
        <v>0</v>
      </c>
      <c r="H22" s="22"/>
      <c r="I22" s="22"/>
    </row>
    <row r="23" customFormat="false" ht="15" hidden="false" customHeight="true" outlineLevel="0" collapsed="false">
      <c r="A23" s="5" t="n">
        <v>20</v>
      </c>
      <c r="B23" s="24"/>
      <c r="C23" s="24"/>
      <c r="D23" s="24"/>
      <c r="E23" s="24"/>
      <c r="F23" s="43" t="n">
        <f aca="false">IF(D23&gt;0,E23/D23*100,0)</f>
        <v>0</v>
      </c>
      <c r="G23" s="5" t="n">
        <f aca="false">D23-E23</f>
        <v>0</v>
      </c>
      <c r="H23" s="25"/>
      <c r="I23" s="25"/>
    </row>
    <row r="24" customFormat="false" ht="15" hidden="false" customHeight="true" outlineLevel="0" collapsed="false">
      <c r="A24" s="9" t="n">
        <v>21</v>
      </c>
      <c r="B24" s="21"/>
      <c r="C24" s="21"/>
      <c r="D24" s="21"/>
      <c r="E24" s="21"/>
      <c r="F24" s="42" t="n">
        <f aca="false">IF(D24&gt;0,E24/D24*100,0)</f>
        <v>0</v>
      </c>
      <c r="G24" s="9" t="n">
        <f aca="false">D24-E24</f>
        <v>0</v>
      </c>
      <c r="H24" s="22"/>
      <c r="I24" s="22"/>
    </row>
    <row r="25" customFormat="false" ht="15" hidden="false" customHeight="true" outlineLevel="0" collapsed="false">
      <c r="A25" s="5" t="n">
        <v>22</v>
      </c>
      <c r="B25" s="24"/>
      <c r="C25" s="24"/>
      <c r="D25" s="24"/>
      <c r="E25" s="24"/>
      <c r="F25" s="43" t="n">
        <f aca="false">IF(D25&gt;0,E25/D25*100,0)</f>
        <v>0</v>
      </c>
      <c r="G25" s="5" t="n">
        <f aca="false">D25-E25</f>
        <v>0</v>
      </c>
      <c r="H25" s="25"/>
      <c r="I25" s="25"/>
    </row>
    <row r="26" customFormat="false" ht="15" hidden="false" customHeight="true" outlineLevel="0" collapsed="false">
      <c r="A26" s="9" t="n">
        <v>23</v>
      </c>
      <c r="B26" s="21"/>
      <c r="C26" s="21"/>
      <c r="D26" s="21"/>
      <c r="E26" s="21"/>
      <c r="F26" s="42" t="n">
        <f aca="false">IF(D26&gt;0,E26/D26*100,0)</f>
        <v>0</v>
      </c>
      <c r="G26" s="9" t="n">
        <f aca="false">D26-E26</f>
        <v>0</v>
      </c>
      <c r="H26" s="22"/>
      <c r="I26" s="22"/>
    </row>
    <row r="27" customFormat="false" ht="15" hidden="false" customHeight="true" outlineLevel="0" collapsed="false">
      <c r="A27" s="5" t="n">
        <v>24</v>
      </c>
      <c r="B27" s="24"/>
      <c r="C27" s="24"/>
      <c r="D27" s="24"/>
      <c r="E27" s="24"/>
      <c r="F27" s="43" t="n">
        <f aca="false">IF(D27&gt;0,E27/D27*100,0)</f>
        <v>0</v>
      </c>
      <c r="G27" s="5" t="n">
        <f aca="false">D27-E27</f>
        <v>0</v>
      </c>
      <c r="H27" s="25"/>
      <c r="I27" s="25"/>
    </row>
    <row r="28" customFormat="false" ht="15" hidden="false" customHeight="true" outlineLevel="0" collapsed="false">
      <c r="A28" s="9" t="n">
        <v>25</v>
      </c>
      <c r="B28" s="21"/>
      <c r="C28" s="21"/>
      <c r="D28" s="21"/>
      <c r="E28" s="21"/>
      <c r="F28" s="42" t="n">
        <f aca="false">IF(D28&gt;0,E28/D28*100,0)</f>
        <v>0</v>
      </c>
      <c r="G28" s="9" t="n">
        <f aca="false">D28-E28</f>
        <v>0</v>
      </c>
      <c r="H28" s="22"/>
      <c r="I28" s="22"/>
    </row>
    <row r="29" customFormat="false" ht="15" hidden="false" customHeight="true" outlineLevel="0" collapsed="false">
      <c r="A29" s="5" t="n">
        <v>26</v>
      </c>
      <c r="B29" s="24"/>
      <c r="C29" s="24"/>
      <c r="D29" s="24"/>
      <c r="E29" s="24"/>
      <c r="F29" s="43" t="n">
        <f aca="false">IF(D29&gt;0,E29/D29*100,0)</f>
        <v>0</v>
      </c>
      <c r="G29" s="5" t="n">
        <f aca="false">D29-E29</f>
        <v>0</v>
      </c>
      <c r="H29" s="25"/>
      <c r="I29" s="25"/>
    </row>
    <row r="30" customFormat="false" ht="15" hidden="false" customHeight="true" outlineLevel="0" collapsed="false">
      <c r="A30" s="9" t="n">
        <v>27</v>
      </c>
      <c r="B30" s="21"/>
      <c r="C30" s="21"/>
      <c r="D30" s="21"/>
      <c r="E30" s="21"/>
      <c r="F30" s="42" t="n">
        <f aca="false">IF(D30&gt;0,E30/D30*100,0)</f>
        <v>0</v>
      </c>
      <c r="G30" s="9" t="n">
        <f aca="false">D30-E30</f>
        <v>0</v>
      </c>
      <c r="H30" s="22"/>
      <c r="I30" s="22"/>
    </row>
    <row r="31" customFormat="false" ht="15" hidden="false" customHeight="true" outlineLevel="0" collapsed="false">
      <c r="A31" s="5" t="n">
        <v>28</v>
      </c>
      <c r="B31" s="24"/>
      <c r="C31" s="24"/>
      <c r="D31" s="24"/>
      <c r="E31" s="24"/>
      <c r="F31" s="43" t="n">
        <f aca="false">IF(D31&gt;0,E31/D31*100,0)</f>
        <v>0</v>
      </c>
      <c r="G31" s="5" t="n">
        <f aca="false">D31-E31</f>
        <v>0</v>
      </c>
      <c r="H31" s="25"/>
      <c r="I31" s="25"/>
    </row>
    <row r="32" customFormat="false" ht="15" hidden="false" customHeight="true" outlineLevel="0" collapsed="false">
      <c r="A32" s="9" t="n">
        <v>29</v>
      </c>
      <c r="B32" s="21"/>
      <c r="C32" s="21"/>
      <c r="D32" s="21"/>
      <c r="E32" s="21"/>
      <c r="F32" s="42" t="n">
        <f aca="false">IF(D32&gt;0,E32/D32*100,0)</f>
        <v>0</v>
      </c>
      <c r="G32" s="9" t="n">
        <f aca="false">D32-E32</f>
        <v>0</v>
      </c>
      <c r="H32" s="22"/>
      <c r="I32" s="22"/>
    </row>
    <row r="33" customFormat="false" ht="15" hidden="false" customHeight="true" outlineLevel="0" collapsed="false">
      <c r="A33" s="5" t="n">
        <v>30</v>
      </c>
      <c r="B33" s="24"/>
      <c r="C33" s="24"/>
      <c r="D33" s="24"/>
      <c r="E33" s="24"/>
      <c r="F33" s="43" t="n">
        <f aca="false">IF(D33&gt;0,E33/D33*100,0)</f>
        <v>0</v>
      </c>
      <c r="G33" s="5" t="n">
        <f aca="false">D33-E33</f>
        <v>0</v>
      </c>
      <c r="H33" s="25"/>
      <c r="I33" s="25"/>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8F9D"/>
    <pageSetUpPr fitToPage="false"/>
  </sheetPr>
  <dimension ref="A1:I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22"/>
    <col collapsed="false" customWidth="true" hidden="false" outlineLevel="0" max="5" min="4" style="1" width="18"/>
    <col collapsed="false" customWidth="true" hidden="false" outlineLevel="0" max="7" min="6" style="1" width="16"/>
    <col collapsed="false" customWidth="true" hidden="false" outlineLevel="0" max="8" min="8" style="1" width="18"/>
    <col collapsed="false" customWidth="true" hidden="false" outlineLevel="0" max="9" min="9" style="1" width="14"/>
  </cols>
  <sheetData>
    <row r="1" customFormat="false" ht="33.75" hidden="false" customHeight="true" outlineLevel="0" collapsed="false">
      <c r="A1" s="47" t="s">
        <v>128</v>
      </c>
      <c r="B1" s="47"/>
      <c r="C1" s="47"/>
      <c r="D1" s="47"/>
      <c r="E1" s="47"/>
      <c r="F1" s="47"/>
      <c r="G1" s="47"/>
      <c r="H1" s="47"/>
      <c r="I1" s="47"/>
    </row>
    <row r="2" customFormat="false" ht="25.5" hidden="false" customHeight="true" outlineLevel="0" collapsed="false">
      <c r="A2" s="48" t="s">
        <v>129</v>
      </c>
      <c r="B2" s="48"/>
      <c r="C2" s="48"/>
      <c r="D2" s="48"/>
      <c r="E2" s="48"/>
      <c r="F2" s="48"/>
      <c r="G2" s="48"/>
      <c r="H2" s="48"/>
      <c r="I2" s="48"/>
    </row>
    <row r="3" customFormat="false" ht="15" hidden="false" customHeight="true" outlineLevel="0" collapsed="false">
      <c r="A3" s="49" t="s">
        <v>74</v>
      </c>
      <c r="B3" s="49" t="s">
        <v>130</v>
      </c>
      <c r="C3" s="49" t="s">
        <v>131</v>
      </c>
      <c r="D3" s="49" t="s">
        <v>132</v>
      </c>
      <c r="E3" s="49" t="s">
        <v>133</v>
      </c>
      <c r="F3" s="49" t="s">
        <v>134</v>
      </c>
      <c r="G3" s="49" t="s">
        <v>135</v>
      </c>
      <c r="H3" s="49" t="s">
        <v>136</v>
      </c>
      <c r="I3" s="49" t="s">
        <v>137</v>
      </c>
    </row>
    <row r="4" customFormat="false" ht="15" hidden="false" customHeight="true" outlineLevel="0" collapsed="false">
      <c r="A4" s="9" t="n">
        <v>1</v>
      </c>
      <c r="B4" s="21"/>
      <c r="C4" s="21"/>
      <c r="D4" s="21"/>
      <c r="E4" s="21"/>
      <c r="F4" s="22"/>
      <c r="G4" s="21"/>
      <c r="H4" s="50" t="n">
        <f aca="false">IF(AND(G4&gt;0,F4&lt;G4),G4-F4,0)</f>
        <v>0</v>
      </c>
      <c r="I4" s="12" t="str">
        <f aca="false">IF(H4&gt;0.5,"High",IF(H4&gt;0.2,"Medium",IF(H4&gt;0,"Low","On Target")))</f>
        <v>On Target</v>
      </c>
    </row>
    <row r="5" customFormat="false" ht="15" hidden="false" customHeight="true" outlineLevel="0" collapsed="false">
      <c r="A5" s="5" t="n">
        <v>2</v>
      </c>
      <c r="B5" s="24"/>
      <c r="C5" s="24"/>
      <c r="D5" s="24"/>
      <c r="E5" s="24"/>
      <c r="F5" s="25"/>
      <c r="G5" s="24"/>
      <c r="H5" s="51" t="n">
        <f aca="false">IF(AND(G5&gt;0,F5&lt;G5),G5-F5,0)</f>
        <v>0</v>
      </c>
      <c r="I5" s="8" t="str">
        <f aca="false">IF(H5&gt;0.5,"High",IF(H5&gt;0.2,"Medium",IF(H5&gt;0,"Low","On Target")))</f>
        <v>On Target</v>
      </c>
    </row>
    <row r="6" customFormat="false" ht="15" hidden="false" customHeight="true" outlineLevel="0" collapsed="false">
      <c r="A6" s="9" t="n">
        <v>3</v>
      </c>
      <c r="B6" s="21"/>
      <c r="C6" s="21"/>
      <c r="D6" s="21"/>
      <c r="E6" s="21"/>
      <c r="F6" s="22"/>
      <c r="G6" s="21"/>
      <c r="H6" s="50" t="n">
        <f aca="false">IF(AND(G6&gt;0,F6&lt;G6),G6-F6,0)</f>
        <v>0</v>
      </c>
      <c r="I6" s="12" t="str">
        <f aca="false">IF(H6&gt;0.5,"High",IF(H6&gt;0.2,"Medium",IF(H6&gt;0,"Low","On Target")))</f>
        <v>On Target</v>
      </c>
    </row>
    <row r="7" customFormat="false" ht="15" hidden="false" customHeight="true" outlineLevel="0" collapsed="false">
      <c r="A7" s="5" t="n">
        <v>4</v>
      </c>
      <c r="B7" s="24"/>
      <c r="C7" s="24"/>
      <c r="D7" s="24"/>
      <c r="E7" s="24"/>
      <c r="F7" s="25"/>
      <c r="G7" s="24"/>
      <c r="H7" s="51" t="n">
        <f aca="false">IF(AND(G7&gt;0,F7&lt;G7),G7-F7,0)</f>
        <v>0</v>
      </c>
      <c r="I7" s="8" t="str">
        <f aca="false">IF(H7&gt;0.5,"High",IF(H7&gt;0.2,"Medium",IF(H7&gt;0,"Low","On Target")))</f>
        <v>On Target</v>
      </c>
    </row>
    <row r="8" customFormat="false" ht="15" hidden="false" customHeight="true" outlineLevel="0" collapsed="false">
      <c r="A8" s="9" t="n">
        <v>5</v>
      </c>
      <c r="B8" s="21"/>
      <c r="C8" s="21"/>
      <c r="D8" s="21"/>
      <c r="E8" s="21"/>
      <c r="F8" s="22"/>
      <c r="G8" s="21"/>
      <c r="H8" s="50" t="n">
        <f aca="false">IF(AND(G8&gt;0,F8&lt;G8),G8-F8,0)</f>
        <v>0</v>
      </c>
      <c r="I8" s="12" t="str">
        <f aca="false">IF(H8&gt;0.5,"High",IF(H8&gt;0.2,"Medium",IF(H8&gt;0,"Low","On Target")))</f>
        <v>On Target</v>
      </c>
    </row>
    <row r="9" customFormat="false" ht="15" hidden="false" customHeight="true" outlineLevel="0" collapsed="false">
      <c r="A9" s="5" t="n">
        <v>6</v>
      </c>
      <c r="B9" s="24"/>
      <c r="C9" s="24"/>
      <c r="D9" s="24"/>
      <c r="E9" s="24"/>
      <c r="F9" s="25"/>
      <c r="G9" s="24"/>
      <c r="H9" s="51" t="n">
        <f aca="false">IF(AND(G9&gt;0,F9&lt;G9),G9-F9,0)</f>
        <v>0</v>
      </c>
      <c r="I9" s="8" t="str">
        <f aca="false">IF(H9&gt;0.5,"High",IF(H9&gt;0.2,"Medium",IF(H9&gt;0,"Low","On Target")))</f>
        <v>On Target</v>
      </c>
    </row>
    <row r="10" customFormat="false" ht="15" hidden="false" customHeight="true" outlineLevel="0" collapsed="false">
      <c r="A10" s="9" t="n">
        <v>7</v>
      </c>
      <c r="B10" s="21"/>
      <c r="C10" s="21"/>
      <c r="D10" s="21"/>
      <c r="E10" s="21"/>
      <c r="F10" s="22"/>
      <c r="G10" s="21"/>
      <c r="H10" s="50" t="n">
        <f aca="false">IF(AND(G10&gt;0,F10&lt;G10),G10-F10,0)</f>
        <v>0</v>
      </c>
      <c r="I10" s="12" t="str">
        <f aca="false">IF(H10&gt;0.5,"High",IF(H10&gt;0.2,"Medium",IF(H10&gt;0,"Low","On Target")))</f>
        <v>On Target</v>
      </c>
    </row>
    <row r="11" customFormat="false" ht="15" hidden="false" customHeight="true" outlineLevel="0" collapsed="false">
      <c r="A11" s="5" t="n">
        <v>8</v>
      </c>
      <c r="B11" s="24"/>
      <c r="C11" s="24"/>
      <c r="D11" s="24"/>
      <c r="E11" s="24"/>
      <c r="F11" s="25"/>
      <c r="G11" s="24"/>
      <c r="H11" s="51" t="n">
        <f aca="false">IF(AND(G11&gt;0,F11&lt;G11),G11-F11,0)</f>
        <v>0</v>
      </c>
      <c r="I11" s="8" t="str">
        <f aca="false">IF(H11&gt;0.5,"High",IF(H11&gt;0.2,"Medium",IF(H11&gt;0,"Low","On Target")))</f>
        <v>On Target</v>
      </c>
    </row>
    <row r="12" customFormat="false" ht="15" hidden="false" customHeight="true" outlineLevel="0" collapsed="false">
      <c r="A12" s="9" t="n">
        <v>9</v>
      </c>
      <c r="B12" s="21"/>
      <c r="C12" s="21"/>
      <c r="D12" s="21"/>
      <c r="E12" s="21"/>
      <c r="F12" s="22"/>
      <c r="G12" s="21"/>
      <c r="H12" s="50" t="n">
        <f aca="false">IF(AND(G12&gt;0,F12&lt;G12),G12-F12,0)</f>
        <v>0</v>
      </c>
      <c r="I12" s="12" t="str">
        <f aca="false">IF(H12&gt;0.5,"High",IF(H12&gt;0.2,"Medium",IF(H12&gt;0,"Low","On Target")))</f>
        <v>On Target</v>
      </c>
    </row>
    <row r="13" customFormat="false" ht="15" hidden="false" customHeight="true" outlineLevel="0" collapsed="false">
      <c r="A13" s="5" t="n">
        <v>10</v>
      </c>
      <c r="B13" s="24"/>
      <c r="C13" s="24"/>
      <c r="D13" s="24"/>
      <c r="E13" s="24"/>
      <c r="F13" s="25"/>
      <c r="G13" s="24"/>
      <c r="H13" s="51" t="n">
        <f aca="false">IF(AND(G13&gt;0,F13&lt;G13),G13-F13,0)</f>
        <v>0</v>
      </c>
      <c r="I13" s="8" t="str">
        <f aca="false">IF(H13&gt;0.5,"High",IF(H13&gt;0.2,"Medium",IF(H13&gt;0,"Low","On Target")))</f>
        <v>On Target</v>
      </c>
    </row>
    <row r="14" customFormat="false" ht="15" hidden="false" customHeight="true" outlineLevel="0" collapsed="false">
      <c r="A14" s="9" t="n">
        <v>11</v>
      </c>
      <c r="B14" s="21"/>
      <c r="C14" s="21"/>
      <c r="D14" s="21"/>
      <c r="E14" s="21"/>
      <c r="F14" s="22"/>
      <c r="G14" s="21"/>
      <c r="H14" s="50" t="n">
        <f aca="false">IF(AND(G14&gt;0,F14&lt;G14),G14-F14,0)</f>
        <v>0</v>
      </c>
      <c r="I14" s="12" t="str">
        <f aca="false">IF(H14&gt;0.5,"High",IF(H14&gt;0.2,"Medium",IF(H14&gt;0,"Low","On Target")))</f>
        <v>On Target</v>
      </c>
    </row>
    <row r="15" customFormat="false" ht="15" hidden="false" customHeight="true" outlineLevel="0" collapsed="false">
      <c r="A15" s="5" t="n">
        <v>12</v>
      </c>
      <c r="B15" s="24"/>
      <c r="C15" s="24"/>
      <c r="D15" s="24"/>
      <c r="E15" s="24"/>
      <c r="F15" s="25"/>
      <c r="G15" s="24"/>
      <c r="H15" s="51" t="n">
        <f aca="false">IF(AND(G15&gt;0,F15&lt;G15),G15-F15,0)</f>
        <v>0</v>
      </c>
      <c r="I15" s="8" t="str">
        <f aca="false">IF(H15&gt;0.5,"High",IF(H15&gt;0.2,"Medium",IF(H15&gt;0,"Low","On Target")))</f>
        <v>On Target</v>
      </c>
    </row>
    <row r="16" customFormat="false" ht="15" hidden="false" customHeight="true" outlineLevel="0" collapsed="false">
      <c r="A16" s="9" t="n">
        <v>13</v>
      </c>
      <c r="B16" s="21"/>
      <c r="C16" s="21"/>
      <c r="D16" s="21"/>
      <c r="E16" s="21"/>
      <c r="F16" s="22"/>
      <c r="G16" s="21"/>
      <c r="H16" s="50" t="n">
        <f aca="false">IF(AND(G16&gt;0,F16&lt;G16),G16-F16,0)</f>
        <v>0</v>
      </c>
      <c r="I16" s="12" t="str">
        <f aca="false">IF(H16&gt;0.5,"High",IF(H16&gt;0.2,"Medium",IF(H16&gt;0,"Low","On Target")))</f>
        <v>On Target</v>
      </c>
    </row>
    <row r="17" customFormat="false" ht="15" hidden="false" customHeight="true" outlineLevel="0" collapsed="false">
      <c r="A17" s="5" t="n">
        <v>14</v>
      </c>
      <c r="B17" s="24"/>
      <c r="C17" s="24"/>
      <c r="D17" s="24"/>
      <c r="E17" s="24"/>
      <c r="F17" s="25"/>
      <c r="G17" s="24"/>
      <c r="H17" s="51" t="n">
        <f aca="false">IF(AND(G17&gt;0,F17&lt;G17),G17-F17,0)</f>
        <v>0</v>
      </c>
      <c r="I17" s="8" t="str">
        <f aca="false">IF(H17&gt;0.5,"High",IF(H17&gt;0.2,"Medium",IF(H17&gt;0,"Low","On Target")))</f>
        <v>On Target</v>
      </c>
    </row>
    <row r="18" customFormat="false" ht="15" hidden="false" customHeight="true" outlineLevel="0" collapsed="false">
      <c r="A18" s="9" t="n">
        <v>15</v>
      </c>
      <c r="B18" s="21"/>
      <c r="C18" s="21"/>
      <c r="D18" s="21"/>
      <c r="E18" s="21"/>
      <c r="F18" s="22"/>
      <c r="G18" s="21"/>
      <c r="H18" s="50" t="n">
        <f aca="false">IF(AND(G18&gt;0,F18&lt;G18),G18-F18,0)</f>
        <v>0</v>
      </c>
      <c r="I18" s="12" t="str">
        <f aca="false">IF(H18&gt;0.5,"High",IF(H18&gt;0.2,"Medium",IF(H18&gt;0,"Low","On Target")))</f>
        <v>On Target</v>
      </c>
    </row>
    <row r="19" customFormat="false" ht="15" hidden="false" customHeight="true" outlineLevel="0" collapsed="false">
      <c r="A19" s="5" t="n">
        <v>16</v>
      </c>
      <c r="B19" s="24"/>
      <c r="C19" s="24"/>
      <c r="D19" s="24"/>
      <c r="E19" s="24"/>
      <c r="F19" s="25"/>
      <c r="G19" s="24"/>
      <c r="H19" s="51" t="n">
        <f aca="false">IF(AND(G19&gt;0,F19&lt;G19),G19-F19,0)</f>
        <v>0</v>
      </c>
      <c r="I19" s="8" t="str">
        <f aca="false">IF(H19&gt;0.5,"High",IF(H19&gt;0.2,"Medium",IF(H19&gt;0,"Low","On Target")))</f>
        <v>On Target</v>
      </c>
    </row>
    <row r="20" customFormat="false" ht="15" hidden="false" customHeight="true" outlineLevel="0" collapsed="false">
      <c r="A20" s="9" t="n">
        <v>17</v>
      </c>
      <c r="B20" s="21"/>
      <c r="C20" s="21"/>
      <c r="D20" s="21"/>
      <c r="E20" s="21"/>
      <c r="F20" s="22"/>
      <c r="G20" s="21"/>
      <c r="H20" s="50" t="n">
        <f aca="false">IF(AND(G20&gt;0,F20&lt;G20),G20-F20,0)</f>
        <v>0</v>
      </c>
      <c r="I20" s="12" t="str">
        <f aca="false">IF(H20&gt;0.5,"High",IF(H20&gt;0.2,"Medium",IF(H20&gt;0,"Low","On Target")))</f>
        <v>On Target</v>
      </c>
    </row>
    <row r="21" customFormat="false" ht="15" hidden="false" customHeight="true" outlineLevel="0" collapsed="false">
      <c r="A21" s="5" t="n">
        <v>18</v>
      </c>
      <c r="B21" s="24"/>
      <c r="C21" s="24"/>
      <c r="D21" s="24"/>
      <c r="E21" s="24"/>
      <c r="F21" s="25"/>
      <c r="G21" s="24"/>
      <c r="H21" s="51" t="n">
        <f aca="false">IF(AND(G21&gt;0,F21&lt;G21),G21-F21,0)</f>
        <v>0</v>
      </c>
      <c r="I21" s="8" t="str">
        <f aca="false">IF(H21&gt;0.5,"High",IF(H21&gt;0.2,"Medium",IF(H21&gt;0,"Low","On Target")))</f>
        <v>On Target</v>
      </c>
    </row>
    <row r="22" customFormat="false" ht="15" hidden="false" customHeight="true" outlineLevel="0" collapsed="false">
      <c r="A22" s="9" t="n">
        <v>19</v>
      </c>
      <c r="B22" s="21"/>
      <c r="C22" s="21"/>
      <c r="D22" s="21"/>
      <c r="E22" s="21"/>
      <c r="F22" s="22"/>
      <c r="G22" s="21"/>
      <c r="H22" s="50" t="n">
        <f aca="false">IF(AND(G22&gt;0,F22&lt;G22),G22-F22,0)</f>
        <v>0</v>
      </c>
      <c r="I22" s="12" t="str">
        <f aca="false">IF(H22&gt;0.5,"High",IF(H22&gt;0.2,"Medium",IF(H22&gt;0,"Low","On Target")))</f>
        <v>On Target</v>
      </c>
    </row>
    <row r="23" customFormat="false" ht="15" hidden="false" customHeight="true" outlineLevel="0" collapsed="false">
      <c r="A23" s="5" t="n">
        <v>20</v>
      </c>
      <c r="B23" s="24"/>
      <c r="C23" s="24"/>
      <c r="D23" s="24"/>
      <c r="E23" s="24"/>
      <c r="F23" s="25"/>
      <c r="G23" s="24"/>
      <c r="H23" s="51" t="n">
        <f aca="false">IF(AND(G23&gt;0,F23&lt;G23),G23-F23,0)</f>
        <v>0</v>
      </c>
      <c r="I23" s="8" t="str">
        <f aca="false">IF(H23&gt;0.5,"High",IF(H23&gt;0.2,"Medium",IF(H23&gt;0,"Low","On Target")))</f>
        <v>On Target</v>
      </c>
    </row>
    <row r="24" customFormat="false" ht="15" hidden="false" customHeight="true" outlineLevel="0" collapsed="false">
      <c r="A24" s="9" t="n">
        <v>21</v>
      </c>
      <c r="B24" s="21"/>
      <c r="C24" s="21"/>
      <c r="D24" s="21"/>
      <c r="E24" s="21"/>
      <c r="F24" s="22"/>
      <c r="G24" s="21"/>
      <c r="H24" s="50" t="n">
        <f aca="false">IF(AND(G24&gt;0,F24&lt;G24),G24-F24,0)</f>
        <v>0</v>
      </c>
      <c r="I24" s="12" t="str">
        <f aca="false">IF(H24&gt;0.5,"High",IF(H24&gt;0.2,"Medium",IF(H24&gt;0,"Low","On Target")))</f>
        <v>On Target</v>
      </c>
    </row>
    <row r="25" customFormat="false" ht="15" hidden="false" customHeight="true" outlineLevel="0" collapsed="false">
      <c r="A25" s="5" t="n">
        <v>22</v>
      </c>
      <c r="B25" s="24"/>
      <c r="C25" s="24"/>
      <c r="D25" s="24"/>
      <c r="E25" s="24"/>
      <c r="F25" s="25"/>
      <c r="G25" s="24"/>
      <c r="H25" s="51" t="n">
        <f aca="false">IF(AND(G25&gt;0,F25&lt;G25),G25-F25,0)</f>
        <v>0</v>
      </c>
      <c r="I25" s="8" t="str">
        <f aca="false">IF(H25&gt;0.5,"High",IF(H25&gt;0.2,"Medium",IF(H25&gt;0,"Low","On Target")))</f>
        <v>On Target</v>
      </c>
    </row>
    <row r="26" customFormat="false" ht="15" hidden="false" customHeight="true" outlineLevel="0" collapsed="false">
      <c r="A26" s="9" t="n">
        <v>23</v>
      </c>
      <c r="B26" s="21"/>
      <c r="C26" s="21"/>
      <c r="D26" s="21"/>
      <c r="E26" s="21"/>
      <c r="F26" s="22"/>
      <c r="G26" s="21"/>
      <c r="H26" s="50" t="n">
        <f aca="false">IF(AND(G26&gt;0,F26&lt;G26),G26-F26,0)</f>
        <v>0</v>
      </c>
      <c r="I26" s="12" t="str">
        <f aca="false">IF(H26&gt;0.5,"High",IF(H26&gt;0.2,"Medium",IF(H26&gt;0,"Low","On Target")))</f>
        <v>On Target</v>
      </c>
    </row>
    <row r="27" customFormat="false" ht="15" hidden="false" customHeight="true" outlineLevel="0" collapsed="false">
      <c r="A27" s="5" t="n">
        <v>24</v>
      </c>
      <c r="B27" s="24"/>
      <c r="C27" s="24"/>
      <c r="D27" s="24"/>
      <c r="E27" s="24"/>
      <c r="F27" s="25"/>
      <c r="G27" s="24"/>
      <c r="H27" s="51" t="n">
        <f aca="false">IF(AND(G27&gt;0,F27&lt;G27),G27-F27,0)</f>
        <v>0</v>
      </c>
      <c r="I27" s="8" t="str">
        <f aca="false">IF(H27&gt;0.5,"High",IF(H27&gt;0.2,"Medium",IF(H27&gt;0,"Low","On Target")))</f>
        <v>On Target</v>
      </c>
    </row>
    <row r="28" customFormat="false" ht="15" hidden="false" customHeight="true" outlineLevel="0" collapsed="false">
      <c r="A28" s="9" t="n">
        <v>25</v>
      </c>
      <c r="B28" s="21"/>
      <c r="C28" s="21"/>
      <c r="D28" s="21"/>
      <c r="E28" s="21"/>
      <c r="F28" s="22"/>
      <c r="G28" s="21"/>
      <c r="H28" s="50" t="n">
        <f aca="false">IF(AND(G28&gt;0,F28&lt;G28),G28-F28,0)</f>
        <v>0</v>
      </c>
      <c r="I28" s="12" t="str">
        <f aca="false">IF(H28&gt;0.5,"High",IF(H28&gt;0.2,"Medium",IF(H28&gt;0,"Low","On Target")))</f>
        <v>On Target</v>
      </c>
    </row>
    <row r="29" customFormat="false" ht="15" hidden="false" customHeight="true" outlineLevel="0" collapsed="false">
      <c r="A29" s="5" t="n">
        <v>26</v>
      </c>
      <c r="B29" s="24"/>
      <c r="C29" s="24"/>
      <c r="D29" s="24"/>
      <c r="E29" s="24"/>
      <c r="F29" s="25"/>
      <c r="G29" s="24"/>
      <c r="H29" s="51" t="n">
        <f aca="false">IF(AND(G29&gt;0,F29&lt;G29),G29-F29,0)</f>
        <v>0</v>
      </c>
      <c r="I29" s="8" t="str">
        <f aca="false">IF(H29&gt;0.5,"High",IF(H29&gt;0.2,"Medium",IF(H29&gt;0,"Low","On Target")))</f>
        <v>On Target</v>
      </c>
    </row>
    <row r="30" customFormat="false" ht="15" hidden="false" customHeight="true" outlineLevel="0" collapsed="false">
      <c r="A30" s="9" t="n">
        <v>27</v>
      </c>
      <c r="B30" s="21"/>
      <c r="C30" s="21"/>
      <c r="D30" s="21"/>
      <c r="E30" s="21"/>
      <c r="F30" s="22"/>
      <c r="G30" s="21"/>
      <c r="H30" s="50" t="n">
        <f aca="false">IF(AND(G30&gt;0,F30&lt;G30),G30-F30,0)</f>
        <v>0</v>
      </c>
      <c r="I30" s="12" t="str">
        <f aca="false">IF(H30&gt;0.5,"High",IF(H30&gt;0.2,"Medium",IF(H30&gt;0,"Low","On Target")))</f>
        <v>On Target</v>
      </c>
    </row>
    <row r="31" customFormat="false" ht="15" hidden="false" customHeight="true" outlineLevel="0" collapsed="false">
      <c r="A31" s="5" t="n">
        <v>28</v>
      </c>
      <c r="B31" s="24"/>
      <c r="C31" s="24"/>
      <c r="D31" s="24"/>
      <c r="E31" s="24"/>
      <c r="F31" s="25"/>
      <c r="G31" s="24"/>
      <c r="H31" s="51" t="n">
        <f aca="false">IF(AND(G31&gt;0,F31&lt;G31),G31-F31,0)</f>
        <v>0</v>
      </c>
      <c r="I31" s="8" t="str">
        <f aca="false">IF(H31&gt;0.5,"High",IF(H31&gt;0.2,"Medium",IF(H31&gt;0,"Low","On Target")))</f>
        <v>On Target</v>
      </c>
    </row>
    <row r="32" customFormat="false" ht="15" hidden="false" customHeight="true" outlineLevel="0" collapsed="false">
      <c r="A32" s="9" t="n">
        <v>29</v>
      </c>
      <c r="B32" s="21"/>
      <c r="C32" s="21"/>
      <c r="D32" s="21"/>
      <c r="E32" s="21"/>
      <c r="F32" s="22"/>
      <c r="G32" s="21"/>
      <c r="H32" s="50" t="n">
        <f aca="false">IF(AND(G32&gt;0,F32&lt;G32),G32-F32,0)</f>
        <v>0</v>
      </c>
      <c r="I32" s="12" t="str">
        <f aca="false">IF(H32&gt;0.5,"High",IF(H32&gt;0.2,"Medium",IF(H32&gt;0,"Low","On Target")))</f>
        <v>On Target</v>
      </c>
    </row>
    <row r="33" customFormat="false" ht="15" hidden="false" customHeight="true" outlineLevel="0" collapsed="false">
      <c r="A33" s="5" t="n">
        <v>30</v>
      </c>
      <c r="B33" s="24"/>
      <c r="C33" s="24"/>
      <c r="D33" s="24"/>
      <c r="E33" s="24"/>
      <c r="F33" s="25"/>
      <c r="G33" s="24"/>
      <c r="H33" s="51" t="n">
        <f aca="false">IF(AND(G33&gt;0,F33&lt;G33),G33-F33,0)</f>
        <v>0</v>
      </c>
      <c r="I33" s="8" t="str">
        <f aca="false">IF(H33&gt;0.5,"High",IF(H33&gt;0.2,"Medium",IF(H33&gt;0,"Low","On Target")))</f>
        <v>On Target</v>
      </c>
    </row>
    <row r="34" customFormat="false" ht="15" hidden="false" customHeight="true" outlineLevel="0" collapsed="false">
      <c r="A34" s="9" t="n">
        <v>31</v>
      </c>
      <c r="B34" s="21"/>
      <c r="C34" s="21"/>
      <c r="D34" s="21"/>
      <c r="E34" s="21"/>
      <c r="F34" s="22"/>
      <c r="G34" s="21"/>
      <c r="H34" s="50" t="n">
        <f aca="false">IF(AND(G34&gt;0,F34&lt;G34),G34-F34,0)</f>
        <v>0</v>
      </c>
      <c r="I34" s="12" t="str">
        <f aca="false">IF(H34&gt;0.5,"High",IF(H34&gt;0.2,"Medium",IF(H34&gt;0,"Low","On Target")))</f>
        <v>On Target</v>
      </c>
    </row>
    <row r="35" customFormat="false" ht="15" hidden="false" customHeight="true" outlineLevel="0" collapsed="false">
      <c r="A35" s="5" t="n">
        <v>32</v>
      </c>
      <c r="B35" s="24"/>
      <c r="C35" s="24"/>
      <c r="D35" s="24"/>
      <c r="E35" s="24"/>
      <c r="F35" s="25"/>
      <c r="G35" s="24"/>
      <c r="H35" s="51" t="n">
        <f aca="false">IF(AND(G35&gt;0,F35&lt;G35),G35-F35,0)</f>
        <v>0</v>
      </c>
      <c r="I35" s="8" t="str">
        <f aca="false">IF(H35&gt;0.5,"High",IF(H35&gt;0.2,"Medium",IF(H35&gt;0,"Low","On Target")))</f>
        <v>On Target</v>
      </c>
    </row>
    <row r="36" customFormat="false" ht="15" hidden="false" customHeight="true" outlineLevel="0" collapsed="false">
      <c r="A36" s="9" t="n">
        <v>33</v>
      </c>
      <c r="B36" s="21"/>
      <c r="C36" s="21"/>
      <c r="D36" s="21"/>
      <c r="E36" s="21"/>
      <c r="F36" s="22"/>
      <c r="G36" s="21"/>
      <c r="H36" s="50" t="n">
        <f aca="false">IF(AND(G36&gt;0,F36&lt;G36),G36-F36,0)</f>
        <v>0</v>
      </c>
      <c r="I36" s="12" t="str">
        <f aca="false">IF(H36&gt;0.5,"High",IF(H36&gt;0.2,"Medium",IF(H36&gt;0,"Low","On Target")))</f>
        <v>On Target</v>
      </c>
    </row>
    <row r="37" customFormat="false" ht="15" hidden="false" customHeight="true" outlineLevel="0" collapsed="false">
      <c r="A37" s="5" t="n">
        <v>34</v>
      </c>
      <c r="B37" s="24"/>
      <c r="C37" s="24"/>
      <c r="D37" s="24"/>
      <c r="E37" s="24"/>
      <c r="F37" s="25"/>
      <c r="G37" s="24"/>
      <c r="H37" s="51" t="n">
        <f aca="false">IF(AND(G37&gt;0,F37&lt;G37),G37-F37,0)</f>
        <v>0</v>
      </c>
      <c r="I37" s="8" t="str">
        <f aca="false">IF(H37&gt;0.5,"High",IF(H37&gt;0.2,"Medium",IF(H37&gt;0,"Low","On Target")))</f>
        <v>On Target</v>
      </c>
    </row>
    <row r="38" customFormat="false" ht="15" hidden="false" customHeight="true" outlineLevel="0" collapsed="false">
      <c r="A38" s="9" t="n">
        <v>35</v>
      </c>
      <c r="B38" s="21"/>
      <c r="C38" s="21"/>
      <c r="D38" s="21"/>
      <c r="E38" s="21"/>
      <c r="F38" s="22"/>
      <c r="G38" s="21"/>
      <c r="H38" s="50" t="n">
        <f aca="false">IF(AND(G38&gt;0,F38&lt;G38),G38-F38,0)</f>
        <v>0</v>
      </c>
      <c r="I38" s="12" t="str">
        <f aca="false">IF(H38&gt;0.5,"High",IF(H38&gt;0.2,"Medium",IF(H38&gt;0,"Low","On Target")))</f>
        <v>On Target</v>
      </c>
    </row>
    <row r="39" customFormat="false" ht="15" hidden="false" customHeight="true" outlineLevel="0" collapsed="false">
      <c r="A39" s="5" t="n">
        <v>36</v>
      </c>
      <c r="B39" s="24"/>
      <c r="C39" s="24"/>
      <c r="D39" s="24"/>
      <c r="E39" s="24"/>
      <c r="F39" s="25"/>
      <c r="G39" s="24"/>
      <c r="H39" s="51" t="n">
        <f aca="false">IF(AND(G39&gt;0,F39&lt;G39),G39-F39,0)</f>
        <v>0</v>
      </c>
      <c r="I39" s="8" t="str">
        <f aca="false">IF(H39&gt;0.5,"High",IF(H39&gt;0.2,"Medium",IF(H39&gt;0,"Low","On Target")))</f>
        <v>On Target</v>
      </c>
    </row>
    <row r="40" customFormat="false" ht="15" hidden="false" customHeight="true" outlineLevel="0" collapsed="false">
      <c r="A40" s="9" t="n">
        <v>37</v>
      </c>
      <c r="B40" s="21"/>
      <c r="C40" s="21"/>
      <c r="D40" s="21"/>
      <c r="E40" s="21"/>
      <c r="F40" s="22"/>
      <c r="G40" s="21"/>
      <c r="H40" s="50" t="n">
        <f aca="false">IF(AND(G40&gt;0,F40&lt;G40),G40-F40,0)</f>
        <v>0</v>
      </c>
      <c r="I40" s="12" t="str">
        <f aca="false">IF(H40&gt;0.5,"High",IF(H40&gt;0.2,"Medium",IF(H40&gt;0,"Low","On Target")))</f>
        <v>On Target</v>
      </c>
    </row>
    <row r="41" customFormat="false" ht="15" hidden="false" customHeight="true" outlineLevel="0" collapsed="false">
      <c r="A41" s="5" t="n">
        <v>38</v>
      </c>
      <c r="B41" s="24"/>
      <c r="C41" s="24"/>
      <c r="D41" s="24"/>
      <c r="E41" s="24"/>
      <c r="F41" s="25"/>
      <c r="G41" s="24"/>
      <c r="H41" s="51" t="n">
        <f aca="false">IF(AND(G41&gt;0,F41&lt;G41),G41-F41,0)</f>
        <v>0</v>
      </c>
      <c r="I41" s="8" t="str">
        <f aca="false">IF(H41&gt;0.5,"High",IF(H41&gt;0.2,"Medium",IF(H41&gt;0,"Low","On Target")))</f>
        <v>On Target</v>
      </c>
    </row>
    <row r="42" customFormat="false" ht="15" hidden="false" customHeight="true" outlineLevel="0" collapsed="false">
      <c r="A42" s="9" t="n">
        <v>39</v>
      </c>
      <c r="B42" s="21"/>
      <c r="C42" s="21"/>
      <c r="D42" s="21"/>
      <c r="E42" s="21"/>
      <c r="F42" s="22"/>
      <c r="G42" s="21"/>
      <c r="H42" s="50" t="n">
        <f aca="false">IF(AND(G42&gt;0,F42&lt;G42),G42-F42,0)</f>
        <v>0</v>
      </c>
      <c r="I42" s="12" t="str">
        <f aca="false">IF(H42&gt;0.5,"High",IF(H42&gt;0.2,"Medium",IF(H42&gt;0,"Low","On Target")))</f>
        <v>On Target</v>
      </c>
    </row>
    <row r="43" customFormat="false" ht="15" hidden="false" customHeight="true" outlineLevel="0" collapsed="false">
      <c r="A43" s="5" t="n">
        <v>40</v>
      </c>
      <c r="B43" s="24"/>
      <c r="C43" s="24"/>
      <c r="D43" s="24"/>
      <c r="E43" s="24"/>
      <c r="F43" s="25"/>
      <c r="G43" s="24"/>
      <c r="H43" s="51" t="n">
        <f aca="false">IF(AND(G43&gt;0,F43&lt;G43),G43-F43,0)</f>
        <v>0</v>
      </c>
      <c r="I43" s="8" t="str">
        <f aca="false">IF(H43&gt;0.5,"High",IF(H43&gt;0.2,"Medium",IF(H43&gt;0,"Low","On Target")))</f>
        <v>On Target</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8" min="3" style="1" width="14"/>
    <col collapsed="false" customWidth="true" hidden="false" outlineLevel="0" max="10" min="9" style="1" width="18"/>
    <col collapsed="false" customWidth="true" hidden="false" outlineLevel="0" max="11" min="11" style="1" width="14"/>
  </cols>
  <sheetData>
    <row r="1" customFormat="false" ht="33.75" hidden="false" customHeight="true" outlineLevel="0" collapsed="false">
      <c r="A1" s="52" t="s">
        <v>138</v>
      </c>
      <c r="B1" s="52"/>
      <c r="C1" s="52"/>
      <c r="D1" s="52"/>
      <c r="E1" s="52"/>
      <c r="F1" s="52"/>
      <c r="G1" s="52"/>
      <c r="H1" s="52"/>
      <c r="I1" s="52"/>
      <c r="J1" s="52"/>
      <c r="K1" s="52"/>
    </row>
    <row r="2" customFormat="false" ht="25.5" hidden="false" customHeight="true" outlineLevel="0" collapsed="false">
      <c r="A2" s="53" t="s">
        <v>139</v>
      </c>
      <c r="B2" s="53"/>
      <c r="C2" s="53"/>
      <c r="D2" s="53"/>
      <c r="E2" s="53"/>
      <c r="F2" s="53"/>
      <c r="G2" s="53"/>
      <c r="H2" s="53"/>
      <c r="I2" s="53"/>
      <c r="J2" s="53"/>
      <c r="K2" s="53"/>
    </row>
    <row r="3" customFormat="false" ht="23.25" hidden="false" customHeight="true" outlineLevel="0" collapsed="false">
      <c r="A3" s="54" t="s">
        <v>74</v>
      </c>
      <c r="B3" s="54" t="s">
        <v>75</v>
      </c>
      <c r="C3" s="54" t="s">
        <v>76</v>
      </c>
      <c r="D3" s="54" t="s">
        <v>140</v>
      </c>
      <c r="E3" s="54" t="s">
        <v>141</v>
      </c>
      <c r="F3" s="54" t="s">
        <v>142</v>
      </c>
      <c r="G3" s="54" t="s">
        <v>143</v>
      </c>
      <c r="H3" s="54" t="s">
        <v>144</v>
      </c>
      <c r="I3" s="54" t="s">
        <v>145</v>
      </c>
      <c r="J3" s="54" t="s">
        <v>146</v>
      </c>
      <c r="K3" s="54" t="s">
        <v>147</v>
      </c>
    </row>
    <row r="4" customFormat="false" ht="15" hidden="false" customHeight="true" outlineLevel="0" collapsed="false">
      <c r="A4" s="9" t="n">
        <v>1</v>
      </c>
      <c r="B4" s="21"/>
      <c r="C4" s="21"/>
      <c r="D4" s="21"/>
      <c r="E4" s="21"/>
      <c r="F4" s="21"/>
      <c r="G4" s="21"/>
      <c r="H4" s="21"/>
      <c r="I4" s="55" t="n">
        <f aca="false">IF(AND(D4&gt;0,H4&gt;0),H4-D4,0)</f>
        <v>0</v>
      </c>
      <c r="J4" s="42" t="n">
        <f aca="false">IFERROR(IF(D4&gt;0,(H4-D4)/D4*100,0),0)</f>
        <v>0</v>
      </c>
      <c r="K4" s="12" t="str">
        <f aca="false">IF(I4&gt;0.1,"Improving",IF(I4&gt;0,"Stable",IF(I4&lt;-0.1,"Declining","Flat")))</f>
        <v>Flat</v>
      </c>
    </row>
    <row r="5" customFormat="false" ht="15" hidden="false" customHeight="true" outlineLevel="0" collapsed="false">
      <c r="A5" s="5" t="n">
        <v>2</v>
      </c>
      <c r="B5" s="24"/>
      <c r="C5" s="24"/>
      <c r="D5" s="24"/>
      <c r="E5" s="24"/>
      <c r="F5" s="24"/>
      <c r="G5" s="24"/>
      <c r="H5" s="24"/>
      <c r="I5" s="56" t="n">
        <f aca="false">IF(AND(D5&gt;0,H5&gt;0),H5-D5,0)</f>
        <v>0</v>
      </c>
      <c r="J5" s="43" t="n">
        <f aca="false">IFERROR(IF(D5&gt;0,(H5-D5)/D5*100,0),0)</f>
        <v>0</v>
      </c>
      <c r="K5" s="8" t="str">
        <f aca="false">IF(I5&gt;0.1,"Improving",IF(I5&gt;0,"Stable",IF(I5&lt;-0.1,"Declining","Flat")))</f>
        <v>Flat</v>
      </c>
    </row>
    <row r="6" customFormat="false" ht="15" hidden="false" customHeight="true" outlineLevel="0" collapsed="false">
      <c r="A6" s="9" t="n">
        <v>3</v>
      </c>
      <c r="B6" s="21"/>
      <c r="C6" s="21"/>
      <c r="D6" s="21"/>
      <c r="E6" s="21"/>
      <c r="F6" s="21"/>
      <c r="G6" s="21"/>
      <c r="H6" s="21"/>
      <c r="I6" s="55" t="n">
        <f aca="false">IF(AND(D6&gt;0,H6&gt;0),H6-D6,0)</f>
        <v>0</v>
      </c>
      <c r="J6" s="42" t="n">
        <f aca="false">IFERROR(IF(D6&gt;0,(H6-D6)/D6*100,0),0)</f>
        <v>0</v>
      </c>
      <c r="K6" s="12" t="str">
        <f aca="false">IF(I6&gt;0.1,"Improving",IF(I6&gt;0,"Stable",IF(I6&lt;-0.1,"Declining","Flat")))</f>
        <v>Flat</v>
      </c>
    </row>
    <row r="7" customFormat="false" ht="15" hidden="false" customHeight="true" outlineLevel="0" collapsed="false">
      <c r="A7" s="5" t="n">
        <v>4</v>
      </c>
      <c r="B7" s="24"/>
      <c r="C7" s="24"/>
      <c r="D7" s="24"/>
      <c r="E7" s="24"/>
      <c r="F7" s="24"/>
      <c r="G7" s="24"/>
      <c r="H7" s="24"/>
      <c r="I7" s="56" t="n">
        <f aca="false">IF(AND(D7&gt;0,H7&gt;0),H7-D7,0)</f>
        <v>0</v>
      </c>
      <c r="J7" s="43" t="n">
        <f aca="false">IFERROR(IF(D7&gt;0,(H7-D7)/D7*100,0),0)</f>
        <v>0</v>
      </c>
      <c r="K7" s="8" t="str">
        <f aca="false">IF(I7&gt;0.1,"Improving",IF(I7&gt;0,"Stable",IF(I7&lt;-0.1,"Declining","Flat")))</f>
        <v>Flat</v>
      </c>
    </row>
    <row r="8" customFormat="false" ht="15" hidden="false" customHeight="true" outlineLevel="0" collapsed="false">
      <c r="A8" s="9" t="n">
        <v>5</v>
      </c>
      <c r="B8" s="21"/>
      <c r="C8" s="21"/>
      <c r="D8" s="21"/>
      <c r="E8" s="21"/>
      <c r="F8" s="21"/>
      <c r="G8" s="21"/>
      <c r="H8" s="21"/>
      <c r="I8" s="55" t="n">
        <f aca="false">IF(AND(D8&gt;0,H8&gt;0),H8-D8,0)</f>
        <v>0</v>
      </c>
      <c r="J8" s="42" t="n">
        <f aca="false">IFERROR(IF(D8&gt;0,(H8-D8)/D8*100,0),0)</f>
        <v>0</v>
      </c>
      <c r="K8" s="12" t="str">
        <f aca="false">IF(I8&gt;0.1,"Improving",IF(I8&gt;0,"Stable",IF(I8&lt;-0.1,"Declining","Flat")))</f>
        <v>Flat</v>
      </c>
    </row>
    <row r="9" customFormat="false" ht="15" hidden="false" customHeight="true" outlineLevel="0" collapsed="false">
      <c r="A9" s="5" t="n">
        <v>6</v>
      </c>
      <c r="B9" s="24"/>
      <c r="C9" s="24"/>
      <c r="D9" s="24"/>
      <c r="E9" s="24"/>
      <c r="F9" s="24"/>
      <c r="G9" s="24"/>
      <c r="H9" s="24"/>
      <c r="I9" s="56" t="n">
        <f aca="false">IF(AND(D9&gt;0,H9&gt;0),H9-D9,0)</f>
        <v>0</v>
      </c>
      <c r="J9" s="43" t="n">
        <f aca="false">IFERROR(IF(D9&gt;0,(H9-D9)/D9*100,0),0)</f>
        <v>0</v>
      </c>
      <c r="K9" s="8" t="str">
        <f aca="false">IF(I9&gt;0.1,"Improving",IF(I9&gt;0,"Stable",IF(I9&lt;-0.1,"Declining","Flat")))</f>
        <v>Flat</v>
      </c>
    </row>
    <row r="10" customFormat="false" ht="15" hidden="false" customHeight="true" outlineLevel="0" collapsed="false">
      <c r="A10" s="9" t="n">
        <v>7</v>
      </c>
      <c r="B10" s="21"/>
      <c r="C10" s="21"/>
      <c r="D10" s="21"/>
      <c r="E10" s="21"/>
      <c r="F10" s="21"/>
      <c r="G10" s="21"/>
      <c r="H10" s="21"/>
      <c r="I10" s="55" t="n">
        <f aca="false">IF(AND(D10&gt;0,H10&gt;0),H10-D10,0)</f>
        <v>0</v>
      </c>
      <c r="J10" s="42" t="n">
        <f aca="false">IFERROR(IF(D10&gt;0,(H10-D10)/D10*100,0),0)</f>
        <v>0</v>
      </c>
      <c r="K10" s="12" t="str">
        <f aca="false">IF(I10&gt;0.1,"Improving",IF(I10&gt;0,"Stable",IF(I10&lt;-0.1,"Declining","Flat")))</f>
        <v>Flat</v>
      </c>
    </row>
    <row r="11" customFormat="false" ht="15" hidden="false" customHeight="true" outlineLevel="0" collapsed="false">
      <c r="A11" s="5" t="n">
        <v>8</v>
      </c>
      <c r="B11" s="24"/>
      <c r="C11" s="24"/>
      <c r="D11" s="24"/>
      <c r="E11" s="24"/>
      <c r="F11" s="24"/>
      <c r="G11" s="24"/>
      <c r="H11" s="24"/>
      <c r="I11" s="56" t="n">
        <f aca="false">IF(AND(D11&gt;0,H11&gt;0),H11-D11,0)</f>
        <v>0</v>
      </c>
      <c r="J11" s="43" t="n">
        <f aca="false">IFERROR(IF(D11&gt;0,(H11-D11)/D11*100,0),0)</f>
        <v>0</v>
      </c>
      <c r="K11" s="8" t="str">
        <f aca="false">IF(I11&gt;0.1,"Improving",IF(I11&gt;0,"Stable",IF(I11&lt;-0.1,"Declining","Flat")))</f>
        <v>Flat</v>
      </c>
    </row>
    <row r="12" customFormat="false" ht="15" hidden="false" customHeight="true" outlineLevel="0" collapsed="false">
      <c r="A12" s="9" t="n">
        <v>9</v>
      </c>
      <c r="B12" s="21"/>
      <c r="C12" s="21"/>
      <c r="D12" s="21"/>
      <c r="E12" s="21"/>
      <c r="F12" s="21"/>
      <c r="G12" s="21"/>
      <c r="H12" s="21"/>
      <c r="I12" s="55" t="n">
        <f aca="false">IF(AND(D12&gt;0,H12&gt;0),H12-D12,0)</f>
        <v>0</v>
      </c>
      <c r="J12" s="42" t="n">
        <f aca="false">IFERROR(IF(D12&gt;0,(H12-D12)/D12*100,0),0)</f>
        <v>0</v>
      </c>
      <c r="K12" s="12" t="str">
        <f aca="false">IF(I12&gt;0.1,"Improving",IF(I12&gt;0,"Stable",IF(I12&lt;-0.1,"Declining","Flat")))</f>
        <v>Flat</v>
      </c>
    </row>
    <row r="13" customFormat="false" ht="15" hidden="false" customHeight="true" outlineLevel="0" collapsed="false">
      <c r="A13" s="5" t="n">
        <v>10</v>
      </c>
      <c r="B13" s="24"/>
      <c r="C13" s="24"/>
      <c r="D13" s="24"/>
      <c r="E13" s="24"/>
      <c r="F13" s="24"/>
      <c r="G13" s="24"/>
      <c r="H13" s="24"/>
      <c r="I13" s="56" t="n">
        <f aca="false">IF(AND(D13&gt;0,H13&gt;0),H13-D13,0)</f>
        <v>0</v>
      </c>
      <c r="J13" s="43" t="n">
        <f aca="false">IFERROR(IF(D13&gt;0,(H13-D13)/D13*100,0),0)</f>
        <v>0</v>
      </c>
      <c r="K13" s="8" t="str">
        <f aca="false">IF(I13&gt;0.1,"Improving",IF(I13&gt;0,"Stable",IF(I13&lt;-0.1,"Declining","Flat")))</f>
        <v>Flat</v>
      </c>
    </row>
    <row r="14" customFormat="false" ht="15" hidden="false" customHeight="true" outlineLevel="0" collapsed="false">
      <c r="A14" s="9" t="n">
        <v>11</v>
      </c>
      <c r="B14" s="21"/>
      <c r="C14" s="21"/>
      <c r="D14" s="21"/>
      <c r="E14" s="21"/>
      <c r="F14" s="21"/>
      <c r="G14" s="21"/>
      <c r="H14" s="21"/>
      <c r="I14" s="55" t="n">
        <f aca="false">IF(AND(D14&gt;0,H14&gt;0),H14-D14,0)</f>
        <v>0</v>
      </c>
      <c r="J14" s="42" t="n">
        <f aca="false">IFERROR(IF(D14&gt;0,(H14-D14)/D14*100,0),0)</f>
        <v>0</v>
      </c>
      <c r="K14" s="12" t="str">
        <f aca="false">IF(I14&gt;0.1,"Improving",IF(I14&gt;0,"Stable",IF(I14&lt;-0.1,"Declining","Flat")))</f>
        <v>Flat</v>
      </c>
    </row>
    <row r="15" customFormat="false" ht="15" hidden="false" customHeight="true" outlineLevel="0" collapsed="false">
      <c r="A15" s="5" t="n">
        <v>12</v>
      </c>
      <c r="B15" s="24"/>
      <c r="C15" s="24"/>
      <c r="D15" s="24"/>
      <c r="E15" s="24"/>
      <c r="F15" s="24"/>
      <c r="G15" s="24"/>
      <c r="H15" s="24"/>
      <c r="I15" s="56" t="n">
        <f aca="false">IF(AND(D15&gt;0,H15&gt;0),H15-D15,0)</f>
        <v>0</v>
      </c>
      <c r="J15" s="43" t="n">
        <f aca="false">IFERROR(IF(D15&gt;0,(H15-D15)/D15*100,0),0)</f>
        <v>0</v>
      </c>
      <c r="K15" s="8" t="str">
        <f aca="false">IF(I15&gt;0.1,"Improving",IF(I15&gt;0,"Stable",IF(I15&lt;-0.1,"Declining","Flat")))</f>
        <v>Flat</v>
      </c>
    </row>
    <row r="16" customFormat="false" ht="15" hidden="false" customHeight="true" outlineLevel="0" collapsed="false">
      <c r="A16" s="9" t="n">
        <v>13</v>
      </c>
      <c r="B16" s="21"/>
      <c r="C16" s="21"/>
      <c r="D16" s="21"/>
      <c r="E16" s="21"/>
      <c r="F16" s="21"/>
      <c r="G16" s="21"/>
      <c r="H16" s="21"/>
      <c r="I16" s="55" t="n">
        <f aca="false">IF(AND(D16&gt;0,H16&gt;0),H16-D16,0)</f>
        <v>0</v>
      </c>
      <c r="J16" s="42" t="n">
        <f aca="false">IFERROR(IF(D16&gt;0,(H16-D16)/D16*100,0),0)</f>
        <v>0</v>
      </c>
      <c r="K16" s="12" t="str">
        <f aca="false">IF(I16&gt;0.1,"Improving",IF(I16&gt;0,"Stable",IF(I16&lt;-0.1,"Declining","Flat")))</f>
        <v>Flat</v>
      </c>
    </row>
    <row r="17" customFormat="false" ht="15" hidden="false" customHeight="true" outlineLevel="0" collapsed="false">
      <c r="A17" s="5" t="n">
        <v>14</v>
      </c>
      <c r="B17" s="24"/>
      <c r="C17" s="24"/>
      <c r="D17" s="24"/>
      <c r="E17" s="24"/>
      <c r="F17" s="24"/>
      <c r="G17" s="24"/>
      <c r="H17" s="24"/>
      <c r="I17" s="56" t="n">
        <f aca="false">IF(AND(D17&gt;0,H17&gt;0),H17-D17,0)</f>
        <v>0</v>
      </c>
      <c r="J17" s="43" t="n">
        <f aca="false">IFERROR(IF(D17&gt;0,(H17-D17)/D17*100,0),0)</f>
        <v>0</v>
      </c>
      <c r="K17" s="8" t="str">
        <f aca="false">IF(I17&gt;0.1,"Improving",IF(I17&gt;0,"Stable",IF(I17&lt;-0.1,"Declining","Flat")))</f>
        <v>Flat</v>
      </c>
    </row>
    <row r="18" customFormat="false" ht="15" hidden="false" customHeight="true" outlineLevel="0" collapsed="false">
      <c r="A18" s="9" t="n">
        <v>15</v>
      </c>
      <c r="B18" s="21"/>
      <c r="C18" s="21"/>
      <c r="D18" s="21"/>
      <c r="E18" s="21"/>
      <c r="F18" s="21"/>
      <c r="G18" s="21"/>
      <c r="H18" s="21"/>
      <c r="I18" s="55" t="n">
        <f aca="false">IF(AND(D18&gt;0,H18&gt;0),H18-D18,0)</f>
        <v>0</v>
      </c>
      <c r="J18" s="42" t="n">
        <f aca="false">IFERROR(IF(D18&gt;0,(H18-D18)/D18*100,0),0)</f>
        <v>0</v>
      </c>
      <c r="K18" s="12" t="str">
        <f aca="false">IF(I18&gt;0.1,"Improving",IF(I18&gt;0,"Stable",IF(I18&lt;-0.1,"Declining","Flat")))</f>
        <v>Flat</v>
      </c>
    </row>
    <row r="19" customFormat="false" ht="15" hidden="false" customHeight="true" outlineLevel="0" collapsed="false">
      <c r="A19" s="5" t="n">
        <v>16</v>
      </c>
      <c r="B19" s="24"/>
      <c r="C19" s="24"/>
      <c r="D19" s="24"/>
      <c r="E19" s="24"/>
      <c r="F19" s="24"/>
      <c r="G19" s="24"/>
      <c r="H19" s="24"/>
      <c r="I19" s="56" t="n">
        <f aca="false">IF(AND(D19&gt;0,H19&gt;0),H19-D19,0)</f>
        <v>0</v>
      </c>
      <c r="J19" s="43" t="n">
        <f aca="false">IFERROR(IF(D19&gt;0,(H19-D19)/D19*100,0),0)</f>
        <v>0</v>
      </c>
      <c r="K19" s="8" t="str">
        <f aca="false">IF(I19&gt;0.1,"Improving",IF(I19&gt;0,"Stable",IF(I19&lt;-0.1,"Declining","Flat")))</f>
        <v>Flat</v>
      </c>
    </row>
    <row r="20" customFormat="false" ht="15" hidden="false" customHeight="true" outlineLevel="0" collapsed="false">
      <c r="A20" s="9" t="n">
        <v>17</v>
      </c>
      <c r="B20" s="21"/>
      <c r="C20" s="21"/>
      <c r="D20" s="21"/>
      <c r="E20" s="21"/>
      <c r="F20" s="21"/>
      <c r="G20" s="21"/>
      <c r="H20" s="21"/>
      <c r="I20" s="55" t="n">
        <f aca="false">IF(AND(D20&gt;0,H20&gt;0),H20-D20,0)</f>
        <v>0</v>
      </c>
      <c r="J20" s="42" t="n">
        <f aca="false">IFERROR(IF(D20&gt;0,(H20-D20)/D20*100,0),0)</f>
        <v>0</v>
      </c>
      <c r="K20" s="12" t="str">
        <f aca="false">IF(I20&gt;0.1,"Improving",IF(I20&gt;0,"Stable",IF(I20&lt;-0.1,"Declining","Flat")))</f>
        <v>Flat</v>
      </c>
    </row>
    <row r="21" customFormat="false" ht="15" hidden="false" customHeight="true" outlineLevel="0" collapsed="false">
      <c r="A21" s="5" t="n">
        <v>18</v>
      </c>
      <c r="B21" s="24"/>
      <c r="C21" s="24"/>
      <c r="D21" s="24"/>
      <c r="E21" s="24"/>
      <c r="F21" s="24"/>
      <c r="G21" s="24"/>
      <c r="H21" s="24"/>
      <c r="I21" s="56" t="n">
        <f aca="false">IF(AND(D21&gt;0,H21&gt;0),H21-D21,0)</f>
        <v>0</v>
      </c>
      <c r="J21" s="43" t="n">
        <f aca="false">IFERROR(IF(D21&gt;0,(H21-D21)/D21*100,0),0)</f>
        <v>0</v>
      </c>
      <c r="K21" s="8" t="str">
        <f aca="false">IF(I21&gt;0.1,"Improving",IF(I21&gt;0,"Stable",IF(I21&lt;-0.1,"Declining","Flat")))</f>
        <v>Flat</v>
      </c>
    </row>
    <row r="22" customFormat="false" ht="15" hidden="false" customHeight="true" outlineLevel="0" collapsed="false">
      <c r="A22" s="9" t="n">
        <v>19</v>
      </c>
      <c r="B22" s="21"/>
      <c r="C22" s="21"/>
      <c r="D22" s="21"/>
      <c r="E22" s="21"/>
      <c r="F22" s="21"/>
      <c r="G22" s="21"/>
      <c r="H22" s="21"/>
      <c r="I22" s="55" t="n">
        <f aca="false">IF(AND(D22&gt;0,H22&gt;0),H22-D22,0)</f>
        <v>0</v>
      </c>
      <c r="J22" s="42" t="n">
        <f aca="false">IFERROR(IF(D22&gt;0,(H22-D22)/D22*100,0),0)</f>
        <v>0</v>
      </c>
      <c r="K22" s="12" t="str">
        <f aca="false">IF(I22&gt;0.1,"Improving",IF(I22&gt;0,"Stable",IF(I22&lt;-0.1,"Declining","Flat")))</f>
        <v>Flat</v>
      </c>
    </row>
    <row r="23" customFormat="false" ht="15" hidden="false" customHeight="true" outlineLevel="0" collapsed="false">
      <c r="A23" s="5" t="n">
        <v>20</v>
      </c>
      <c r="B23" s="24"/>
      <c r="C23" s="24"/>
      <c r="D23" s="24"/>
      <c r="E23" s="24"/>
      <c r="F23" s="24"/>
      <c r="G23" s="24"/>
      <c r="H23" s="24"/>
      <c r="I23" s="56" t="n">
        <f aca="false">IF(AND(D23&gt;0,H23&gt;0),H23-D23,0)</f>
        <v>0</v>
      </c>
      <c r="J23" s="43" t="n">
        <f aca="false">IFERROR(IF(D23&gt;0,(H23-D23)/D23*100,0),0)</f>
        <v>0</v>
      </c>
      <c r="K23" s="8" t="str">
        <f aca="false">IF(I23&gt;0.1,"Improving",IF(I23&gt;0,"Stable",IF(I23&lt;-0.1,"Declining","Flat")))</f>
        <v>Flat</v>
      </c>
    </row>
    <row r="24" customFormat="false" ht="15" hidden="false" customHeight="true" outlineLevel="0" collapsed="false">
      <c r="A24" s="9" t="n">
        <v>21</v>
      </c>
      <c r="B24" s="21"/>
      <c r="C24" s="21"/>
      <c r="D24" s="21"/>
      <c r="E24" s="21"/>
      <c r="F24" s="21"/>
      <c r="G24" s="21"/>
      <c r="H24" s="21"/>
      <c r="I24" s="55" t="n">
        <f aca="false">IF(AND(D24&gt;0,H24&gt;0),H24-D24,0)</f>
        <v>0</v>
      </c>
      <c r="J24" s="42" t="n">
        <f aca="false">IFERROR(IF(D24&gt;0,(H24-D24)/D24*100,0),0)</f>
        <v>0</v>
      </c>
      <c r="K24" s="12" t="str">
        <f aca="false">IF(I24&gt;0.1,"Improving",IF(I24&gt;0,"Stable",IF(I24&lt;-0.1,"Declining","Flat")))</f>
        <v>Flat</v>
      </c>
    </row>
    <row r="25" customFormat="false" ht="15" hidden="false" customHeight="true" outlineLevel="0" collapsed="false">
      <c r="A25" s="5" t="n">
        <v>22</v>
      </c>
      <c r="B25" s="24"/>
      <c r="C25" s="24"/>
      <c r="D25" s="24"/>
      <c r="E25" s="24"/>
      <c r="F25" s="24"/>
      <c r="G25" s="24"/>
      <c r="H25" s="24"/>
      <c r="I25" s="56" t="n">
        <f aca="false">IF(AND(D25&gt;0,H25&gt;0),H25-D25,0)</f>
        <v>0</v>
      </c>
      <c r="J25" s="43" t="n">
        <f aca="false">IFERROR(IF(D25&gt;0,(H25-D25)/D25*100,0),0)</f>
        <v>0</v>
      </c>
      <c r="K25" s="8" t="str">
        <f aca="false">IF(I25&gt;0.1,"Improving",IF(I25&gt;0,"Stable",IF(I25&lt;-0.1,"Declining","Flat")))</f>
        <v>Flat</v>
      </c>
    </row>
    <row r="26" customFormat="false" ht="15" hidden="false" customHeight="true" outlineLevel="0" collapsed="false">
      <c r="A26" s="9" t="n">
        <v>23</v>
      </c>
      <c r="B26" s="21"/>
      <c r="C26" s="21"/>
      <c r="D26" s="21"/>
      <c r="E26" s="21"/>
      <c r="F26" s="21"/>
      <c r="G26" s="21"/>
      <c r="H26" s="21"/>
      <c r="I26" s="55" t="n">
        <f aca="false">IF(AND(D26&gt;0,H26&gt;0),H26-D26,0)</f>
        <v>0</v>
      </c>
      <c r="J26" s="42" t="n">
        <f aca="false">IFERROR(IF(D26&gt;0,(H26-D26)/D26*100,0),0)</f>
        <v>0</v>
      </c>
      <c r="K26" s="12" t="str">
        <f aca="false">IF(I26&gt;0.1,"Improving",IF(I26&gt;0,"Stable",IF(I26&lt;-0.1,"Declining","Flat")))</f>
        <v>Flat</v>
      </c>
    </row>
    <row r="27" customFormat="false" ht="15" hidden="false" customHeight="true" outlineLevel="0" collapsed="false">
      <c r="A27" s="5" t="n">
        <v>24</v>
      </c>
      <c r="B27" s="24"/>
      <c r="C27" s="24"/>
      <c r="D27" s="24"/>
      <c r="E27" s="24"/>
      <c r="F27" s="24"/>
      <c r="G27" s="24"/>
      <c r="H27" s="24"/>
      <c r="I27" s="56" t="n">
        <f aca="false">IF(AND(D27&gt;0,H27&gt;0),H27-D27,0)</f>
        <v>0</v>
      </c>
      <c r="J27" s="43" t="n">
        <f aca="false">IFERROR(IF(D27&gt;0,(H27-D27)/D27*100,0),0)</f>
        <v>0</v>
      </c>
      <c r="K27" s="8" t="str">
        <f aca="false">IF(I27&gt;0.1,"Improving",IF(I27&gt;0,"Stable",IF(I27&lt;-0.1,"Declining","Flat")))</f>
        <v>Flat</v>
      </c>
    </row>
    <row r="28" customFormat="false" ht="15" hidden="false" customHeight="true" outlineLevel="0" collapsed="false">
      <c r="A28" s="9" t="n">
        <v>25</v>
      </c>
      <c r="B28" s="21"/>
      <c r="C28" s="21"/>
      <c r="D28" s="21"/>
      <c r="E28" s="21"/>
      <c r="F28" s="21"/>
      <c r="G28" s="21"/>
      <c r="H28" s="21"/>
      <c r="I28" s="55" t="n">
        <f aca="false">IF(AND(D28&gt;0,H28&gt;0),H28-D28,0)</f>
        <v>0</v>
      </c>
      <c r="J28" s="42" t="n">
        <f aca="false">IFERROR(IF(D28&gt;0,(H28-D28)/D28*100,0),0)</f>
        <v>0</v>
      </c>
      <c r="K28" s="12" t="str">
        <f aca="false">IF(I28&gt;0.1,"Improving",IF(I28&gt;0,"Stable",IF(I28&lt;-0.1,"Declining","Flat")))</f>
        <v>Flat</v>
      </c>
    </row>
    <row r="29" customFormat="false" ht="15" hidden="false" customHeight="true" outlineLevel="0" collapsed="false">
      <c r="A29" s="5" t="n">
        <v>26</v>
      </c>
      <c r="B29" s="24"/>
      <c r="C29" s="24"/>
      <c r="D29" s="24"/>
      <c r="E29" s="24"/>
      <c r="F29" s="24"/>
      <c r="G29" s="24"/>
      <c r="H29" s="24"/>
      <c r="I29" s="56" t="n">
        <f aca="false">IF(AND(D29&gt;0,H29&gt;0),H29-D29,0)</f>
        <v>0</v>
      </c>
      <c r="J29" s="43" t="n">
        <f aca="false">IFERROR(IF(D29&gt;0,(H29-D29)/D29*100,0),0)</f>
        <v>0</v>
      </c>
      <c r="K29" s="8" t="str">
        <f aca="false">IF(I29&gt;0.1,"Improving",IF(I29&gt;0,"Stable",IF(I29&lt;-0.1,"Declining","Flat")))</f>
        <v>Flat</v>
      </c>
    </row>
    <row r="30" customFormat="false" ht="15" hidden="false" customHeight="true" outlineLevel="0" collapsed="false">
      <c r="A30" s="9" t="n">
        <v>27</v>
      </c>
      <c r="B30" s="21"/>
      <c r="C30" s="21"/>
      <c r="D30" s="21"/>
      <c r="E30" s="21"/>
      <c r="F30" s="21"/>
      <c r="G30" s="21"/>
      <c r="H30" s="21"/>
      <c r="I30" s="55" t="n">
        <f aca="false">IF(AND(D30&gt;0,H30&gt;0),H30-D30,0)</f>
        <v>0</v>
      </c>
      <c r="J30" s="42" t="n">
        <f aca="false">IFERROR(IF(D30&gt;0,(H30-D30)/D30*100,0),0)</f>
        <v>0</v>
      </c>
      <c r="K30" s="12" t="str">
        <f aca="false">IF(I30&gt;0.1,"Improving",IF(I30&gt;0,"Stable",IF(I30&lt;-0.1,"Declining","Flat")))</f>
        <v>Flat</v>
      </c>
    </row>
    <row r="31" customFormat="false" ht="15" hidden="false" customHeight="true" outlineLevel="0" collapsed="false">
      <c r="A31" s="5" t="n">
        <v>28</v>
      </c>
      <c r="B31" s="24"/>
      <c r="C31" s="24"/>
      <c r="D31" s="24"/>
      <c r="E31" s="24"/>
      <c r="F31" s="24"/>
      <c r="G31" s="24"/>
      <c r="H31" s="24"/>
      <c r="I31" s="56" t="n">
        <f aca="false">IF(AND(D31&gt;0,H31&gt;0),H31-D31,0)</f>
        <v>0</v>
      </c>
      <c r="J31" s="43" t="n">
        <f aca="false">IFERROR(IF(D31&gt;0,(H31-D31)/D31*100,0),0)</f>
        <v>0</v>
      </c>
      <c r="K31" s="8" t="str">
        <f aca="false">IF(I31&gt;0.1,"Improving",IF(I31&gt;0,"Stable",IF(I31&lt;-0.1,"Declining","Flat")))</f>
        <v>Flat</v>
      </c>
    </row>
    <row r="32" customFormat="false" ht="15" hidden="false" customHeight="true" outlineLevel="0" collapsed="false">
      <c r="A32" s="9" t="n">
        <v>29</v>
      </c>
      <c r="B32" s="21"/>
      <c r="C32" s="21"/>
      <c r="D32" s="21"/>
      <c r="E32" s="21"/>
      <c r="F32" s="21"/>
      <c r="G32" s="21"/>
      <c r="H32" s="21"/>
      <c r="I32" s="55" t="n">
        <f aca="false">IF(AND(D32&gt;0,H32&gt;0),H32-D32,0)</f>
        <v>0</v>
      </c>
      <c r="J32" s="42" t="n">
        <f aca="false">IFERROR(IF(D32&gt;0,(H32-D32)/D32*100,0),0)</f>
        <v>0</v>
      </c>
      <c r="K32" s="12" t="str">
        <f aca="false">IF(I32&gt;0.1,"Improving",IF(I32&gt;0,"Stable",IF(I32&lt;-0.1,"Declining","Flat")))</f>
        <v>Flat</v>
      </c>
    </row>
    <row r="33" customFormat="false" ht="15" hidden="false" customHeight="true" outlineLevel="0" collapsed="false">
      <c r="A33" s="5" t="n">
        <v>30</v>
      </c>
      <c r="B33" s="24"/>
      <c r="C33" s="24"/>
      <c r="D33" s="24"/>
      <c r="E33" s="24"/>
      <c r="F33" s="24"/>
      <c r="G33" s="24"/>
      <c r="H33" s="24"/>
      <c r="I33" s="56" t="n">
        <f aca="false">IF(AND(D33&gt;0,H33&gt;0),H33-D33,0)</f>
        <v>0</v>
      </c>
      <c r="J33" s="43" t="n">
        <f aca="false">IFERROR(IF(D33&gt;0,(H33-D33)/D33*100,0),0)</f>
        <v>0</v>
      </c>
      <c r="K33" s="8" t="str">
        <f aca="false">IF(I33&gt;0.1,"Improving",IF(I33&gt;0,"Stable",IF(I33&lt;-0.1,"Declining","Flat")))</f>
        <v>Flat</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2E4F"/>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14"/>
    <col collapsed="false" customWidth="true" hidden="false" outlineLevel="0" max="6" min="4" style="1" width="16"/>
    <col collapsed="false" customWidth="true" hidden="false" outlineLevel="0" max="7" min="7" style="1" width="14"/>
  </cols>
  <sheetData>
    <row r="1" customFormat="false" ht="33.75" hidden="false" customHeight="true" outlineLevel="0" collapsed="false">
      <c r="A1" s="57" t="s">
        <v>148</v>
      </c>
      <c r="B1" s="57"/>
      <c r="C1" s="57"/>
      <c r="D1" s="57"/>
      <c r="E1" s="57"/>
      <c r="F1" s="57"/>
      <c r="G1" s="57"/>
    </row>
    <row r="2" customFormat="false" ht="25.5" hidden="false" customHeight="true" outlineLevel="0" collapsed="false">
      <c r="A2" s="13" t="s">
        <v>149</v>
      </c>
      <c r="B2" s="13"/>
      <c r="C2" s="13"/>
      <c r="D2" s="13"/>
      <c r="E2" s="13"/>
      <c r="F2" s="13"/>
      <c r="G2" s="13"/>
    </row>
    <row r="3" customFormat="false" ht="23.25" hidden="false" customHeight="true" outlineLevel="0" collapsed="false">
      <c r="A3" s="14" t="s">
        <v>74</v>
      </c>
      <c r="B3" s="14" t="s">
        <v>75</v>
      </c>
      <c r="C3" s="14" t="s">
        <v>76</v>
      </c>
      <c r="D3" s="14" t="s">
        <v>150</v>
      </c>
      <c r="E3" s="14" t="s">
        <v>151</v>
      </c>
      <c r="F3" s="14" t="s">
        <v>152</v>
      </c>
      <c r="G3" s="14" t="s">
        <v>153</v>
      </c>
    </row>
    <row r="4" customFormat="false" ht="15" hidden="false" customHeight="true" outlineLevel="0" collapsed="false">
      <c r="A4" s="9" t="n">
        <v>1</v>
      </c>
      <c r="B4" s="21"/>
      <c r="C4" s="21"/>
      <c r="D4" s="55" t="n">
        <f aca="false">'1. FWCI Summary'!G4</f>
        <v>0</v>
      </c>
      <c r="E4" s="50" t="n">
        <f aca="false">IFERROR((D4-AVERAGE($D$4:$D$33))/STDEV($D$4:$D$33),0)</f>
        <v>0</v>
      </c>
      <c r="F4" s="58" t="n">
        <f aca="false">IFERROR(IF(MAX($D$4:$D$33)-MIN($D$4:$D$33)&gt;0,(D4-MIN($D$4:$D$33))/(MAX($D$4:$D$33)-MIN($D$4:$D$33))*100,0),0)</f>
        <v>0</v>
      </c>
      <c r="G4" s="12" t="n">
        <f aca="false">IFERROR(RANK(F4,$F$4:$F$33,0),"")</f>
        <v>1</v>
      </c>
    </row>
    <row r="5" customFormat="false" ht="15" hidden="false" customHeight="true" outlineLevel="0" collapsed="false">
      <c r="A5" s="5" t="n">
        <v>2</v>
      </c>
      <c r="B5" s="24"/>
      <c r="C5" s="24"/>
      <c r="D5" s="56" t="n">
        <f aca="false">'1. FWCI Summary'!G5</f>
        <v>0</v>
      </c>
      <c r="E5" s="51" t="n">
        <f aca="false">IFERROR((D5-AVERAGE($D$4:$D$33))/STDEV($D$4:$D$33),0)</f>
        <v>0</v>
      </c>
      <c r="F5" s="59" t="n">
        <f aca="false">IFERROR(IF(MAX($D$4:$D$33)-MIN($D$4:$D$33)&gt;0,(D5-MIN($D$4:$D$33))/(MAX($D$4:$D$33)-MIN($D$4:$D$33))*100,0),0)</f>
        <v>0</v>
      </c>
      <c r="G5" s="8" t="n">
        <f aca="false">IFERROR(RANK(F5,$F$4:$F$33,0),"")</f>
        <v>1</v>
      </c>
    </row>
    <row r="6" customFormat="false" ht="15" hidden="false" customHeight="true" outlineLevel="0" collapsed="false">
      <c r="A6" s="9" t="n">
        <v>3</v>
      </c>
      <c r="B6" s="21"/>
      <c r="C6" s="21"/>
      <c r="D6" s="55" t="n">
        <f aca="false">'1. FWCI Summary'!G6</f>
        <v>0</v>
      </c>
      <c r="E6" s="50" t="n">
        <f aca="false">IFERROR((D6-AVERAGE($D$4:$D$33))/STDEV($D$4:$D$33),0)</f>
        <v>0</v>
      </c>
      <c r="F6" s="58" t="n">
        <f aca="false">IFERROR(IF(MAX($D$4:$D$33)-MIN($D$4:$D$33)&gt;0,(D6-MIN($D$4:$D$33))/(MAX($D$4:$D$33)-MIN($D$4:$D$33))*100,0),0)</f>
        <v>0</v>
      </c>
      <c r="G6" s="12" t="n">
        <f aca="false">IFERROR(RANK(F6,$F$4:$F$33,0),"")</f>
        <v>1</v>
      </c>
    </row>
    <row r="7" customFormat="false" ht="15" hidden="false" customHeight="true" outlineLevel="0" collapsed="false">
      <c r="A7" s="5" t="n">
        <v>4</v>
      </c>
      <c r="B7" s="24"/>
      <c r="C7" s="24"/>
      <c r="D7" s="56" t="n">
        <f aca="false">'1. FWCI Summary'!G7</f>
        <v>0</v>
      </c>
      <c r="E7" s="51" t="n">
        <f aca="false">IFERROR((D7-AVERAGE($D$4:$D$33))/STDEV($D$4:$D$33),0)</f>
        <v>0</v>
      </c>
      <c r="F7" s="59" t="n">
        <f aca="false">IFERROR(IF(MAX($D$4:$D$33)-MIN($D$4:$D$33)&gt;0,(D7-MIN($D$4:$D$33))/(MAX($D$4:$D$33)-MIN($D$4:$D$33))*100,0),0)</f>
        <v>0</v>
      </c>
      <c r="G7" s="8" t="n">
        <f aca="false">IFERROR(RANK(F7,$F$4:$F$33,0),"")</f>
        <v>1</v>
      </c>
    </row>
    <row r="8" customFormat="false" ht="15" hidden="false" customHeight="true" outlineLevel="0" collapsed="false">
      <c r="A8" s="9" t="n">
        <v>5</v>
      </c>
      <c r="B8" s="21"/>
      <c r="C8" s="21"/>
      <c r="D8" s="55" t="n">
        <f aca="false">'1. FWCI Summary'!G8</f>
        <v>0</v>
      </c>
      <c r="E8" s="50" t="n">
        <f aca="false">IFERROR((D8-AVERAGE($D$4:$D$33))/STDEV($D$4:$D$33),0)</f>
        <v>0</v>
      </c>
      <c r="F8" s="58" t="n">
        <f aca="false">IFERROR(IF(MAX($D$4:$D$33)-MIN($D$4:$D$33)&gt;0,(D8-MIN($D$4:$D$33))/(MAX($D$4:$D$33)-MIN($D$4:$D$33))*100,0),0)</f>
        <v>0</v>
      </c>
      <c r="G8" s="12" t="n">
        <f aca="false">IFERROR(RANK(F8,$F$4:$F$33,0),"")</f>
        <v>1</v>
      </c>
    </row>
    <row r="9" customFormat="false" ht="15" hidden="false" customHeight="true" outlineLevel="0" collapsed="false">
      <c r="A9" s="5" t="n">
        <v>6</v>
      </c>
      <c r="B9" s="24"/>
      <c r="C9" s="24"/>
      <c r="D9" s="56" t="n">
        <f aca="false">'1. FWCI Summary'!G9</f>
        <v>0</v>
      </c>
      <c r="E9" s="51" t="n">
        <f aca="false">IFERROR((D9-AVERAGE($D$4:$D$33))/STDEV($D$4:$D$33),0)</f>
        <v>0</v>
      </c>
      <c r="F9" s="59" t="n">
        <f aca="false">IFERROR(IF(MAX($D$4:$D$33)-MIN($D$4:$D$33)&gt;0,(D9-MIN($D$4:$D$33))/(MAX($D$4:$D$33)-MIN($D$4:$D$33))*100,0),0)</f>
        <v>0</v>
      </c>
      <c r="G9" s="8" t="n">
        <f aca="false">IFERROR(RANK(F9,$F$4:$F$33,0),"")</f>
        <v>1</v>
      </c>
    </row>
    <row r="10" customFormat="false" ht="15" hidden="false" customHeight="true" outlineLevel="0" collapsed="false">
      <c r="A10" s="9" t="n">
        <v>7</v>
      </c>
      <c r="B10" s="21"/>
      <c r="C10" s="21"/>
      <c r="D10" s="55" t="n">
        <f aca="false">'1. FWCI Summary'!G10</f>
        <v>0</v>
      </c>
      <c r="E10" s="50" t="n">
        <f aca="false">IFERROR((D10-AVERAGE($D$4:$D$33))/STDEV($D$4:$D$33),0)</f>
        <v>0</v>
      </c>
      <c r="F10" s="58" t="n">
        <f aca="false">IFERROR(IF(MAX($D$4:$D$33)-MIN($D$4:$D$33)&gt;0,(D10-MIN($D$4:$D$33))/(MAX($D$4:$D$33)-MIN($D$4:$D$33))*100,0),0)</f>
        <v>0</v>
      </c>
      <c r="G10" s="12" t="n">
        <f aca="false">IFERROR(RANK(F10,$F$4:$F$33,0),"")</f>
        <v>1</v>
      </c>
    </row>
    <row r="11" customFormat="false" ht="15" hidden="false" customHeight="true" outlineLevel="0" collapsed="false">
      <c r="A11" s="5" t="n">
        <v>8</v>
      </c>
      <c r="B11" s="24"/>
      <c r="C11" s="24"/>
      <c r="D11" s="56" t="n">
        <f aca="false">'1. FWCI Summary'!G11</f>
        <v>0</v>
      </c>
      <c r="E11" s="51" t="n">
        <f aca="false">IFERROR((D11-AVERAGE($D$4:$D$33))/STDEV($D$4:$D$33),0)</f>
        <v>0</v>
      </c>
      <c r="F11" s="59" t="n">
        <f aca="false">IFERROR(IF(MAX($D$4:$D$33)-MIN($D$4:$D$33)&gt;0,(D11-MIN($D$4:$D$33))/(MAX($D$4:$D$33)-MIN($D$4:$D$33))*100,0),0)</f>
        <v>0</v>
      </c>
      <c r="G11" s="8" t="n">
        <f aca="false">IFERROR(RANK(F11,$F$4:$F$33,0),"")</f>
        <v>1</v>
      </c>
    </row>
    <row r="12" customFormat="false" ht="15" hidden="false" customHeight="true" outlineLevel="0" collapsed="false">
      <c r="A12" s="9" t="n">
        <v>9</v>
      </c>
      <c r="B12" s="21"/>
      <c r="C12" s="21"/>
      <c r="D12" s="55" t="n">
        <f aca="false">'1. FWCI Summary'!G12</f>
        <v>0</v>
      </c>
      <c r="E12" s="50" t="n">
        <f aca="false">IFERROR((D12-AVERAGE($D$4:$D$33))/STDEV($D$4:$D$33),0)</f>
        <v>0</v>
      </c>
      <c r="F12" s="58" t="n">
        <f aca="false">IFERROR(IF(MAX($D$4:$D$33)-MIN($D$4:$D$33)&gt;0,(D12-MIN($D$4:$D$33))/(MAX($D$4:$D$33)-MIN($D$4:$D$33))*100,0),0)</f>
        <v>0</v>
      </c>
      <c r="G12" s="12" t="n">
        <f aca="false">IFERROR(RANK(F12,$F$4:$F$33,0),"")</f>
        <v>1</v>
      </c>
    </row>
    <row r="13" customFormat="false" ht="15" hidden="false" customHeight="true" outlineLevel="0" collapsed="false">
      <c r="A13" s="5" t="n">
        <v>10</v>
      </c>
      <c r="B13" s="24"/>
      <c r="C13" s="24"/>
      <c r="D13" s="56" t="n">
        <f aca="false">'1. FWCI Summary'!G13</f>
        <v>0</v>
      </c>
      <c r="E13" s="51" t="n">
        <f aca="false">IFERROR((D13-AVERAGE($D$4:$D$33))/STDEV($D$4:$D$33),0)</f>
        <v>0</v>
      </c>
      <c r="F13" s="59" t="n">
        <f aca="false">IFERROR(IF(MAX($D$4:$D$33)-MIN($D$4:$D$33)&gt;0,(D13-MIN($D$4:$D$33))/(MAX($D$4:$D$33)-MIN($D$4:$D$33))*100,0),0)</f>
        <v>0</v>
      </c>
      <c r="G13" s="8" t="n">
        <f aca="false">IFERROR(RANK(F13,$F$4:$F$33,0),"")</f>
        <v>1</v>
      </c>
    </row>
    <row r="14" customFormat="false" ht="15" hidden="false" customHeight="true" outlineLevel="0" collapsed="false">
      <c r="A14" s="9" t="n">
        <v>11</v>
      </c>
      <c r="B14" s="21"/>
      <c r="C14" s="21"/>
      <c r="D14" s="55" t="n">
        <f aca="false">'1. FWCI Summary'!G14</f>
        <v>0</v>
      </c>
      <c r="E14" s="50" t="n">
        <f aca="false">IFERROR((D14-AVERAGE($D$4:$D$33))/STDEV($D$4:$D$33),0)</f>
        <v>0</v>
      </c>
      <c r="F14" s="58" t="n">
        <f aca="false">IFERROR(IF(MAX($D$4:$D$33)-MIN($D$4:$D$33)&gt;0,(D14-MIN($D$4:$D$33))/(MAX($D$4:$D$33)-MIN($D$4:$D$33))*100,0),0)</f>
        <v>0</v>
      </c>
      <c r="G14" s="12" t="n">
        <f aca="false">IFERROR(RANK(F14,$F$4:$F$33,0),"")</f>
        <v>1</v>
      </c>
    </row>
    <row r="15" customFormat="false" ht="15" hidden="false" customHeight="true" outlineLevel="0" collapsed="false">
      <c r="A15" s="5" t="n">
        <v>12</v>
      </c>
      <c r="B15" s="24"/>
      <c r="C15" s="24"/>
      <c r="D15" s="56" t="n">
        <f aca="false">'1. FWCI Summary'!G15</f>
        <v>0</v>
      </c>
      <c r="E15" s="51" t="n">
        <f aca="false">IFERROR((D15-AVERAGE($D$4:$D$33))/STDEV($D$4:$D$33),0)</f>
        <v>0</v>
      </c>
      <c r="F15" s="59" t="n">
        <f aca="false">IFERROR(IF(MAX($D$4:$D$33)-MIN($D$4:$D$33)&gt;0,(D15-MIN($D$4:$D$33))/(MAX($D$4:$D$33)-MIN($D$4:$D$33))*100,0),0)</f>
        <v>0</v>
      </c>
      <c r="G15" s="8" t="n">
        <f aca="false">IFERROR(RANK(F15,$F$4:$F$33,0),"")</f>
        <v>1</v>
      </c>
    </row>
    <row r="16" customFormat="false" ht="15" hidden="false" customHeight="true" outlineLevel="0" collapsed="false">
      <c r="A16" s="9" t="n">
        <v>13</v>
      </c>
      <c r="B16" s="21"/>
      <c r="C16" s="21"/>
      <c r="D16" s="55" t="n">
        <f aca="false">'1. FWCI Summary'!G16</f>
        <v>0</v>
      </c>
      <c r="E16" s="50" t="n">
        <f aca="false">IFERROR((D16-AVERAGE($D$4:$D$33))/STDEV($D$4:$D$33),0)</f>
        <v>0</v>
      </c>
      <c r="F16" s="58" t="n">
        <f aca="false">IFERROR(IF(MAX($D$4:$D$33)-MIN($D$4:$D$33)&gt;0,(D16-MIN($D$4:$D$33))/(MAX($D$4:$D$33)-MIN($D$4:$D$33))*100,0),0)</f>
        <v>0</v>
      </c>
      <c r="G16" s="12" t="n">
        <f aca="false">IFERROR(RANK(F16,$F$4:$F$33,0),"")</f>
        <v>1</v>
      </c>
    </row>
    <row r="17" customFormat="false" ht="15" hidden="false" customHeight="true" outlineLevel="0" collapsed="false">
      <c r="A17" s="5" t="n">
        <v>14</v>
      </c>
      <c r="B17" s="24"/>
      <c r="C17" s="24"/>
      <c r="D17" s="56" t="n">
        <f aca="false">'1. FWCI Summary'!G17</f>
        <v>0</v>
      </c>
      <c r="E17" s="51" t="n">
        <f aca="false">IFERROR((D17-AVERAGE($D$4:$D$33))/STDEV($D$4:$D$33),0)</f>
        <v>0</v>
      </c>
      <c r="F17" s="59" t="n">
        <f aca="false">IFERROR(IF(MAX($D$4:$D$33)-MIN($D$4:$D$33)&gt;0,(D17-MIN($D$4:$D$33))/(MAX($D$4:$D$33)-MIN($D$4:$D$33))*100,0),0)</f>
        <v>0</v>
      </c>
      <c r="G17" s="8" t="n">
        <f aca="false">IFERROR(RANK(F17,$F$4:$F$33,0),"")</f>
        <v>1</v>
      </c>
    </row>
    <row r="18" customFormat="false" ht="15" hidden="false" customHeight="true" outlineLevel="0" collapsed="false">
      <c r="A18" s="9" t="n">
        <v>15</v>
      </c>
      <c r="B18" s="21"/>
      <c r="C18" s="21"/>
      <c r="D18" s="55" t="n">
        <f aca="false">'1. FWCI Summary'!G18</f>
        <v>0</v>
      </c>
      <c r="E18" s="50" t="n">
        <f aca="false">IFERROR((D18-AVERAGE($D$4:$D$33))/STDEV($D$4:$D$33),0)</f>
        <v>0</v>
      </c>
      <c r="F18" s="58" t="n">
        <f aca="false">IFERROR(IF(MAX($D$4:$D$33)-MIN($D$4:$D$33)&gt;0,(D18-MIN($D$4:$D$33))/(MAX($D$4:$D$33)-MIN($D$4:$D$33))*100,0),0)</f>
        <v>0</v>
      </c>
      <c r="G18" s="12" t="n">
        <f aca="false">IFERROR(RANK(F18,$F$4:$F$33,0),"")</f>
        <v>1</v>
      </c>
    </row>
    <row r="19" customFormat="false" ht="15" hidden="false" customHeight="true" outlineLevel="0" collapsed="false">
      <c r="A19" s="5" t="n">
        <v>16</v>
      </c>
      <c r="B19" s="24"/>
      <c r="C19" s="24"/>
      <c r="D19" s="56" t="n">
        <f aca="false">'1. FWCI Summary'!G19</f>
        <v>0</v>
      </c>
      <c r="E19" s="51" t="n">
        <f aca="false">IFERROR((D19-AVERAGE($D$4:$D$33))/STDEV($D$4:$D$33),0)</f>
        <v>0</v>
      </c>
      <c r="F19" s="59" t="n">
        <f aca="false">IFERROR(IF(MAX($D$4:$D$33)-MIN($D$4:$D$33)&gt;0,(D19-MIN($D$4:$D$33))/(MAX($D$4:$D$33)-MIN($D$4:$D$33))*100,0),0)</f>
        <v>0</v>
      </c>
      <c r="G19" s="8" t="n">
        <f aca="false">IFERROR(RANK(F19,$F$4:$F$33,0),"")</f>
        <v>1</v>
      </c>
    </row>
    <row r="20" customFormat="false" ht="15" hidden="false" customHeight="true" outlineLevel="0" collapsed="false">
      <c r="A20" s="9" t="n">
        <v>17</v>
      </c>
      <c r="B20" s="21"/>
      <c r="C20" s="21"/>
      <c r="D20" s="55" t="n">
        <f aca="false">'1. FWCI Summary'!G20</f>
        <v>0</v>
      </c>
      <c r="E20" s="50" t="n">
        <f aca="false">IFERROR((D20-AVERAGE($D$4:$D$33))/STDEV($D$4:$D$33),0)</f>
        <v>0</v>
      </c>
      <c r="F20" s="58" t="n">
        <f aca="false">IFERROR(IF(MAX($D$4:$D$33)-MIN($D$4:$D$33)&gt;0,(D20-MIN($D$4:$D$33))/(MAX($D$4:$D$33)-MIN($D$4:$D$33))*100,0),0)</f>
        <v>0</v>
      </c>
      <c r="G20" s="12" t="n">
        <f aca="false">IFERROR(RANK(F20,$F$4:$F$33,0),"")</f>
        <v>1</v>
      </c>
    </row>
    <row r="21" customFormat="false" ht="15" hidden="false" customHeight="true" outlineLevel="0" collapsed="false">
      <c r="A21" s="5" t="n">
        <v>18</v>
      </c>
      <c r="B21" s="24"/>
      <c r="C21" s="24"/>
      <c r="D21" s="56" t="n">
        <f aca="false">'1. FWCI Summary'!G21</f>
        <v>0</v>
      </c>
      <c r="E21" s="51" t="n">
        <f aca="false">IFERROR((D21-AVERAGE($D$4:$D$33))/STDEV($D$4:$D$33),0)</f>
        <v>0</v>
      </c>
      <c r="F21" s="59" t="n">
        <f aca="false">IFERROR(IF(MAX($D$4:$D$33)-MIN($D$4:$D$33)&gt;0,(D21-MIN($D$4:$D$33))/(MAX($D$4:$D$33)-MIN($D$4:$D$33))*100,0),0)</f>
        <v>0</v>
      </c>
      <c r="G21" s="8" t="n">
        <f aca="false">IFERROR(RANK(F21,$F$4:$F$33,0),"")</f>
        <v>1</v>
      </c>
    </row>
    <row r="22" customFormat="false" ht="15" hidden="false" customHeight="true" outlineLevel="0" collapsed="false">
      <c r="A22" s="9" t="n">
        <v>19</v>
      </c>
      <c r="B22" s="21"/>
      <c r="C22" s="21"/>
      <c r="D22" s="55" t="n">
        <f aca="false">'1. FWCI Summary'!G22</f>
        <v>0</v>
      </c>
      <c r="E22" s="50" t="n">
        <f aca="false">IFERROR((D22-AVERAGE($D$4:$D$33))/STDEV($D$4:$D$33),0)</f>
        <v>0</v>
      </c>
      <c r="F22" s="58" t="n">
        <f aca="false">IFERROR(IF(MAX($D$4:$D$33)-MIN($D$4:$D$33)&gt;0,(D22-MIN($D$4:$D$33))/(MAX($D$4:$D$33)-MIN($D$4:$D$33))*100,0),0)</f>
        <v>0</v>
      </c>
      <c r="G22" s="12" t="n">
        <f aca="false">IFERROR(RANK(F22,$F$4:$F$33,0),"")</f>
        <v>1</v>
      </c>
    </row>
    <row r="23" customFormat="false" ht="15" hidden="false" customHeight="true" outlineLevel="0" collapsed="false">
      <c r="A23" s="5" t="n">
        <v>20</v>
      </c>
      <c r="B23" s="24"/>
      <c r="C23" s="24"/>
      <c r="D23" s="56" t="n">
        <f aca="false">'1. FWCI Summary'!G23</f>
        <v>0</v>
      </c>
      <c r="E23" s="51" t="n">
        <f aca="false">IFERROR((D23-AVERAGE($D$4:$D$33))/STDEV($D$4:$D$33),0)</f>
        <v>0</v>
      </c>
      <c r="F23" s="59" t="n">
        <f aca="false">IFERROR(IF(MAX($D$4:$D$33)-MIN($D$4:$D$33)&gt;0,(D23-MIN($D$4:$D$33))/(MAX($D$4:$D$33)-MIN($D$4:$D$33))*100,0),0)</f>
        <v>0</v>
      </c>
      <c r="G23" s="8" t="n">
        <f aca="false">IFERROR(RANK(F23,$F$4:$F$33,0),"")</f>
        <v>1</v>
      </c>
    </row>
    <row r="24" customFormat="false" ht="15" hidden="false" customHeight="true" outlineLevel="0" collapsed="false">
      <c r="A24" s="9" t="n">
        <v>21</v>
      </c>
      <c r="B24" s="21"/>
      <c r="C24" s="21"/>
      <c r="D24" s="55" t="n">
        <f aca="false">'1. FWCI Summary'!G24</f>
        <v>0</v>
      </c>
      <c r="E24" s="50" t="n">
        <f aca="false">IFERROR((D24-AVERAGE($D$4:$D$33))/STDEV($D$4:$D$33),0)</f>
        <v>0</v>
      </c>
      <c r="F24" s="58" t="n">
        <f aca="false">IFERROR(IF(MAX($D$4:$D$33)-MIN($D$4:$D$33)&gt;0,(D24-MIN($D$4:$D$33))/(MAX($D$4:$D$33)-MIN($D$4:$D$33))*100,0),0)</f>
        <v>0</v>
      </c>
      <c r="G24" s="12" t="n">
        <f aca="false">IFERROR(RANK(F24,$F$4:$F$33,0),"")</f>
        <v>1</v>
      </c>
    </row>
    <row r="25" customFormat="false" ht="15" hidden="false" customHeight="true" outlineLevel="0" collapsed="false">
      <c r="A25" s="5" t="n">
        <v>22</v>
      </c>
      <c r="B25" s="24"/>
      <c r="C25" s="24"/>
      <c r="D25" s="56" t="n">
        <f aca="false">'1. FWCI Summary'!G25</f>
        <v>0</v>
      </c>
      <c r="E25" s="51" t="n">
        <f aca="false">IFERROR((D25-AVERAGE($D$4:$D$33))/STDEV($D$4:$D$33),0)</f>
        <v>0</v>
      </c>
      <c r="F25" s="59" t="n">
        <f aca="false">IFERROR(IF(MAX($D$4:$D$33)-MIN($D$4:$D$33)&gt;0,(D25-MIN($D$4:$D$33))/(MAX($D$4:$D$33)-MIN($D$4:$D$33))*100,0),0)</f>
        <v>0</v>
      </c>
      <c r="G25" s="8" t="n">
        <f aca="false">IFERROR(RANK(F25,$F$4:$F$33,0),"")</f>
        <v>1</v>
      </c>
    </row>
    <row r="26" customFormat="false" ht="15" hidden="false" customHeight="true" outlineLevel="0" collapsed="false">
      <c r="A26" s="9" t="n">
        <v>23</v>
      </c>
      <c r="B26" s="21"/>
      <c r="C26" s="21"/>
      <c r="D26" s="55" t="n">
        <f aca="false">'1. FWCI Summary'!G26</f>
        <v>0</v>
      </c>
      <c r="E26" s="50" t="n">
        <f aca="false">IFERROR((D26-AVERAGE($D$4:$D$33))/STDEV($D$4:$D$33),0)</f>
        <v>0</v>
      </c>
      <c r="F26" s="58" t="n">
        <f aca="false">IFERROR(IF(MAX($D$4:$D$33)-MIN($D$4:$D$33)&gt;0,(D26-MIN($D$4:$D$33))/(MAX($D$4:$D$33)-MIN($D$4:$D$33))*100,0),0)</f>
        <v>0</v>
      </c>
      <c r="G26" s="12" t="n">
        <f aca="false">IFERROR(RANK(F26,$F$4:$F$33,0),"")</f>
        <v>1</v>
      </c>
    </row>
    <row r="27" customFormat="false" ht="15" hidden="false" customHeight="true" outlineLevel="0" collapsed="false">
      <c r="A27" s="5" t="n">
        <v>24</v>
      </c>
      <c r="B27" s="24"/>
      <c r="C27" s="24"/>
      <c r="D27" s="56" t="n">
        <f aca="false">'1. FWCI Summary'!G27</f>
        <v>0</v>
      </c>
      <c r="E27" s="51" t="n">
        <f aca="false">IFERROR((D27-AVERAGE($D$4:$D$33))/STDEV($D$4:$D$33),0)</f>
        <v>0</v>
      </c>
      <c r="F27" s="59" t="n">
        <f aca="false">IFERROR(IF(MAX($D$4:$D$33)-MIN($D$4:$D$33)&gt;0,(D27-MIN($D$4:$D$33))/(MAX($D$4:$D$33)-MIN($D$4:$D$33))*100,0),0)</f>
        <v>0</v>
      </c>
      <c r="G27" s="8" t="n">
        <f aca="false">IFERROR(RANK(F27,$F$4:$F$33,0),"")</f>
        <v>1</v>
      </c>
    </row>
    <row r="28" customFormat="false" ht="15" hidden="false" customHeight="true" outlineLevel="0" collapsed="false">
      <c r="A28" s="9" t="n">
        <v>25</v>
      </c>
      <c r="B28" s="21"/>
      <c r="C28" s="21"/>
      <c r="D28" s="55" t="n">
        <f aca="false">'1. FWCI Summary'!G28</f>
        <v>0</v>
      </c>
      <c r="E28" s="50" t="n">
        <f aca="false">IFERROR((D28-AVERAGE($D$4:$D$33))/STDEV($D$4:$D$33),0)</f>
        <v>0</v>
      </c>
      <c r="F28" s="58" t="n">
        <f aca="false">IFERROR(IF(MAX($D$4:$D$33)-MIN($D$4:$D$33)&gt;0,(D28-MIN($D$4:$D$33))/(MAX($D$4:$D$33)-MIN($D$4:$D$33))*100,0),0)</f>
        <v>0</v>
      </c>
      <c r="G28" s="12" t="n">
        <f aca="false">IFERROR(RANK(F28,$F$4:$F$33,0),"")</f>
        <v>1</v>
      </c>
    </row>
    <row r="29" customFormat="false" ht="15" hidden="false" customHeight="true" outlineLevel="0" collapsed="false">
      <c r="A29" s="5" t="n">
        <v>26</v>
      </c>
      <c r="B29" s="24"/>
      <c r="C29" s="24"/>
      <c r="D29" s="56" t="n">
        <f aca="false">'1. FWCI Summary'!G29</f>
        <v>0</v>
      </c>
      <c r="E29" s="51" t="n">
        <f aca="false">IFERROR((D29-AVERAGE($D$4:$D$33))/STDEV($D$4:$D$33),0)</f>
        <v>0</v>
      </c>
      <c r="F29" s="59" t="n">
        <f aca="false">IFERROR(IF(MAX($D$4:$D$33)-MIN($D$4:$D$33)&gt;0,(D29-MIN($D$4:$D$33))/(MAX($D$4:$D$33)-MIN($D$4:$D$33))*100,0),0)</f>
        <v>0</v>
      </c>
      <c r="G29" s="8" t="n">
        <f aca="false">IFERROR(RANK(F29,$F$4:$F$33,0),"")</f>
        <v>1</v>
      </c>
    </row>
    <row r="30" customFormat="false" ht="15" hidden="false" customHeight="true" outlineLevel="0" collapsed="false">
      <c r="A30" s="9" t="n">
        <v>27</v>
      </c>
      <c r="B30" s="21"/>
      <c r="C30" s="21"/>
      <c r="D30" s="55" t="n">
        <f aca="false">'1. FWCI Summary'!G30</f>
        <v>0</v>
      </c>
      <c r="E30" s="50" t="n">
        <f aca="false">IFERROR((D30-AVERAGE($D$4:$D$33))/STDEV($D$4:$D$33),0)</f>
        <v>0</v>
      </c>
      <c r="F30" s="58" t="n">
        <f aca="false">IFERROR(IF(MAX($D$4:$D$33)-MIN($D$4:$D$33)&gt;0,(D30-MIN($D$4:$D$33))/(MAX($D$4:$D$33)-MIN($D$4:$D$33))*100,0),0)</f>
        <v>0</v>
      </c>
      <c r="G30" s="12" t="n">
        <f aca="false">IFERROR(RANK(F30,$F$4:$F$33,0),"")</f>
        <v>1</v>
      </c>
    </row>
    <row r="31" customFormat="false" ht="15" hidden="false" customHeight="true" outlineLevel="0" collapsed="false">
      <c r="A31" s="5" t="n">
        <v>28</v>
      </c>
      <c r="B31" s="24"/>
      <c r="C31" s="24"/>
      <c r="D31" s="56" t="n">
        <f aca="false">'1. FWCI Summary'!G31</f>
        <v>0</v>
      </c>
      <c r="E31" s="51" t="n">
        <f aca="false">IFERROR((D31-AVERAGE($D$4:$D$33))/STDEV($D$4:$D$33),0)</f>
        <v>0</v>
      </c>
      <c r="F31" s="59" t="n">
        <f aca="false">IFERROR(IF(MAX($D$4:$D$33)-MIN($D$4:$D$33)&gt;0,(D31-MIN($D$4:$D$33))/(MAX($D$4:$D$33)-MIN($D$4:$D$33))*100,0),0)</f>
        <v>0</v>
      </c>
      <c r="G31" s="8" t="n">
        <f aca="false">IFERROR(RANK(F31,$F$4:$F$33,0),"")</f>
        <v>1</v>
      </c>
    </row>
    <row r="32" customFormat="false" ht="15" hidden="false" customHeight="true" outlineLevel="0" collapsed="false">
      <c r="A32" s="9" t="n">
        <v>29</v>
      </c>
      <c r="B32" s="21"/>
      <c r="C32" s="21"/>
      <c r="D32" s="55" t="n">
        <f aca="false">'1. FWCI Summary'!G32</f>
        <v>0</v>
      </c>
      <c r="E32" s="50" t="n">
        <f aca="false">IFERROR((D32-AVERAGE($D$4:$D$33))/STDEV($D$4:$D$33),0)</f>
        <v>0</v>
      </c>
      <c r="F32" s="58" t="n">
        <f aca="false">IFERROR(IF(MAX($D$4:$D$33)-MIN($D$4:$D$33)&gt;0,(D32-MIN($D$4:$D$33))/(MAX($D$4:$D$33)-MIN($D$4:$D$33))*100,0),0)</f>
        <v>0</v>
      </c>
      <c r="G32" s="12" t="n">
        <f aca="false">IFERROR(RANK(F32,$F$4:$F$33,0),"")</f>
        <v>1</v>
      </c>
    </row>
    <row r="33" customFormat="false" ht="15" hidden="false" customHeight="true" outlineLevel="0" collapsed="false">
      <c r="A33" s="5" t="n">
        <v>30</v>
      </c>
      <c r="B33" s="24"/>
      <c r="C33" s="24"/>
      <c r="D33" s="56" t="n">
        <f aca="false">'1. FWCI Summary'!G33</f>
        <v>0</v>
      </c>
      <c r="E33" s="51" t="n">
        <f aca="false">IFERROR((D33-AVERAGE($D$4:$D$33))/STDEV($D$4:$D$33),0)</f>
        <v>0</v>
      </c>
      <c r="F33" s="59" t="n">
        <f aca="false">IFERROR(IF(MAX($D$4:$D$33)-MIN($D$4:$D$33)&gt;0,(D33-MIN($D$4:$D$33))/(MAX($D$4:$D$33)-MIN($D$4:$D$33))*100,0),0)</f>
        <v>0</v>
      </c>
      <c r="G33" s="8" t="n">
        <f aca="false">IFERROR(RANK(F33,$F$4:$F$33,0),"")</f>
        <v>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4" min="4" style="1" width="20"/>
    <col collapsed="false" customWidth="true" hidden="false" outlineLevel="0" max="5" min="5" style="1" width="22"/>
    <col collapsed="false" customWidth="true" hidden="false" outlineLevel="0" max="6" min="6" style="1" width="18"/>
    <col collapsed="false" customWidth="true" hidden="false" outlineLevel="0" max="7" min="7" style="1" width="14"/>
  </cols>
  <sheetData>
    <row r="1" customFormat="false" ht="33.75" hidden="false" customHeight="true" outlineLevel="0" collapsed="false">
      <c r="A1" s="60" t="s">
        <v>154</v>
      </c>
      <c r="B1" s="60"/>
      <c r="C1" s="60"/>
      <c r="D1" s="60"/>
      <c r="E1" s="60"/>
      <c r="F1" s="60"/>
      <c r="G1" s="60"/>
    </row>
    <row r="3" customFormat="false" ht="15" hidden="false" customHeight="true" outlineLevel="0" collapsed="false">
      <c r="A3" s="61" t="s">
        <v>2</v>
      </c>
      <c r="B3" s="61" t="s">
        <v>75</v>
      </c>
      <c r="C3" s="61" t="s">
        <v>155</v>
      </c>
      <c r="D3" s="61" t="s">
        <v>156</v>
      </c>
      <c r="E3" s="61" t="s">
        <v>157</v>
      </c>
      <c r="F3" s="61" t="s">
        <v>158</v>
      </c>
      <c r="G3" s="61" t="s">
        <v>159</v>
      </c>
    </row>
    <row r="4" customFormat="false" ht="23.25" hidden="false" customHeight="true" outlineLevel="0" collapsed="false">
      <c r="A4" s="9" t="n">
        <v>1</v>
      </c>
      <c r="B4" s="21"/>
      <c r="C4" s="11" t="s">
        <v>160</v>
      </c>
      <c r="D4" s="12" t="s">
        <v>161</v>
      </c>
      <c r="E4" s="21"/>
      <c r="F4" s="21"/>
      <c r="G4" s="21"/>
    </row>
    <row r="5" customFormat="false" ht="23.25" hidden="false" customHeight="true" outlineLevel="0" collapsed="false">
      <c r="A5" s="5" t="n">
        <v>2</v>
      </c>
      <c r="B5" s="24"/>
      <c r="C5" s="7" t="s">
        <v>162</v>
      </c>
      <c r="D5" s="8" t="s">
        <v>161</v>
      </c>
      <c r="E5" s="24"/>
      <c r="F5" s="24"/>
      <c r="G5" s="24"/>
    </row>
    <row r="6" customFormat="false" ht="23.25" hidden="false" customHeight="true" outlineLevel="0" collapsed="false">
      <c r="A6" s="9" t="n">
        <v>3</v>
      </c>
      <c r="B6" s="21"/>
      <c r="C6" s="11" t="s">
        <v>163</v>
      </c>
      <c r="D6" s="12" t="s">
        <v>161</v>
      </c>
      <c r="E6" s="21"/>
      <c r="F6" s="21"/>
      <c r="G6" s="21"/>
    </row>
    <row r="7" customFormat="false" ht="23.25" hidden="false" customHeight="true" outlineLevel="0" collapsed="false">
      <c r="A7" s="5" t="n">
        <v>4</v>
      </c>
      <c r="B7" s="24"/>
      <c r="C7" s="7" t="s">
        <v>164</v>
      </c>
      <c r="D7" s="8" t="s">
        <v>161</v>
      </c>
      <c r="E7" s="24"/>
      <c r="F7" s="24"/>
      <c r="G7" s="24"/>
    </row>
    <row r="8" customFormat="false" ht="23.25" hidden="false" customHeight="true" outlineLevel="0" collapsed="false">
      <c r="A8" s="9" t="n">
        <v>5</v>
      </c>
      <c r="B8" s="21"/>
      <c r="C8" s="11" t="s">
        <v>165</v>
      </c>
      <c r="D8" s="12" t="s">
        <v>166</v>
      </c>
      <c r="E8" s="21"/>
      <c r="F8" s="21"/>
      <c r="G8" s="21"/>
    </row>
    <row r="9" customFormat="false" ht="23.25" hidden="false" customHeight="true" outlineLevel="0" collapsed="false">
      <c r="A9" s="5" t="n">
        <v>6</v>
      </c>
      <c r="B9" s="24"/>
      <c r="C9" s="7" t="s">
        <v>167</v>
      </c>
      <c r="D9" s="8" t="s">
        <v>166</v>
      </c>
      <c r="E9" s="24"/>
      <c r="F9" s="24"/>
      <c r="G9" s="24"/>
    </row>
    <row r="10" customFormat="false" ht="23.25" hidden="false" customHeight="true" outlineLevel="0" collapsed="false">
      <c r="A10" s="9" t="n">
        <v>7</v>
      </c>
      <c r="B10" s="21"/>
      <c r="C10" s="11" t="s">
        <v>168</v>
      </c>
      <c r="D10" s="12" t="s">
        <v>166</v>
      </c>
      <c r="E10" s="21"/>
      <c r="F10" s="21"/>
      <c r="G10" s="21"/>
    </row>
    <row r="11" customFormat="false" ht="23.25" hidden="false" customHeight="true" outlineLevel="0" collapsed="false">
      <c r="A11" s="5" t="n">
        <v>8</v>
      </c>
      <c r="B11" s="24"/>
      <c r="C11" s="7" t="s">
        <v>169</v>
      </c>
      <c r="D11" s="8" t="s">
        <v>166</v>
      </c>
      <c r="E11" s="24"/>
      <c r="F11" s="24"/>
      <c r="G11" s="24"/>
    </row>
    <row r="12" customFormat="false" ht="23.25" hidden="false" customHeight="true" outlineLevel="0" collapsed="false">
      <c r="A12" s="9" t="n">
        <v>9</v>
      </c>
      <c r="B12" s="21"/>
      <c r="C12" s="11" t="s">
        <v>170</v>
      </c>
      <c r="D12" s="12" t="s">
        <v>166</v>
      </c>
      <c r="E12" s="21"/>
      <c r="F12" s="21"/>
      <c r="G12" s="21"/>
    </row>
    <row r="13" customFormat="false" ht="23.25" hidden="false" customHeight="true" outlineLevel="0" collapsed="false">
      <c r="A13" s="5" t="n">
        <v>10</v>
      </c>
      <c r="B13" s="24"/>
      <c r="C13" s="7" t="s">
        <v>171</v>
      </c>
      <c r="D13" s="8" t="s">
        <v>166</v>
      </c>
      <c r="E13" s="24"/>
      <c r="F13" s="24"/>
      <c r="G13" s="24"/>
    </row>
    <row r="14" customFormat="false" ht="23.25" hidden="false" customHeight="true" outlineLevel="0" collapsed="false">
      <c r="A14" s="9" t="n">
        <v>11</v>
      </c>
      <c r="B14" s="21"/>
      <c r="C14" s="11" t="s">
        <v>172</v>
      </c>
      <c r="D14" s="12" t="s">
        <v>173</v>
      </c>
      <c r="E14" s="21"/>
      <c r="F14" s="21"/>
      <c r="G14" s="21"/>
    </row>
    <row r="15" customFormat="false" ht="23.25" hidden="false" customHeight="true" outlineLevel="0" collapsed="false">
      <c r="A15" s="5" t="n">
        <v>12</v>
      </c>
      <c r="B15" s="24"/>
      <c r="C15" s="7" t="s">
        <v>174</v>
      </c>
      <c r="D15" s="8" t="s">
        <v>173</v>
      </c>
      <c r="E15" s="24"/>
      <c r="F15" s="24"/>
      <c r="G15" s="24"/>
    </row>
    <row r="16" customFormat="false" ht="15" hidden="false" customHeight="true" outlineLevel="0" collapsed="false">
      <c r="A16" s="9" t="n">
        <v>13</v>
      </c>
      <c r="B16" s="21"/>
      <c r="C16" s="11" t="s">
        <v>175</v>
      </c>
      <c r="D16" s="12" t="s">
        <v>173</v>
      </c>
      <c r="E16" s="21"/>
      <c r="F16" s="21"/>
      <c r="G16" s="21"/>
    </row>
    <row r="17" customFormat="false" ht="23.25" hidden="false" customHeight="true" outlineLevel="0" collapsed="false">
      <c r="A17" s="5" t="n">
        <v>14</v>
      </c>
      <c r="B17" s="24"/>
      <c r="C17" s="7" t="s">
        <v>176</v>
      </c>
      <c r="D17" s="8" t="s">
        <v>173</v>
      </c>
      <c r="E17" s="24"/>
      <c r="F17" s="24"/>
      <c r="G17" s="24"/>
    </row>
    <row r="19" customFormat="false" ht="25.5" hidden="false" customHeight="true" outlineLevel="0" collapsed="false">
      <c r="A19" s="13" t="s">
        <v>177</v>
      </c>
      <c r="B19" s="13"/>
      <c r="C19" s="13"/>
      <c r="D19" s="13"/>
      <c r="E19" s="13"/>
      <c r="F19" s="13"/>
      <c r="G19" s="13"/>
    </row>
    <row r="20" customFormat="false" ht="15" hidden="false" customHeight="true" outlineLevel="0" collapsed="false">
      <c r="A20" s="27" t="s">
        <v>178</v>
      </c>
      <c r="B20" s="27"/>
      <c r="C20" s="27"/>
      <c r="D20" s="62" t="n">
        <f aca="false">COUNTIF(E4:E17,"Done")</f>
        <v>0</v>
      </c>
      <c r="E20" s="29"/>
      <c r="F20" s="29"/>
      <c r="G20" s="29"/>
    </row>
    <row r="21" customFormat="false" ht="15" hidden="false" customHeight="true" outlineLevel="0" collapsed="false">
      <c r="A21" s="27" t="s">
        <v>179</v>
      </c>
      <c r="B21" s="27"/>
      <c r="C21" s="27"/>
      <c r="D21" s="62" t="n">
        <f aca="false">COUNTIF(E4:E17,"IP")</f>
        <v>0</v>
      </c>
      <c r="E21" s="29"/>
      <c r="F21" s="29"/>
      <c r="G21" s="29"/>
    </row>
    <row r="22" customFormat="false" ht="15" hidden="false" customHeight="true" outlineLevel="0" collapsed="false">
      <c r="A22" s="27" t="s">
        <v>180</v>
      </c>
      <c r="B22" s="27"/>
      <c r="C22" s="27"/>
      <c r="D22" s="62" t="n">
        <f aca="false">IFERROR(COUNTIF(E4:E17,"Done")/14*100,0)</f>
        <v>0</v>
      </c>
      <c r="E22" s="29"/>
      <c r="F22" s="29"/>
      <c r="G22" s="29"/>
    </row>
  </sheetData>
  <mergeCells count="5">
    <mergeCell ref="A1:G1"/>
    <mergeCell ref="A19:G19"/>
    <mergeCell ref="A20:C20"/>
    <mergeCell ref="A21:C21"/>
    <mergeCell ref="A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6" min="3" style="1" width="14"/>
    <col collapsed="false" customWidth="true" hidden="false" outlineLevel="0" max="7" min="7" style="1" width="18"/>
    <col collapsed="false" customWidth="true" hidden="false" outlineLevel="0" max="8" min="8" style="1" width="22"/>
  </cols>
  <sheetData>
    <row r="1" customFormat="false" ht="33.75" hidden="false" customHeight="true" outlineLevel="0" collapsed="false">
      <c r="A1" s="63" t="s">
        <v>181</v>
      </c>
      <c r="B1" s="63"/>
      <c r="C1" s="63"/>
      <c r="D1" s="63"/>
      <c r="E1" s="63"/>
      <c r="F1" s="63"/>
      <c r="G1" s="63"/>
      <c r="H1" s="63"/>
    </row>
    <row r="3" customFormat="false" ht="15" hidden="false" customHeight="true" outlineLevel="0" collapsed="false">
      <c r="A3" s="64" t="s">
        <v>74</v>
      </c>
      <c r="B3" s="64" t="s">
        <v>182</v>
      </c>
      <c r="C3" s="64" t="s">
        <v>134</v>
      </c>
      <c r="D3" s="64" t="s">
        <v>118</v>
      </c>
      <c r="E3" s="64" t="s">
        <v>119</v>
      </c>
      <c r="F3" s="64" t="s">
        <v>183</v>
      </c>
      <c r="G3" s="64" t="s">
        <v>184</v>
      </c>
      <c r="H3" s="64" t="s">
        <v>185</v>
      </c>
    </row>
    <row r="4" customFormat="false" ht="15" hidden="false" customHeight="true" outlineLevel="0" collapsed="false">
      <c r="A4" s="18" t="n">
        <v>1</v>
      </c>
      <c r="B4" s="16" t="s">
        <v>186</v>
      </c>
      <c r="C4" s="65"/>
      <c r="D4" s="65"/>
      <c r="E4" s="65"/>
      <c r="F4" s="65"/>
      <c r="G4" s="65"/>
      <c r="H4" s="18" t="s">
        <v>187</v>
      </c>
    </row>
    <row r="5" customFormat="false" ht="15" hidden="false" customHeight="true" outlineLevel="0" collapsed="false">
      <c r="A5" s="5" t="n">
        <v>2</v>
      </c>
      <c r="B5" s="6" t="s">
        <v>188</v>
      </c>
      <c r="C5" s="24"/>
      <c r="D5" s="24"/>
      <c r="E5" s="24"/>
      <c r="F5" s="24"/>
      <c r="G5" s="24"/>
      <c r="H5" s="5" t="s">
        <v>189</v>
      </c>
    </row>
    <row r="6" customFormat="false" ht="15" hidden="false" customHeight="true" outlineLevel="0" collapsed="false">
      <c r="A6" s="9" t="n">
        <v>3</v>
      </c>
      <c r="B6" s="10" t="s">
        <v>190</v>
      </c>
      <c r="C6" s="21"/>
      <c r="D6" s="21"/>
      <c r="E6" s="21"/>
      <c r="F6" s="21"/>
      <c r="G6" s="21"/>
      <c r="H6" s="9" t="s">
        <v>191</v>
      </c>
    </row>
    <row r="7" customFormat="false" ht="15" hidden="false" customHeight="true" outlineLevel="0" collapsed="false">
      <c r="A7" s="5" t="n">
        <v>4</v>
      </c>
      <c r="B7" s="6" t="s">
        <v>192</v>
      </c>
      <c r="C7" s="24"/>
      <c r="D7" s="24"/>
      <c r="E7" s="24"/>
      <c r="F7" s="24"/>
      <c r="G7" s="24"/>
      <c r="H7" s="5" t="s">
        <v>193</v>
      </c>
    </row>
    <row r="8" customFormat="false" ht="15" hidden="false" customHeight="true" outlineLevel="0" collapsed="false">
      <c r="A8" s="9" t="n">
        <v>5</v>
      </c>
      <c r="B8" s="10" t="s">
        <v>194</v>
      </c>
      <c r="C8" s="21"/>
      <c r="D8" s="21"/>
      <c r="E8" s="21"/>
      <c r="F8" s="21"/>
      <c r="G8" s="21"/>
      <c r="H8" s="9" t="s">
        <v>195</v>
      </c>
    </row>
    <row r="9" customFormat="false" ht="15" hidden="false" customHeight="true" outlineLevel="0" collapsed="false">
      <c r="A9" s="5" t="n">
        <v>1</v>
      </c>
      <c r="B9" s="24"/>
      <c r="C9" s="24"/>
      <c r="D9" s="24"/>
      <c r="E9" s="24"/>
      <c r="F9" s="24"/>
      <c r="G9" s="24"/>
      <c r="H9" s="24"/>
    </row>
    <row r="10" customFormat="false" ht="15" hidden="false" customHeight="true" outlineLevel="0" collapsed="false">
      <c r="A10" s="9" t="n">
        <v>2</v>
      </c>
      <c r="B10" s="21"/>
      <c r="C10" s="21"/>
      <c r="D10" s="21"/>
      <c r="E10" s="21"/>
      <c r="F10" s="21"/>
      <c r="G10" s="21"/>
      <c r="H10" s="21"/>
    </row>
    <row r="11" customFormat="false" ht="15" hidden="false" customHeight="true" outlineLevel="0" collapsed="false">
      <c r="A11" s="5" t="n">
        <v>3</v>
      </c>
      <c r="B11" s="24"/>
      <c r="C11" s="24"/>
      <c r="D11" s="24"/>
      <c r="E11" s="24"/>
      <c r="F11" s="24"/>
      <c r="G11" s="24"/>
      <c r="H11" s="24"/>
    </row>
    <row r="12" customFormat="false" ht="15" hidden="false" customHeight="true" outlineLevel="0" collapsed="false">
      <c r="A12" s="9" t="n">
        <v>4</v>
      </c>
      <c r="B12" s="21"/>
      <c r="C12" s="21"/>
      <c r="D12" s="21"/>
      <c r="E12" s="21"/>
      <c r="F12" s="21"/>
      <c r="G12" s="21"/>
      <c r="H12" s="21"/>
    </row>
    <row r="13" customFormat="false" ht="15" hidden="false" customHeight="true" outlineLevel="0" collapsed="false">
      <c r="A13" s="5" t="n">
        <v>5</v>
      </c>
      <c r="B13" s="24"/>
      <c r="C13" s="24"/>
      <c r="D13" s="24"/>
      <c r="E13" s="24"/>
      <c r="F13" s="24"/>
      <c r="G13" s="24"/>
      <c r="H13" s="24"/>
    </row>
    <row r="14" customFormat="false" ht="15" hidden="false" customHeight="true" outlineLevel="0" collapsed="false">
      <c r="A14" s="9" t="n">
        <v>6</v>
      </c>
      <c r="B14" s="21"/>
      <c r="C14" s="21"/>
      <c r="D14" s="21"/>
      <c r="E14" s="21"/>
      <c r="F14" s="21"/>
      <c r="G14" s="21"/>
      <c r="H14" s="21"/>
    </row>
    <row r="15" customFormat="false" ht="15" hidden="false" customHeight="true" outlineLevel="0" collapsed="false">
      <c r="A15" s="5" t="n">
        <v>7</v>
      </c>
      <c r="B15" s="24"/>
      <c r="C15" s="24"/>
      <c r="D15" s="24"/>
      <c r="E15" s="24"/>
      <c r="F15" s="24"/>
      <c r="G15" s="24"/>
      <c r="H15" s="24"/>
    </row>
    <row r="16" customFormat="false" ht="15" hidden="false" customHeight="true" outlineLevel="0" collapsed="false">
      <c r="A16" s="9" t="n">
        <v>8</v>
      </c>
      <c r="B16" s="21"/>
      <c r="C16" s="21"/>
      <c r="D16" s="21"/>
      <c r="E16" s="21"/>
      <c r="F16" s="21"/>
      <c r="G16" s="21"/>
      <c r="H16" s="21"/>
    </row>
    <row r="17" customFormat="false" ht="15" hidden="false" customHeight="true" outlineLevel="0" collapsed="false">
      <c r="A17" s="5" t="n">
        <v>9</v>
      </c>
      <c r="B17" s="24"/>
      <c r="C17" s="24"/>
      <c r="D17" s="24"/>
      <c r="E17" s="24"/>
      <c r="F17" s="24"/>
      <c r="G17" s="24"/>
      <c r="H17" s="24"/>
    </row>
    <row r="18" customFormat="false" ht="15" hidden="false" customHeight="true" outlineLevel="0" collapsed="false">
      <c r="A18" s="9" t="n">
        <v>10</v>
      </c>
      <c r="B18" s="21"/>
      <c r="C18" s="21"/>
      <c r="D18" s="21"/>
      <c r="E18" s="21"/>
      <c r="F18" s="21"/>
      <c r="G18" s="21"/>
      <c r="H18" s="21"/>
    </row>
    <row r="19" customFormat="false" ht="15" hidden="false" customHeight="true" outlineLevel="0" collapsed="false">
      <c r="A19" s="5" t="n">
        <v>11</v>
      </c>
      <c r="B19" s="24"/>
      <c r="C19" s="24"/>
      <c r="D19" s="24"/>
      <c r="E19" s="24"/>
      <c r="F19" s="24"/>
      <c r="G19" s="24"/>
      <c r="H19" s="24"/>
    </row>
    <row r="20" customFormat="false" ht="15" hidden="false" customHeight="true" outlineLevel="0" collapsed="false">
      <c r="A20" s="9" t="n">
        <v>12</v>
      </c>
      <c r="B20" s="21"/>
      <c r="C20" s="21"/>
      <c r="D20" s="21"/>
      <c r="E20" s="21"/>
      <c r="F20" s="21"/>
      <c r="G20" s="21"/>
      <c r="H20" s="21"/>
    </row>
    <row r="21" customFormat="false" ht="15" hidden="false" customHeight="true" outlineLevel="0" collapsed="false">
      <c r="A21" s="5" t="n">
        <v>13</v>
      </c>
      <c r="B21" s="24"/>
      <c r="C21" s="24"/>
      <c r="D21" s="24"/>
      <c r="E21" s="24"/>
      <c r="F21" s="24"/>
      <c r="G21" s="24"/>
      <c r="H21" s="24"/>
    </row>
    <row r="22" customFormat="false" ht="15" hidden="false" customHeight="true" outlineLevel="0" collapsed="false">
      <c r="A22" s="9" t="n">
        <v>14</v>
      </c>
      <c r="B22" s="21"/>
      <c r="C22" s="21"/>
      <c r="D22" s="21"/>
      <c r="E22" s="21"/>
      <c r="F22" s="21"/>
      <c r="G22" s="21"/>
      <c r="H22" s="21"/>
    </row>
    <row r="23" customFormat="false" ht="15" hidden="false" customHeight="true" outlineLevel="0" collapsed="false">
      <c r="A23" s="5" t="n">
        <v>15</v>
      </c>
      <c r="B23" s="24"/>
      <c r="C23" s="24"/>
      <c r="D23" s="24"/>
      <c r="E23" s="24"/>
      <c r="F23" s="24"/>
      <c r="G23" s="24"/>
      <c r="H23" s="24"/>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16"/>
    <col collapsed="false" customWidth="true" hidden="false" outlineLevel="0" max="4" min="4" style="1" width="40"/>
    <col collapsed="false" customWidth="true" hidden="false" outlineLevel="0" max="5" min="5" style="1" width="30"/>
    <col collapsed="false" customWidth="true" hidden="false" outlineLevel="0" max="6" min="6" style="1" width="14"/>
  </cols>
  <sheetData>
    <row r="1" customFormat="false" ht="33.75" hidden="false" customHeight="true" outlineLevel="0" collapsed="false">
      <c r="A1" s="44" t="s">
        <v>196</v>
      </c>
      <c r="B1" s="44"/>
      <c r="C1" s="44"/>
      <c r="D1" s="44"/>
      <c r="E1" s="44"/>
      <c r="F1" s="44"/>
    </row>
    <row r="3" customFormat="false" ht="15" hidden="false" customHeight="true" outlineLevel="0" collapsed="false">
      <c r="A3" s="46" t="s">
        <v>2</v>
      </c>
      <c r="B3" s="46" t="s">
        <v>197</v>
      </c>
      <c r="C3" s="46" t="s">
        <v>198</v>
      </c>
      <c r="D3" s="46" t="s">
        <v>199</v>
      </c>
      <c r="E3" s="46" t="s">
        <v>200</v>
      </c>
      <c r="F3" s="46" t="s">
        <v>201</v>
      </c>
    </row>
    <row r="4" customFormat="false" ht="49.5" hidden="false" customHeight="true" outlineLevel="0" collapsed="false">
      <c r="A4" s="9" t="n">
        <v>1</v>
      </c>
      <c r="B4" s="10" t="s">
        <v>202</v>
      </c>
      <c r="C4" s="12" t="s">
        <v>203</v>
      </c>
      <c r="D4" s="11" t="s">
        <v>204</v>
      </c>
      <c r="E4" s="11" t="s">
        <v>205</v>
      </c>
      <c r="F4" s="21"/>
    </row>
    <row r="5" customFormat="false" ht="49.5" hidden="false" customHeight="true" outlineLevel="0" collapsed="false">
      <c r="A5" s="5" t="n">
        <v>2</v>
      </c>
      <c r="B5" s="6" t="s">
        <v>206</v>
      </c>
      <c r="C5" s="8" t="s">
        <v>207</v>
      </c>
      <c r="D5" s="7" t="s">
        <v>208</v>
      </c>
      <c r="E5" s="7" t="s">
        <v>209</v>
      </c>
      <c r="F5" s="24"/>
    </row>
    <row r="6" customFormat="false" ht="49.5" hidden="false" customHeight="true" outlineLevel="0" collapsed="false">
      <c r="A6" s="9" t="n">
        <v>3</v>
      </c>
      <c r="B6" s="10" t="s">
        <v>210</v>
      </c>
      <c r="C6" s="12" t="s">
        <v>203</v>
      </c>
      <c r="D6" s="11" t="s">
        <v>211</v>
      </c>
      <c r="E6" s="11" t="s">
        <v>212</v>
      </c>
      <c r="F6" s="21"/>
    </row>
    <row r="7" customFormat="false" ht="49.5" hidden="false" customHeight="true" outlineLevel="0" collapsed="false">
      <c r="A7" s="5" t="n">
        <v>4</v>
      </c>
      <c r="B7" s="6" t="s">
        <v>213</v>
      </c>
      <c r="C7" s="8" t="s">
        <v>203</v>
      </c>
      <c r="D7" s="7" t="s">
        <v>214</v>
      </c>
      <c r="E7" s="7" t="s">
        <v>215</v>
      </c>
      <c r="F7" s="24"/>
    </row>
    <row r="8" customFormat="false" ht="49.5" hidden="false" customHeight="true" outlineLevel="0" collapsed="false">
      <c r="A8" s="9" t="n">
        <v>5</v>
      </c>
      <c r="B8" s="10" t="s">
        <v>216</v>
      </c>
      <c r="C8" s="12" t="s">
        <v>207</v>
      </c>
      <c r="D8" s="11" t="s">
        <v>217</v>
      </c>
      <c r="E8" s="11" t="s">
        <v>218</v>
      </c>
      <c r="F8" s="21"/>
    </row>
    <row r="9" customFormat="false" ht="49.5" hidden="false" customHeight="true" outlineLevel="0" collapsed="false">
      <c r="A9" s="5" t="n">
        <v>6</v>
      </c>
      <c r="B9" s="6" t="s">
        <v>219</v>
      </c>
      <c r="C9" s="8" t="s">
        <v>207</v>
      </c>
      <c r="D9" s="7" t="s">
        <v>220</v>
      </c>
      <c r="E9" s="7" t="s">
        <v>221</v>
      </c>
      <c r="F9" s="24"/>
    </row>
    <row r="10" customFormat="false" ht="49.5" hidden="false" customHeight="true" outlineLevel="0" collapsed="false">
      <c r="A10" s="9" t="n">
        <v>7</v>
      </c>
      <c r="B10" s="10" t="s">
        <v>222</v>
      </c>
      <c r="C10" s="12" t="s">
        <v>223</v>
      </c>
      <c r="D10" s="11" t="s">
        <v>224</v>
      </c>
      <c r="E10" s="11" t="s">
        <v>225</v>
      </c>
      <c r="F10" s="21"/>
    </row>
    <row r="11" customFormat="false" ht="49.5" hidden="false" customHeight="true" outlineLevel="0" collapsed="false">
      <c r="A11" s="5" t="n">
        <v>8</v>
      </c>
      <c r="B11" s="6" t="s">
        <v>226</v>
      </c>
      <c r="C11" s="8" t="s">
        <v>207</v>
      </c>
      <c r="D11" s="7" t="s">
        <v>227</v>
      </c>
      <c r="E11" s="7" t="s">
        <v>228</v>
      </c>
      <c r="F11" s="24"/>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42"/>
    <col collapsed="false" customWidth="true" hidden="false" outlineLevel="0" max="5" min="4" style="1" width="16"/>
    <col collapsed="false" customWidth="true" hidden="false" outlineLevel="0" max="6" min="6" style="1" width="22"/>
  </cols>
  <sheetData>
    <row r="1" customFormat="false" ht="33.75" hidden="false" customHeight="true" outlineLevel="0" collapsed="false">
      <c r="A1" s="2" t="s">
        <v>229</v>
      </c>
      <c r="B1" s="2"/>
      <c r="C1" s="2"/>
      <c r="D1" s="2"/>
      <c r="E1" s="2"/>
      <c r="F1" s="2"/>
    </row>
    <row r="2" customFormat="false" ht="25.5" hidden="false" customHeight="true" outlineLevel="0" collapsed="false">
      <c r="A2" s="66" t="s">
        <v>230</v>
      </c>
      <c r="B2" s="66"/>
      <c r="C2" s="66"/>
      <c r="D2" s="66"/>
      <c r="E2" s="66"/>
      <c r="F2" s="66"/>
    </row>
    <row r="3" customFormat="false" ht="15" hidden="false" customHeight="true" outlineLevel="0" collapsed="false">
      <c r="A3" s="4" t="s">
        <v>2</v>
      </c>
      <c r="B3" s="4" t="s">
        <v>231</v>
      </c>
      <c r="C3" s="4" t="s">
        <v>232</v>
      </c>
      <c r="D3" s="4" t="s">
        <v>233</v>
      </c>
      <c r="E3" s="4" t="s">
        <v>234</v>
      </c>
      <c r="F3" s="4" t="s">
        <v>235</v>
      </c>
    </row>
    <row r="4" customFormat="false" ht="31.5" hidden="false" customHeight="true" outlineLevel="0" collapsed="false">
      <c r="A4" s="9" t="n">
        <v>1</v>
      </c>
      <c r="B4" s="10" t="s">
        <v>236</v>
      </c>
      <c r="C4" s="11" t="s">
        <v>237</v>
      </c>
      <c r="D4" s="21"/>
      <c r="E4" s="21"/>
      <c r="F4" s="21"/>
    </row>
    <row r="5" customFormat="false" ht="31.5" hidden="false" customHeight="true" outlineLevel="0" collapsed="false">
      <c r="A5" s="5" t="n">
        <v>2</v>
      </c>
      <c r="B5" s="6" t="s">
        <v>238</v>
      </c>
      <c r="C5" s="7" t="s">
        <v>239</v>
      </c>
      <c r="D5" s="24"/>
      <c r="E5" s="24"/>
      <c r="F5" s="24"/>
    </row>
    <row r="6" customFormat="false" ht="31.5" hidden="false" customHeight="true" outlineLevel="0" collapsed="false">
      <c r="A6" s="9" t="n">
        <v>3</v>
      </c>
      <c r="B6" s="10" t="s">
        <v>240</v>
      </c>
      <c r="C6" s="11" t="s">
        <v>241</v>
      </c>
      <c r="D6" s="21"/>
      <c r="E6" s="21"/>
      <c r="F6" s="21"/>
    </row>
    <row r="7" customFormat="false" ht="31.5" hidden="false" customHeight="true" outlineLevel="0" collapsed="false">
      <c r="A7" s="5" t="n">
        <v>4</v>
      </c>
      <c r="B7" s="6" t="s">
        <v>242</v>
      </c>
      <c r="C7" s="7" t="s">
        <v>243</v>
      </c>
      <c r="D7" s="24"/>
      <c r="E7" s="24"/>
      <c r="F7" s="24"/>
    </row>
    <row r="8" customFormat="false" ht="31.5" hidden="false" customHeight="true" outlineLevel="0" collapsed="false">
      <c r="A8" s="9" t="n">
        <v>5</v>
      </c>
      <c r="B8" s="10" t="s">
        <v>244</v>
      </c>
      <c r="C8" s="11" t="s">
        <v>245</v>
      </c>
      <c r="D8" s="21"/>
      <c r="E8" s="21"/>
      <c r="F8" s="21"/>
    </row>
    <row r="9" customFormat="false" ht="31.5" hidden="false" customHeight="true" outlineLevel="0" collapsed="false">
      <c r="A9" s="5" t="n">
        <v>6</v>
      </c>
      <c r="B9" s="6" t="s">
        <v>246</v>
      </c>
      <c r="C9" s="7" t="s">
        <v>247</v>
      </c>
      <c r="D9" s="24"/>
      <c r="E9" s="24"/>
      <c r="F9" s="24"/>
    </row>
    <row r="10" customFormat="false" ht="31.5" hidden="false" customHeight="true" outlineLevel="0" collapsed="false">
      <c r="A10" s="9" t="n">
        <v>7</v>
      </c>
      <c r="B10" s="10" t="s">
        <v>248</v>
      </c>
      <c r="C10" s="11" t="s">
        <v>249</v>
      </c>
      <c r="D10" s="21"/>
      <c r="E10" s="21"/>
      <c r="F10" s="21"/>
    </row>
    <row r="11" customFormat="false" ht="31.5" hidden="false" customHeight="true" outlineLevel="0" collapsed="false">
      <c r="A11" s="5" t="n">
        <v>8</v>
      </c>
      <c r="B11" s="6" t="s">
        <v>250</v>
      </c>
      <c r="C11" s="7" t="s">
        <v>251</v>
      </c>
      <c r="D11" s="24"/>
      <c r="E11" s="24"/>
      <c r="F11" s="24"/>
    </row>
    <row r="12" customFormat="false" ht="31.5" hidden="false" customHeight="true" outlineLevel="0" collapsed="false">
      <c r="A12" s="9" t="n">
        <v>9</v>
      </c>
      <c r="B12" s="10" t="s">
        <v>252</v>
      </c>
      <c r="C12" s="11" t="s">
        <v>253</v>
      </c>
      <c r="D12" s="21"/>
      <c r="E12" s="21"/>
      <c r="F12" s="21"/>
    </row>
    <row r="13" customFormat="false" ht="31.5" hidden="false" customHeight="true" outlineLevel="0" collapsed="false">
      <c r="A13" s="5" t="n">
        <v>10</v>
      </c>
      <c r="B13" s="6" t="s">
        <v>254</v>
      </c>
      <c r="C13" s="7" t="s">
        <v>255</v>
      </c>
      <c r="D13" s="24"/>
      <c r="E13" s="24"/>
      <c r="F13" s="24"/>
    </row>
    <row r="14" customFormat="false" ht="31.5" hidden="false" customHeight="true" outlineLevel="0" collapsed="false">
      <c r="A14" s="9" t="n">
        <v>11</v>
      </c>
      <c r="B14" s="10" t="s">
        <v>256</v>
      </c>
      <c r="C14" s="11" t="s">
        <v>257</v>
      </c>
      <c r="D14" s="21"/>
      <c r="E14" s="21"/>
      <c r="F14" s="21"/>
    </row>
    <row r="15" customFormat="false" ht="31.5" hidden="false" customHeight="true" outlineLevel="0" collapsed="false">
      <c r="A15" s="5" t="n">
        <v>12</v>
      </c>
      <c r="B15" s="6" t="s">
        <v>258</v>
      </c>
      <c r="C15" s="7" t="s">
        <v>259</v>
      </c>
      <c r="D15" s="24"/>
      <c r="E15" s="24"/>
      <c r="F15" s="24"/>
    </row>
    <row r="16" customFormat="false" ht="31.5" hidden="false" customHeight="true" outlineLevel="0" collapsed="false">
      <c r="A16" s="9" t="n">
        <v>13</v>
      </c>
      <c r="B16" s="10" t="s">
        <v>260</v>
      </c>
      <c r="C16" s="11" t="s">
        <v>261</v>
      </c>
      <c r="D16" s="21"/>
      <c r="E16" s="21"/>
      <c r="F16" s="21"/>
    </row>
    <row r="17" customFormat="false" ht="31.5" hidden="false" customHeight="true" outlineLevel="0" collapsed="false">
      <c r="A17" s="5" t="n">
        <v>14</v>
      </c>
      <c r="B17" s="6" t="s">
        <v>262</v>
      </c>
      <c r="C17" s="7" t="s">
        <v>263</v>
      </c>
      <c r="D17" s="24"/>
      <c r="E17" s="24"/>
      <c r="F17" s="24"/>
    </row>
    <row r="18" customFormat="false" ht="31.5" hidden="false" customHeight="true" outlineLevel="0" collapsed="false">
      <c r="A18" s="9" t="n">
        <v>15</v>
      </c>
      <c r="B18" s="10" t="s">
        <v>264</v>
      </c>
      <c r="C18" s="11" t="s">
        <v>265</v>
      </c>
      <c r="D18" s="21"/>
      <c r="E18" s="21"/>
      <c r="F18" s="21"/>
    </row>
    <row r="19" customFormat="false" ht="31.5" hidden="false" customHeight="true" outlineLevel="0" collapsed="false">
      <c r="A19" s="5" t="n">
        <v>16</v>
      </c>
      <c r="B19" s="6" t="s">
        <v>266</v>
      </c>
      <c r="C19" s="7" t="s">
        <v>267</v>
      </c>
      <c r="D19" s="24"/>
      <c r="E19" s="24"/>
      <c r="F19" s="24"/>
    </row>
    <row r="20" customFormat="false" ht="31.5" hidden="false" customHeight="true" outlineLevel="0" collapsed="false">
      <c r="A20" s="9" t="n">
        <v>17</v>
      </c>
      <c r="B20" s="10" t="s">
        <v>268</v>
      </c>
      <c r="C20" s="11" t="s">
        <v>269</v>
      </c>
      <c r="D20" s="21"/>
      <c r="E20" s="21"/>
      <c r="F20" s="21"/>
    </row>
    <row r="21" customFormat="false" ht="31.5" hidden="false" customHeight="true" outlineLevel="0" collapsed="false">
      <c r="A21" s="5" t="n">
        <v>18</v>
      </c>
      <c r="B21" s="6" t="s">
        <v>270</v>
      </c>
      <c r="C21" s="7" t="s">
        <v>271</v>
      </c>
      <c r="D21" s="24"/>
      <c r="E21" s="24"/>
      <c r="F21" s="24"/>
    </row>
    <row r="22" customFormat="false" ht="31.5" hidden="false" customHeight="true" outlineLevel="0" collapsed="false">
      <c r="A22" s="9" t="n">
        <v>19</v>
      </c>
      <c r="B22" s="10" t="s">
        <v>272</v>
      </c>
      <c r="C22" s="11" t="s">
        <v>273</v>
      </c>
      <c r="D22" s="21"/>
      <c r="E22" s="21"/>
      <c r="F22" s="21"/>
    </row>
    <row r="23" customFormat="false" ht="31.5" hidden="false" customHeight="true" outlineLevel="0" collapsed="false">
      <c r="A23" s="5" t="n">
        <v>20</v>
      </c>
      <c r="B23" s="6" t="s">
        <v>274</v>
      </c>
      <c r="C23" s="7" t="s">
        <v>275</v>
      </c>
      <c r="D23" s="24"/>
      <c r="E23" s="24"/>
      <c r="F23" s="24"/>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2026-05-15T04:48:34Z</dcterms:created>
  <dc:creator>openpyxl</dc:creator>
  <dc:description/>
  <dc:language>en-US</dc:language>
  <cp:lastModifiedBy/>
  <dcterms:modified xsi:type="dcterms:W3CDTF">2026-05-15T04:48:51Z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