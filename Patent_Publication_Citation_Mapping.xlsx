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Master" sheetId="1" r:id="rId1"/>
    <sheet name="Publication_Master" sheetId="2" r:id="rId2"/>
    <sheet name="Patent_Master" sheetId="3" r:id="rId3"/>
    <sheet name="Yearwise_Summary" sheetId="4" r:id="rId4"/>
    <sheet name="Fractional_Counting_Rules" sheetId="5" r:id="rId5"/>
    <sheet name="Formulas" sheetId="6" r:id="rId6"/>
    <sheet name="Audit_Rules" sheetId="7" r:id="rId7"/>
    <sheet name="Compliance" sheetId="8" r:id="rId8"/>
    <sheet name="Dashboard_Notes" sheetId="9" r:id="rId9"/>
  </sheets>
  <calcPr calcId="124519" fullCalcOnLoad="1"/>
</workbook>
</file>

<file path=xl/sharedStrings.xml><?xml version="1.0" encoding="utf-8"?>
<sst xmlns="http://schemas.openxmlformats.org/spreadsheetml/2006/main" count="117" uniqueCount="101">
  <si>
    <t>Mapping_ID</t>
  </si>
  <si>
    <t>Patent_ID</t>
  </si>
  <si>
    <t>Patent_Title</t>
  </si>
  <si>
    <t>Patent_Office (USPTO/EPO/WIPO/JPO/UKIPO/etc.)</t>
  </si>
  <si>
    <t>Patent_Grant_Year</t>
  </si>
  <si>
    <t>Assignee_Organization</t>
  </si>
  <si>
    <t>Assignee_Country</t>
  </si>
  <si>
    <t>Publication_DOI</t>
  </si>
  <si>
    <t>Publication_Title</t>
  </si>
  <si>
    <t>Publication_Year</t>
  </si>
  <si>
    <t>Journal_or_Source_Title</t>
  </si>
  <si>
    <t>ASJC_Code</t>
  </si>
  <si>
    <t>ASJC_Field_Name</t>
  </si>
  <si>
    <t>Corresponding_Author_Name</t>
  </si>
  <si>
    <t>University_Affiliation</t>
  </si>
  <si>
    <t>Institution_Scoped (Yes/No)</t>
  </si>
  <si>
    <t>Match_Type (Exact/Probabilistic/Manual)</t>
  </si>
  <si>
    <t>Fractional_Contribution_to_University</t>
  </si>
  <si>
    <t>Citation_Type (Direct/Indirect)</t>
  </si>
  <si>
    <t>Data_Source (Scopus/Elsevier/PatentDB)</t>
  </si>
  <si>
    <t>Evidence_File_Link</t>
  </si>
  <si>
    <t>Remarks</t>
  </si>
  <si>
    <t>Year</t>
  </si>
  <si>
    <t>Journal_or_Conference_Name</t>
  </si>
  <si>
    <t>Corresponding_Author</t>
  </si>
  <si>
    <t>All_Affiliations_Raw</t>
  </si>
  <si>
    <t>Cleaned_University_Affiliation</t>
  </si>
  <si>
    <t>FWCI</t>
  </si>
  <si>
    <t>Total_Citations</t>
  </si>
  <si>
    <t>Scopus_EID</t>
  </si>
  <si>
    <t>Patent_Office</t>
  </si>
  <si>
    <t>Grant_Year</t>
  </si>
  <si>
    <t>IPC_or_CPC_Class</t>
  </si>
  <si>
    <t>Technology_Domain</t>
  </si>
  <si>
    <t>Patent_Link</t>
  </si>
  <si>
    <t>Data_Source</t>
  </si>
  <si>
    <t>Total_Patent_Citation_Links</t>
  </si>
  <si>
    <t>University_Scoped_Links</t>
  </si>
  <si>
    <t>Total_Distinct_Patents</t>
  </si>
  <si>
    <t>Total_Distinct_Publications</t>
  </si>
  <si>
    <t>Avg_Patents_per_Publication</t>
  </si>
  <si>
    <t>Avg_Publications_per_Patent</t>
  </si>
  <si>
    <t>Top_ASJC_Field</t>
  </si>
  <si>
    <t>Top_Patent_Office</t>
  </si>
  <si>
    <t>Rule</t>
  </si>
  <si>
    <t>Fractional_Allocation_Formula</t>
  </si>
  <si>
    <t>Explanation</t>
  </si>
  <si>
    <t>Multi-university author affiliations</t>
  </si>
  <si>
    <t>Multi-country collaborations</t>
  </si>
  <si>
    <t>Multi-campus or multi-entity institutional structures</t>
  </si>
  <si>
    <t>Multiple patents citing the same publication</t>
  </si>
  <si>
    <t>Multiple publications cited by the same patent</t>
  </si>
  <si>
    <t>Define parent–child mapping and allocate to parent if required by ranking body</t>
  </si>
  <si>
    <t>Publication credit is split equally across all institutions in the affiliation list.</t>
  </si>
  <si>
    <t>Can be used where country‑level normalisation is required.</t>
  </si>
  <si>
    <t>Important for systems with campuses across regions; parent entity must be consistent.</t>
  </si>
  <si>
    <t>Patent-side multiplicity is not fractioned, each citing event is retained.</t>
  </si>
  <si>
    <t>Publication-side multiplicity is kept as separate linked events per patent.</t>
  </si>
  <si>
    <t>Metric</t>
  </si>
  <si>
    <t>Formula</t>
  </si>
  <si>
    <t>University Patent–Publication Link Count</t>
  </si>
  <si>
    <t>Patent Impact (Staff-Normalised)</t>
  </si>
  <si>
    <t>ASJC-wise Patent Citation Share</t>
  </si>
  <si>
    <t>Sum of fractional contributions across all mapped links for the university.</t>
  </si>
  <si>
    <t>Normalises patent-citation impact by staff size (similar to THE patents metric).</t>
  </si>
  <si>
    <t>Shows the share of each subject area in overall patent-citation volume.</t>
  </si>
  <si>
    <t>Only granted patents should be used for citation mapping, not applications.</t>
  </si>
  <si>
    <t>Cited publications must be peer-reviewed (journal, book, chapter, conference).</t>
  </si>
  <si>
    <t>Preprints and publications in suspended or predatory journals must be excluded.</t>
  </si>
  <si>
    <t>Affiliation cleaning must follow a controlled institutional name dictionary.</t>
  </si>
  <si>
    <t>All DOIs and Patent IDs must be syntactically validated.</t>
  </si>
  <si>
    <t>Evaluation window (e.g., 2018–2022) must match THE/Elsevier specification.</t>
  </si>
  <si>
    <t>Fractional counting logic must be consistently applied for all multi-affiliation cases.</t>
  </si>
  <si>
    <t>Ensures legal and stable patent status.</t>
  </si>
  <si>
    <t>Aligns with THE/Elsevier rules on valid scholarly outputs.</t>
  </si>
  <si>
    <t>Prevents inflation or distortion of impact scores.</t>
  </si>
  <si>
    <t>Avoids duplicate and incorrect institution mapping.</t>
  </si>
  <si>
    <t>Reduces data-quality errors in linking.</t>
  </si>
  <si>
    <t>Ensures comparability with official ranking datasets.</t>
  </si>
  <si>
    <t>Prevents over-attribution of impact to any single institution.</t>
  </si>
  <si>
    <t>Requirement</t>
  </si>
  <si>
    <t>Evidence_Required</t>
  </si>
  <si>
    <t>Status</t>
  </si>
  <si>
    <t>Patent dataset (IDs, offices, years) validated</t>
  </si>
  <si>
    <t>Publication DOIs cleaned and deduplicated</t>
  </si>
  <si>
    <t>Affiliation matching cross-checked with institutional dictionary</t>
  </si>
  <si>
    <t>ASJC classification completed for all publications</t>
  </si>
  <si>
    <t>Fractional counting rules documented and applied</t>
  </si>
  <si>
    <t>Invalid or suspended sources removed</t>
  </si>
  <si>
    <t>Notes</t>
  </si>
  <si>
    <t>Recommended Dashboards:</t>
  </si>
  <si>
    <t>• Patent–Publication Links by Year (Trend Line)</t>
  </si>
  <si>
    <t>• Top Patent Offices citing University Publications (Bar Chart)</t>
  </si>
  <si>
    <t>• ASJC-wise Patent Citation Distribution (Stacked Bar/Pie)</t>
  </si>
  <si>
    <t>• University vs Global Patent Citation Comparison (Benchmarking)</t>
  </si>
  <si>
    <t>• Network Graph of Patents ↔ Publications ↔ Fields (External Tool)</t>
  </si>
  <si>
    <t>Insights:</t>
  </si>
  <si>
    <t>• Reveals how often university research is used in patented innovation.</t>
  </si>
  <si>
    <t>• Helps identify strongest technology domains for commercialisation.</t>
  </si>
  <si>
    <t>• Supports THE 'Patents' metric and internal IP strategy.</t>
  </si>
  <si>
    <t>• Useful for showcasing industry and innovation impact in rankings and reports.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</si>
</sst>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22</v>
      </c>
      <c r="D1" s="1" t="s">
        <v>23</v>
      </c>
      <c r="E1" s="1" t="s">
        <v>11</v>
      </c>
      <c r="F1" s="1" t="s">
        <v>12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30</v>
      </c>
      <c r="D1" s="1" t="s">
        <v>31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22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44</v>
      </c>
      <c r="B1" s="1" t="s">
        <v>45</v>
      </c>
      <c r="C1" s="1" t="s">
        <v>46</v>
      </c>
    </row>
    <row r="2" spans="1:3">
      <c r="A2" t="s">
        <v>47</v>
      </c>
      <c r="B2">
        <f>1 / (Number_of_Institutions_in_Publication)</f>
        <v>0</v>
      </c>
      <c r="C2" t="s">
        <v>53</v>
      </c>
    </row>
    <row r="3" spans="1:3">
      <c r="A3" t="s">
        <v>48</v>
      </c>
      <c r="B3">
        <f>1 / (Number_of_Countries_in_Affiliations)</f>
        <v>0</v>
      </c>
      <c r="C3" t="s">
        <v>54</v>
      </c>
    </row>
    <row r="4" spans="1:3">
      <c r="A4" t="s">
        <v>49</v>
      </c>
      <c r="B4" t="s">
        <v>52</v>
      </c>
      <c r="C4" t="s">
        <v>55</v>
      </c>
    </row>
    <row r="5" spans="1:3">
      <c r="A5" t="s">
        <v>50</v>
      </c>
      <c r="B5">
        <f>1 (each patent–publication link is counted individually)</f>
        <v>0</v>
      </c>
      <c r="C5" t="s">
        <v>56</v>
      </c>
    </row>
    <row r="6" spans="1:3">
      <c r="A6" t="s">
        <v>51</v>
      </c>
      <c r="B6">
        <f>1 (each publication contributes independently per patent)</f>
        <v>0</v>
      </c>
      <c r="C6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46</v>
      </c>
    </row>
    <row r="2" spans="1:3">
      <c r="A2" t="s">
        <v>60</v>
      </c>
      <c r="B2">
        <f>SUM(Fractional_Contribution_to_University)</f>
        <v>0</v>
      </c>
      <c r="C2" t="s">
        <v>63</v>
      </c>
    </row>
    <row r="3" spans="1:3">
      <c r="A3" t="s">
        <v>61</v>
      </c>
      <c r="B3">
        <f>Total_Fractional_Patent_Citations / SQRT(Total_Academic_Staff)</f>
        <v>0</v>
      </c>
      <c r="C3" t="s">
        <v>64</v>
      </c>
    </row>
    <row r="4" spans="1:3">
      <c r="A4" t="s">
        <v>62</v>
      </c>
      <c r="B4">
        <f>ASJC_Field_Citations / SUM(All_ASJC_Field_Citations)</f>
        <v>0</v>
      </c>
      <c r="C4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44</v>
      </c>
      <c r="B1" s="1" t="s">
        <v>46</v>
      </c>
    </row>
    <row r="2" spans="1:2">
      <c r="A2" t="s">
        <v>66</v>
      </c>
      <c r="B2" t="s">
        <v>73</v>
      </c>
    </row>
    <row r="3" spans="1:2">
      <c r="A3" t="s">
        <v>67</v>
      </c>
      <c r="B3" t="s">
        <v>74</v>
      </c>
    </row>
    <row r="4" spans="1:2">
      <c r="A4" t="s">
        <v>68</v>
      </c>
      <c r="B4" t="s">
        <v>75</v>
      </c>
    </row>
    <row r="5" spans="1:2">
      <c r="A5" t="s">
        <v>69</v>
      </c>
      <c r="B5" t="s">
        <v>76</v>
      </c>
    </row>
    <row r="6" spans="1:2">
      <c r="A6" t="s">
        <v>70</v>
      </c>
      <c r="B6" t="s">
        <v>77</v>
      </c>
    </row>
    <row r="7" spans="1:2">
      <c r="A7" t="s">
        <v>71</v>
      </c>
      <c r="B7" t="s">
        <v>78</v>
      </c>
    </row>
    <row r="8" spans="1:2">
      <c r="A8" t="s">
        <v>72</v>
      </c>
      <c r="B8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80</v>
      </c>
      <c r="B1" s="1" t="s">
        <v>81</v>
      </c>
      <c r="C1" s="1" t="s">
        <v>82</v>
      </c>
      <c r="D1" s="1" t="s">
        <v>21</v>
      </c>
    </row>
    <row r="2" spans="1:4">
      <c r="A2" t="s">
        <v>83</v>
      </c>
    </row>
    <row r="3" spans="1:4">
      <c r="A3" t="s">
        <v>84</v>
      </c>
    </row>
    <row r="4" spans="1:4">
      <c r="A4" t="s">
        <v>85</v>
      </c>
    </row>
    <row r="5" spans="1:4">
      <c r="A5" t="s">
        <v>86</v>
      </c>
    </row>
    <row r="6" spans="1:4">
      <c r="A6" t="s">
        <v>87</v>
      </c>
    </row>
    <row r="7" spans="1:4">
      <c r="A7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89</v>
      </c>
    </row>
    <row r="2" spans="1:1">
      <c r="A2" t="s">
        <v>90</v>
      </c>
    </row>
    <row r="3" spans="1:1">
      <c r="A3" t="s">
        <v>91</v>
      </c>
    </row>
    <row r="4" spans="1:1">
      <c r="A4" t="s">
        <v>92</v>
      </c>
    </row>
    <row r="5" spans="1:1">
      <c r="A5" t="s">
        <v>93</v>
      </c>
    </row>
    <row r="6" spans="1:1">
      <c r="A6" t="s">
        <v>94</v>
      </c>
    </row>
    <row r="7" spans="1:1">
      <c r="A7" t="s">
        <v>95</v>
      </c>
    </row>
    <row r="9" spans="1:1">
      <c r="A9" t="s">
        <v>96</v>
      </c>
    </row>
    <row r="10" spans="1:1">
      <c r="A10" t="s">
        <v>97</v>
      </c>
    </row>
    <row r="11" spans="1:1">
      <c r="A11" t="s">
        <v>98</v>
      </c>
    </row>
    <row r="12" spans="1:1">
      <c r="A12" t="s">
        <v>99</v>
      </c>
    </row>
    <row r="13" spans="1:1">
      <c r="A1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Mapping_Master</vt:lpstr>
      <vt:lpstr>Publication_Master</vt:lpstr>
      <vt:lpstr>Patent_Master</vt:lpstr>
      <vt:lpstr>Yearwise_Summary</vt:lpstr>
      <vt:lpstr>Fractional_Counting_Rules</vt:lpstr>
      <vt:lpstr>Formulas</vt:lpstr>
      <vt:lpstr>Audit_Rules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2025-12-07T11:17:09Z</dcterms:created>
  <dcterms:modified xsi:type="dcterms:W3CDTF">2025-12-07T11:17:09Z</dcterms:modified>
</cp:coreProperties>
</file>