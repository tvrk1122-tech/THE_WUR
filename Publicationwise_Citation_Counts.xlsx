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blication_Citation_Master" sheetId="1" r:id="rId1"/>
    <sheet name="Citation_Formulas" sheetId="2" r:id="rId2"/>
    <sheet name="THE_Normalisation_Rules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<sst xmlns="http://schemas.openxmlformats.org/spreadsheetml/2006/main" count="61" uniqueCount="59">
  <si>
    <t>Serial_No</t>
  </si>
  <si>
    <t>DOI</t>
  </si>
  <si>
    <t>Title</t>
  </si>
  <si>
    <t>Authors</t>
  </si>
  <si>
    <t>Year</t>
  </si>
  <si>
    <t>Journal_Name</t>
  </si>
  <si>
    <t>ASJC_Code</t>
  </si>
  <si>
    <t>Document_Type</t>
  </si>
  <si>
    <t>Affiliation_Matched (Yes/No)</t>
  </si>
  <si>
    <t>Is_Eligible_for_THE (Yes/No)</t>
  </si>
  <si>
    <t>Total_Citations</t>
  </si>
  <si>
    <t>Field_Weighted_Citation_Impact (FWCI)</t>
  </si>
  <si>
    <t>Top10Percent (Yes/No)</t>
  </si>
  <si>
    <t>Top1Percent (Yes/No)</t>
  </si>
  <si>
    <t>Source (Scopus/SciVal)</t>
  </si>
  <si>
    <t>Evidence_File</t>
  </si>
  <si>
    <t>Remarks</t>
  </si>
  <si>
    <t>Metric</t>
  </si>
  <si>
    <t>Formula</t>
  </si>
  <si>
    <t>Explanation</t>
  </si>
  <si>
    <t>Total Citations</t>
  </si>
  <si>
    <t>FWCI</t>
  </si>
  <si>
    <t>Top 10% Classification</t>
  </si>
  <si>
    <t>Top 1% Classification</t>
  </si>
  <si>
    <t>Total citation count imported from Scopus.</t>
  </si>
  <si>
    <t>FWCI compares actual citations against expected subject-level citations.</t>
  </si>
  <si>
    <t>Top 10% papers are those in the 90th percentile citation band.</t>
  </si>
  <si>
    <t>Top 1% papers represent elite global research outputs.</t>
  </si>
  <si>
    <t>Rule</t>
  </si>
  <si>
    <t>Citation counts must be based on the frozen Scopus dataset.</t>
  </si>
  <si>
    <t>All publications must be mapped to ASJC subjects.</t>
  </si>
  <si>
    <t>FWCI must match SciVal subject-normalised metrics.</t>
  </si>
  <si>
    <t>Top 10% and Top 1% papers must be validated against SciVal.</t>
  </si>
  <si>
    <t>Only THE-eligible publications should be included.</t>
  </si>
  <si>
    <t>Affiliation must match the institution to ensure valid attribution.</t>
  </si>
  <si>
    <t>Ensures consistency with ranking-year data.</t>
  </si>
  <si>
    <t>Subject mapping is mandatory for accurate normalisation.</t>
  </si>
  <si>
    <t>FWCI is a core indicator for THE Citation Impact (15%).</t>
  </si>
  <si>
    <t>High-impact papers influence Research Excellence and Strength.</t>
  </si>
  <si>
    <t>THE excludes publications with missing or incorrect affiliation.</t>
  </si>
  <si>
    <t>Avoids inflated or misattributed citation contributions.</t>
  </si>
  <si>
    <t>Requirement</t>
  </si>
  <si>
    <t>Evidence_Required</t>
  </si>
  <si>
    <t>Status</t>
  </si>
  <si>
    <t>Scopus citation export verified</t>
  </si>
  <si>
    <t>ASJC classification confirmed</t>
  </si>
  <si>
    <t>FWCI validated with SciVal</t>
  </si>
  <si>
    <t>Top 10% and Top 1% confirmed</t>
  </si>
  <si>
    <t>Affiliation check completed</t>
  </si>
  <si>
    <t>Notes</t>
  </si>
  <si>
    <t>Suggested Visuals:</t>
  </si>
  <si>
    <t>• Citation trend per publication</t>
  </si>
  <si>
    <t>• FWCI distribution</t>
  </si>
  <si>
    <t>• Top 1% and Top 10% papers overview</t>
  </si>
  <si>
    <t>• Subject-wise citation density</t>
  </si>
  <si>
    <t>Insights:</t>
  </si>
  <si>
    <t>• Citation counts fuel Research Quality (30%) indicators.</t>
  </si>
  <si>
    <t>• FWCI is essential for fair comparison across disciplines.</t>
  </si>
  <si>
    <t>• High-impact publications greatly improve institutional ranking.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</si>
</sst>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17</v>
      </c>
      <c r="B1" s="1" t="s">
        <v>18</v>
      </c>
      <c r="C1" s="1" t="s">
        <v>19</v>
      </c>
    </row>
    <row r="2" spans="1:3">
      <c r="A2" t="s">
        <v>20</v>
      </c>
      <c r="B2">
        <f>Scopus_Citation_Count</f>
        <v>0</v>
      </c>
      <c r="C2" t="s">
        <v>24</v>
      </c>
    </row>
    <row r="3" spans="1:3">
      <c r="A3" t="s">
        <v>21</v>
      </c>
      <c r="B3">
        <f>Citations / Expected_Citations_for_Subject</f>
        <v>0</v>
      </c>
      <c r="C3" t="s">
        <v>25</v>
      </c>
    </row>
    <row r="4" spans="1:3">
      <c r="A4" t="s">
        <v>22</v>
      </c>
      <c r="B4">
        <f>IF(Percentile&gt;=90, "Yes", "No")</f>
        <v>0</v>
      </c>
      <c r="C4" t="s">
        <v>26</v>
      </c>
    </row>
    <row r="5" spans="1:3">
      <c r="A5" t="s">
        <v>23</v>
      </c>
      <c r="B5">
        <f>IF(Percentile&gt;=99, "Yes", "No")</f>
        <v>0</v>
      </c>
      <c r="C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28</v>
      </c>
      <c r="B1" s="1" t="s">
        <v>19</v>
      </c>
    </row>
    <row r="2" spans="1:2">
      <c r="A2" t="s">
        <v>29</v>
      </c>
      <c r="B2" t="s">
        <v>35</v>
      </c>
    </row>
    <row r="3" spans="1:2">
      <c r="A3" t="s">
        <v>30</v>
      </c>
      <c r="B3" t="s">
        <v>36</v>
      </c>
    </row>
    <row r="4" spans="1:2">
      <c r="A4" t="s">
        <v>31</v>
      </c>
      <c r="B4" t="s">
        <v>37</v>
      </c>
    </row>
    <row r="5" spans="1:2">
      <c r="A5" t="s">
        <v>32</v>
      </c>
      <c r="B5" t="s">
        <v>38</v>
      </c>
    </row>
    <row r="6" spans="1:2">
      <c r="A6" t="s">
        <v>33</v>
      </c>
      <c r="B6" t="s">
        <v>39</v>
      </c>
    </row>
    <row r="7" spans="1:2">
      <c r="A7" t="s">
        <v>34</v>
      </c>
      <c r="B7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41</v>
      </c>
      <c r="B1" s="1" t="s">
        <v>42</v>
      </c>
      <c r="C1" s="1" t="s">
        <v>43</v>
      </c>
      <c r="D1" s="1" t="s">
        <v>16</v>
      </c>
    </row>
    <row r="2" spans="1:4">
      <c r="A2" t="s">
        <v>44</v>
      </c>
    </row>
    <row r="3" spans="1:4">
      <c r="A3" t="s">
        <v>45</v>
      </c>
    </row>
    <row r="4" spans="1:4">
      <c r="A4" t="s">
        <v>46</v>
      </c>
    </row>
    <row r="5" spans="1:4">
      <c r="A5" t="s">
        <v>47</v>
      </c>
    </row>
    <row r="6" spans="1:4">
      <c r="A6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  <row r="8" spans="1:1">
      <c r="A8" t="s">
        <v>55</v>
      </c>
    </row>
    <row r="9" spans="1:1">
      <c r="A9" t="s">
        <v>56</v>
      </c>
    </row>
    <row r="10" spans="1:1">
      <c r="A10" t="s">
        <v>57</v>
      </c>
    </row>
    <row r="11" spans="1:1">
      <c r="A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Publication_Citation_Master</vt:lpstr>
      <vt:lpstr>Citation_Formulas</vt:lpstr>
      <vt:lpstr>THE_Normalisation_Rules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2025-12-07T03:19:44Z</dcterms:created>
  <dcterms:modified xsi:type="dcterms:W3CDTF">2025-12-07T03:19:44Z</dcterms:modified>
</cp:coreProperties>
</file>