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Country List" sheetId="2" state="visible" r:id="rId4"/>
    <sheet name="Subject Areas" sheetId="3" state="visible" r:id="rId5"/>
    <sheet name="1. Raw Votes Log" sheetId="4" state="visible" r:id="rId6"/>
    <sheet name="2. Univ x Country Matrix" sheetId="5" state="visible" r:id="rId7"/>
    <sheet name="3. Univ x Subject Matrix" sheetId="6" state="visible" r:id="rId8"/>
    <sheet name="4. CountrySubject Buckets" sheetId="7" state="visible" r:id="rId9"/>
    <sheet name="5. Entropy Calculation" sheetId="8" state="visible" r:id="rId10"/>
    <sheet name="6. Entropy Helper" sheetId="9" state="visible" r:id="rId11"/>
    <sheet name="7. Diversity Dashboard" sheetId="10" state="visible" r:id="rId12"/>
    <sheet name="8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<sst xmlns="http://schemas.openxmlformats.org/spreadsheetml/2006/main" count="521" uniqueCount="444">
  <si>
    <t xml:space="preserve">THE WRR — Teaching Voter Diversity (Entropy) Data Collection</t>
  </si>
  <si>
    <t xml:space="preserve">Methodology Reference: WRR 2025 Voter Diversity Indicator — Teaching Pillar</t>
  </si>
  <si>
    <t xml:space="preserve">#</t>
  </si>
  <si>
    <t xml:space="preserve">Concept</t>
  </si>
  <si>
    <t xml:space="preserve">Description</t>
  </si>
  <si>
    <t xml:space="preserve">Weight in WRR</t>
  </si>
  <si>
    <t xml:space="preserve">Voter Diversity Indicator</t>
  </si>
  <si>
    <t xml:space="preserve">An additional metric applied to institutions with similar vote counts. Institutions with votes coming from a WIDE RANGE of countries/territories and subject areas are deemed to have a more ROBUST reputation than those where votes originate from a narrow base.</t>
  </si>
  <si>
    <t xml:space="preserve">3.33% of Overall WRR (Teaching portion of 10% Diversity weight)</t>
  </si>
  <si>
    <t xml:space="preserve">Entropy (H)</t>
  </si>
  <si>
    <t xml:space="preserve">A statistical concept measuring how heterogeneous a dataset is. H = −Σ pᵢ × log(pᵢ), where pᵢ is the proportion of teaching votes from country-subject bucket i. Higher H = more diverse base.</t>
  </si>
  <si>
    <t xml:space="preserve">Mathematical foundation</t>
  </si>
  <si>
    <t xml:space="preserve">Country × Subject Bucket</t>
  </si>
  <si>
    <t xml:space="preserve">The unit of aggregation — each combination of country/territory and subject area forms a distinct bucket. The distribution of votes across these buckets is what entropy measures.</t>
  </si>
  <si>
    <t xml:space="preserve">Granularity unit</t>
  </si>
  <si>
    <t xml:space="preserve">Normalized Diversity Score</t>
  </si>
  <si>
    <t xml:space="preserve">Entropy values are passed through a scoring function producing a score between 0 and 100, which is then combined with Vote Counts and Pairwise pillars for the final Teaching Reputation Score.</t>
  </si>
  <si>
    <t xml:space="preserve">Final output</t>
  </si>
  <si>
    <t xml:space="preserve">Rationale</t>
  </si>
  <si>
    <t xml:space="preserve">For universities with similar numbers of teaching votes, diversity measures answer: which has a more robust global reputation? An institution receiving votes from 30 countries across 15 subjects is considered more reputable than one with 30 votes from a single country/subject.</t>
  </si>
  <si>
    <t xml:space="preserve">Methodology rationale</t>
  </si>
  <si>
    <t xml:space="preserve">Teaching vs. Research Diversity</t>
  </si>
  <si>
    <t xml:space="preserve">Teaching diversity is computed SEPARATELY from research diversity. Both use the same entropy approach but on different vote pools. Teaching weight = half of research weight (3.33% vs 6.67%).</t>
  </si>
  <si>
    <t xml:space="preserve">Pillar separation</t>
  </si>
  <si>
    <t xml:space="preserve">Entropy Formula (Reference)</t>
  </si>
  <si>
    <t xml:space="preserve">H = − Σᵢ pᵢ × log₂(pᵢ)</t>
  </si>
  <si>
    <t xml:space="preserve">where pᵢ = (votes in bucket i) / (total votes for the institution). Maximum entropy occurs when votes are distributed equally across all buckets; minimum (H=0) when all votes come from a single bucket.</t>
  </si>
  <si>
    <t xml:space="preserve">Country / Territory Reference List (38 WRR 2025 Countries)</t>
  </si>
  <si>
    <t xml:space="preserve">Reference list of countries represented in WRR 2025 — used for bucket assignment</t>
  </si>
  <si>
    <t xml:space="preserve">Country / Territory</t>
  </si>
  <si>
    <t xml:space="preserve">ISO Code</t>
  </si>
  <si>
    <t xml:space="preserve">Region / Continent</t>
  </si>
  <si>
    <t xml:space="preserve">No. of Institutions in WRR</t>
  </si>
  <si>
    <t xml:space="preserve">United States</t>
  </si>
  <si>
    <t xml:space="preserve">USA</t>
  </si>
  <si>
    <t xml:space="preserve">North America</t>
  </si>
  <si>
    <t xml:space="preserve">United Kingdom</t>
  </si>
  <si>
    <t xml:space="preserve">GBR</t>
  </si>
  <si>
    <t xml:space="preserve">Europe</t>
  </si>
  <si>
    <t xml:space="preserve">China</t>
  </si>
  <si>
    <t xml:space="preserve">CHN</t>
  </si>
  <si>
    <t xml:space="preserve">Asia</t>
  </si>
  <si>
    <t xml:space="preserve">Germany</t>
  </si>
  <si>
    <t xml:space="preserve">DEU</t>
  </si>
  <si>
    <t xml:space="preserve">Japan</t>
  </si>
  <si>
    <t xml:space="preserve">JPN</t>
  </si>
  <si>
    <t xml:space="preserve">Australia</t>
  </si>
  <si>
    <t xml:space="preserve">AUS</t>
  </si>
  <si>
    <t xml:space="preserve">Oceania</t>
  </si>
  <si>
    <t xml:space="preserve">France</t>
  </si>
  <si>
    <t xml:space="preserve">FRA</t>
  </si>
  <si>
    <t xml:space="preserve">Netherlands</t>
  </si>
  <si>
    <t xml:space="preserve">NLD</t>
  </si>
  <si>
    <t xml:space="preserve">Canada</t>
  </si>
  <si>
    <t xml:space="preserve">CAN</t>
  </si>
  <si>
    <t xml:space="preserve">South Korea</t>
  </si>
  <si>
    <t xml:space="preserve">KOR</t>
  </si>
  <si>
    <t xml:space="preserve">Switzerland</t>
  </si>
  <si>
    <t xml:space="preserve">CHE</t>
  </si>
  <si>
    <t xml:space="preserve">Sweden</t>
  </si>
  <si>
    <t xml:space="preserve">SWE</t>
  </si>
  <si>
    <t xml:space="preserve">Italy</t>
  </si>
  <si>
    <t xml:space="preserve">ITA</t>
  </si>
  <si>
    <t xml:space="preserve">Spain</t>
  </si>
  <si>
    <t xml:space="preserve">ESP</t>
  </si>
  <si>
    <t xml:space="preserve">Belgium</t>
  </si>
  <si>
    <t xml:space="preserve">BEL</t>
  </si>
  <si>
    <t xml:space="preserve">Singapore</t>
  </si>
  <si>
    <t xml:space="preserve">SGP</t>
  </si>
  <si>
    <t xml:space="preserve">Hong Kong SAR</t>
  </si>
  <si>
    <t xml:space="preserve">HKG</t>
  </si>
  <si>
    <t xml:space="preserve">Taiwan</t>
  </si>
  <si>
    <t xml:space="preserve">TWN</t>
  </si>
  <si>
    <t xml:space="preserve">Denmark</t>
  </si>
  <si>
    <t xml:space="preserve">DNK</t>
  </si>
  <si>
    <t xml:space="preserve">Israel</t>
  </si>
  <si>
    <t xml:space="preserve">ISR</t>
  </si>
  <si>
    <t xml:space="preserve">Finland</t>
  </si>
  <si>
    <t xml:space="preserve">FIN</t>
  </si>
  <si>
    <t xml:space="preserve">Norway</t>
  </si>
  <si>
    <t xml:space="preserve">NOR</t>
  </si>
  <si>
    <t xml:space="preserve">Austria</t>
  </si>
  <si>
    <t xml:space="preserve">AUT</t>
  </si>
  <si>
    <t xml:space="preserve">Brazil</t>
  </si>
  <si>
    <t xml:space="preserve">BRA</t>
  </si>
  <si>
    <t xml:space="preserve">South America</t>
  </si>
  <si>
    <t xml:space="preserve">India</t>
  </si>
  <si>
    <t xml:space="preserve">IND</t>
  </si>
  <si>
    <t xml:space="preserve">Russia</t>
  </si>
  <si>
    <t xml:space="preserve">RUS</t>
  </si>
  <si>
    <t xml:space="preserve">Europe/Asia</t>
  </si>
  <si>
    <t xml:space="preserve">Mexico</t>
  </si>
  <si>
    <t xml:space="preserve">MEX</t>
  </si>
  <si>
    <t xml:space="preserve">South Africa</t>
  </si>
  <si>
    <t xml:space="preserve">ZAF</t>
  </si>
  <si>
    <t xml:space="preserve">Africa</t>
  </si>
  <si>
    <t xml:space="preserve">Ireland</t>
  </si>
  <si>
    <t xml:space="preserve">IRL</t>
  </si>
  <si>
    <t xml:space="preserve">New Zealand</t>
  </si>
  <si>
    <t xml:space="preserve">NZL</t>
  </si>
  <si>
    <t xml:space="preserve">Portugal</t>
  </si>
  <si>
    <t xml:space="preserve">PRT</t>
  </si>
  <si>
    <t xml:space="preserve">Turkey</t>
  </si>
  <si>
    <t xml:space="preserve">TUR</t>
  </si>
  <si>
    <t xml:space="preserve">Malaysia</t>
  </si>
  <si>
    <t xml:space="preserve">MYS</t>
  </si>
  <si>
    <t xml:space="preserve">Saudi Arabia</t>
  </si>
  <si>
    <t xml:space="preserve">SAU</t>
  </si>
  <si>
    <t xml:space="preserve">Thailand</t>
  </si>
  <si>
    <t xml:space="preserve">THA</t>
  </si>
  <si>
    <t xml:space="preserve">Chile</t>
  </si>
  <si>
    <t xml:space="preserve">CHL</t>
  </si>
  <si>
    <t xml:space="preserve">UAE</t>
  </si>
  <si>
    <t xml:space="preserve">ARE</t>
  </si>
  <si>
    <t xml:space="preserve">Argentina</t>
  </si>
  <si>
    <t xml:space="preserve">ARG</t>
  </si>
  <si>
    <t xml:space="preserve">Subject Areas Reference List (THE 11 Subject Groups)</t>
  </si>
  <si>
    <t xml:space="preserve">Subject areas used in the Academic Reputation Survey — basis for subject dimension of diversity</t>
  </si>
  <si>
    <t xml:space="preserve">Subject Area</t>
  </si>
  <si>
    <t xml:space="preserve">Disciplines Covered</t>
  </si>
  <si>
    <t xml:space="preserve">Short Code</t>
  </si>
  <si>
    <t xml:space="preserve">Arts &amp; Humanities</t>
  </si>
  <si>
    <t xml:space="preserve">Archaeology, history, languages, literature, linguistics, philosophy, theology, religious studies, performing arts</t>
  </si>
  <si>
    <t xml:space="preserve">AH</t>
  </si>
  <si>
    <t xml:space="preserve">Business &amp; Economics</t>
  </si>
  <si>
    <t xml:space="preserve">Accounting, business, economics, econometrics, finance, management</t>
  </si>
  <si>
    <t xml:space="preserve">BE</t>
  </si>
  <si>
    <t xml:space="preserve">Clinical &amp; Health</t>
  </si>
  <si>
    <t xml:space="preserve">Medicine, dentistry, health sciences, public health, nursing, pharmacy</t>
  </si>
  <si>
    <t xml:space="preserve">CH</t>
  </si>
  <si>
    <t xml:space="preserve">Computer Science</t>
  </si>
  <si>
    <t xml:space="preserve">Artificial intelligence, cybersecurity, data science, software engineering</t>
  </si>
  <si>
    <t xml:space="preserve">CS</t>
  </si>
  <si>
    <t xml:space="preserve">Education</t>
  </si>
  <si>
    <t xml:space="preserve">Teaching, education policy, pedagogy, educational psychology</t>
  </si>
  <si>
    <t xml:space="preserve">ED</t>
  </si>
  <si>
    <t xml:space="preserve">Engineering</t>
  </si>
  <si>
    <t xml:space="preserve">Chemical, civil, electrical, mechanical, general engineering, materials</t>
  </si>
  <si>
    <t xml:space="preserve">EN</t>
  </si>
  <si>
    <t xml:space="preserve">Law</t>
  </si>
  <si>
    <t xml:space="preserve">Law studies, legal theory, jurisprudence</t>
  </si>
  <si>
    <t xml:space="preserve">LW</t>
  </si>
  <si>
    <t xml:space="preserve">Life Sciences</t>
  </si>
  <si>
    <t xml:space="preserve">Agriculture, biological sciences, veterinary sciences, sport sciences</t>
  </si>
  <si>
    <t xml:space="preserve">LS</t>
  </si>
  <si>
    <t xml:space="preserve">Physical Sciences</t>
  </si>
  <si>
    <t xml:space="preserve">Chemistry, physics, astronomy, geology, environmental sciences, mathematics &amp; statistics</t>
  </si>
  <si>
    <t xml:space="preserve">PS</t>
  </si>
  <si>
    <t xml:space="preserve">Psychology</t>
  </si>
  <si>
    <t xml:space="preserve">Clinical, educational, organizational, cognitive, social psychology</t>
  </si>
  <si>
    <t xml:space="preserve">PY</t>
  </si>
  <si>
    <t xml:space="preserve">Social Sciences</t>
  </si>
  <si>
    <t xml:space="preserve">Communication, geography, politics &amp; IR, sociology, anthropology</t>
  </si>
  <si>
    <t xml:space="preserve">SS</t>
  </si>
  <si>
    <t xml:space="preserve">Raw Teaching Votes Log — Source Data for Diversity Analysis</t>
  </si>
  <si>
    <t xml:space="preserve">Each row = one teaching vote cast by one respondent for one institution (max 15 per respondent)</t>
  </si>
  <si>
    <t xml:space="preserve">Vote ID</t>
  </si>
  <si>
    <t xml:space="preserve">University Name</t>
  </si>
  <si>
    <t xml:space="preserve">Respondent ID</t>
  </si>
  <si>
    <t xml:space="preserve">Respondent Country</t>
  </si>
  <si>
    <t xml:space="preserve">Respondent ISO Code</t>
  </si>
  <si>
    <t xml:space="preserve">Respondent Subject Area</t>
  </si>
  <si>
    <t xml:space="preserve">Subject Code</t>
  </si>
  <si>
    <t xml:space="preserve">Country×Subject Bucket</t>
  </si>
  <si>
    <t xml:space="preserve">Self-Vote (Y/N)</t>
  </si>
  <si>
    <t xml:space="preserve">Date of Vote</t>
  </si>
  <si>
    <t xml:space="preserve">TV-00001</t>
  </si>
  <si>
    <t xml:space="preserve">TV-00002</t>
  </si>
  <si>
    <t xml:space="preserve">TV-00003</t>
  </si>
  <si>
    <t xml:space="preserve">TV-00004</t>
  </si>
  <si>
    <t xml:space="preserve">TV-00005</t>
  </si>
  <si>
    <t xml:space="preserve">TV-00006</t>
  </si>
  <si>
    <t xml:space="preserve">TV-00007</t>
  </si>
  <si>
    <t xml:space="preserve">TV-00008</t>
  </si>
  <si>
    <t xml:space="preserve">TV-00009</t>
  </si>
  <si>
    <t xml:space="preserve">TV-00010</t>
  </si>
  <si>
    <t xml:space="preserve">TV-00011</t>
  </si>
  <si>
    <t xml:space="preserve">TV-00012</t>
  </si>
  <si>
    <t xml:space="preserve">TV-00013</t>
  </si>
  <si>
    <t xml:space="preserve">TV-00014</t>
  </si>
  <si>
    <t xml:space="preserve">TV-00015</t>
  </si>
  <si>
    <t xml:space="preserve">TV-00016</t>
  </si>
  <si>
    <t xml:space="preserve">TV-00017</t>
  </si>
  <si>
    <t xml:space="preserve">TV-00018</t>
  </si>
  <si>
    <t xml:space="preserve">TV-00019</t>
  </si>
  <si>
    <t xml:space="preserve">TV-00020</t>
  </si>
  <si>
    <t xml:space="preserve">TV-00021</t>
  </si>
  <si>
    <t xml:space="preserve">TV-00022</t>
  </si>
  <si>
    <t xml:space="preserve">TV-00023</t>
  </si>
  <si>
    <t xml:space="preserve">TV-00024</t>
  </si>
  <si>
    <t xml:space="preserve">TV-00025</t>
  </si>
  <si>
    <t xml:space="preserve">TV-00026</t>
  </si>
  <si>
    <t xml:space="preserve">TV-00027</t>
  </si>
  <si>
    <t xml:space="preserve">TV-00028</t>
  </si>
  <si>
    <t xml:space="preserve">TV-00029</t>
  </si>
  <si>
    <t xml:space="preserve">TV-00030</t>
  </si>
  <si>
    <t xml:space="preserve">TV-00031</t>
  </si>
  <si>
    <t xml:space="preserve">TV-00032</t>
  </si>
  <si>
    <t xml:space="preserve">TV-00033</t>
  </si>
  <si>
    <t xml:space="preserve">TV-00034</t>
  </si>
  <si>
    <t xml:space="preserve">TV-00035</t>
  </si>
  <si>
    <t xml:space="preserve">TV-00036</t>
  </si>
  <si>
    <t xml:space="preserve">TV-00037</t>
  </si>
  <si>
    <t xml:space="preserve">TV-00038</t>
  </si>
  <si>
    <t xml:space="preserve">TV-00039</t>
  </si>
  <si>
    <t xml:space="preserve">TV-00040</t>
  </si>
  <si>
    <t xml:space="preserve">TV-00041</t>
  </si>
  <si>
    <t xml:space="preserve">TV-00042</t>
  </si>
  <si>
    <t xml:space="preserve">TV-00043</t>
  </si>
  <si>
    <t xml:space="preserve">TV-00044</t>
  </si>
  <si>
    <t xml:space="preserve">TV-00045</t>
  </si>
  <si>
    <t xml:space="preserve">TV-00046</t>
  </si>
  <si>
    <t xml:space="preserve">TV-00047</t>
  </si>
  <si>
    <t xml:space="preserve">TV-00048</t>
  </si>
  <si>
    <t xml:space="preserve">TV-00049</t>
  </si>
  <si>
    <t xml:space="preserve">TV-00050</t>
  </si>
  <si>
    <t xml:space="preserve">TV-00051</t>
  </si>
  <si>
    <t xml:space="preserve">TV-00052</t>
  </si>
  <si>
    <t xml:space="preserve">TV-00053</t>
  </si>
  <si>
    <t xml:space="preserve">TV-00054</t>
  </si>
  <si>
    <t xml:space="preserve">TV-00055</t>
  </si>
  <si>
    <t xml:space="preserve">TV-00056</t>
  </si>
  <si>
    <t xml:space="preserve">TV-00057</t>
  </si>
  <si>
    <t xml:space="preserve">TV-00058</t>
  </si>
  <si>
    <t xml:space="preserve">TV-00059</t>
  </si>
  <si>
    <t xml:space="preserve">TV-00060</t>
  </si>
  <si>
    <t xml:space="preserve">TV-00061</t>
  </si>
  <si>
    <t xml:space="preserve">TV-00062</t>
  </si>
  <si>
    <t xml:space="preserve">TV-00063</t>
  </si>
  <si>
    <t xml:space="preserve">TV-00064</t>
  </si>
  <si>
    <t xml:space="preserve">TV-00065</t>
  </si>
  <si>
    <t xml:space="preserve">TV-00066</t>
  </si>
  <si>
    <t xml:space="preserve">TV-00067</t>
  </si>
  <si>
    <t xml:space="preserve">TV-00068</t>
  </si>
  <si>
    <t xml:space="preserve">TV-00069</t>
  </si>
  <si>
    <t xml:space="preserve">TV-00070</t>
  </si>
  <si>
    <t xml:space="preserve">TV-00071</t>
  </si>
  <si>
    <t xml:space="preserve">TV-00072</t>
  </si>
  <si>
    <t xml:space="preserve">TV-00073</t>
  </si>
  <si>
    <t xml:space="preserve">TV-00074</t>
  </si>
  <si>
    <t xml:space="preserve">TV-00075</t>
  </si>
  <si>
    <t xml:space="preserve">TV-00076</t>
  </si>
  <si>
    <t xml:space="preserve">TV-00077</t>
  </si>
  <si>
    <t xml:space="preserve">TV-00078</t>
  </si>
  <si>
    <t xml:space="preserve">TV-00079</t>
  </si>
  <si>
    <t xml:space="preserve">TV-00080</t>
  </si>
  <si>
    <t xml:space="preserve">TV-00081</t>
  </si>
  <si>
    <t xml:space="preserve">TV-00082</t>
  </si>
  <si>
    <t xml:space="preserve">TV-00083</t>
  </si>
  <si>
    <t xml:space="preserve">TV-00084</t>
  </si>
  <si>
    <t xml:space="preserve">TV-00085</t>
  </si>
  <si>
    <t xml:space="preserve">TV-00086</t>
  </si>
  <si>
    <t xml:space="preserve">TV-00087</t>
  </si>
  <si>
    <t xml:space="preserve">TV-00088</t>
  </si>
  <si>
    <t xml:space="preserve">TV-00089</t>
  </si>
  <si>
    <t xml:space="preserve">TV-00090</t>
  </si>
  <si>
    <t xml:space="preserve">TV-00091</t>
  </si>
  <si>
    <t xml:space="preserve">TV-00092</t>
  </si>
  <si>
    <t xml:space="preserve">TV-00093</t>
  </si>
  <si>
    <t xml:space="preserve">TV-00094</t>
  </si>
  <si>
    <t xml:space="preserve">TV-00095</t>
  </si>
  <si>
    <t xml:space="preserve">TV-00096</t>
  </si>
  <si>
    <t xml:space="preserve">TV-00097</t>
  </si>
  <si>
    <t xml:space="preserve">TV-00098</t>
  </si>
  <si>
    <t xml:space="preserve">TV-00099</t>
  </si>
  <si>
    <t xml:space="preserve">TV-00100</t>
  </si>
  <si>
    <t xml:space="preserve">TV-00101</t>
  </si>
  <si>
    <t xml:space="preserve">TV-00102</t>
  </si>
  <si>
    <t xml:space="preserve">TV-00103</t>
  </si>
  <si>
    <t xml:space="preserve">TV-00104</t>
  </si>
  <si>
    <t xml:space="preserve">TV-00105</t>
  </si>
  <si>
    <t xml:space="preserve">TV-00106</t>
  </si>
  <si>
    <t xml:space="preserve">TV-00107</t>
  </si>
  <si>
    <t xml:space="preserve">TV-00108</t>
  </si>
  <si>
    <t xml:space="preserve">TV-00109</t>
  </si>
  <si>
    <t xml:space="preserve">TV-00110</t>
  </si>
  <si>
    <t xml:space="preserve">TV-00111</t>
  </si>
  <si>
    <t xml:space="preserve">TV-00112</t>
  </si>
  <si>
    <t xml:space="preserve">TV-00113</t>
  </si>
  <si>
    <t xml:space="preserve">TV-00114</t>
  </si>
  <si>
    <t xml:space="preserve">TV-00115</t>
  </si>
  <si>
    <t xml:space="preserve">TV-00116</t>
  </si>
  <si>
    <t xml:space="preserve">TV-00117</t>
  </si>
  <si>
    <t xml:space="preserve">TV-00118</t>
  </si>
  <si>
    <t xml:space="preserve">TV-00119</t>
  </si>
  <si>
    <t xml:space="preserve">TV-00120</t>
  </si>
  <si>
    <t xml:space="preserve">TV-00121</t>
  </si>
  <si>
    <t xml:space="preserve">TV-00122</t>
  </si>
  <si>
    <t xml:space="preserve">TV-00123</t>
  </si>
  <si>
    <t xml:space="preserve">TV-00124</t>
  </si>
  <si>
    <t xml:space="preserve">TV-00125</t>
  </si>
  <si>
    <t xml:space="preserve">TV-00126</t>
  </si>
  <si>
    <t xml:space="preserve">TV-00127</t>
  </si>
  <si>
    <t xml:space="preserve">TV-00128</t>
  </si>
  <si>
    <t xml:space="preserve">TV-00129</t>
  </si>
  <si>
    <t xml:space="preserve">TV-00130</t>
  </si>
  <si>
    <t xml:space="preserve">TV-00131</t>
  </si>
  <si>
    <t xml:space="preserve">TV-00132</t>
  </si>
  <si>
    <t xml:space="preserve">TV-00133</t>
  </si>
  <si>
    <t xml:space="preserve">TV-00134</t>
  </si>
  <si>
    <t xml:space="preserve">TV-00135</t>
  </si>
  <si>
    <t xml:space="preserve">TV-00136</t>
  </si>
  <si>
    <t xml:space="preserve">TV-00137</t>
  </si>
  <si>
    <t xml:space="preserve">TV-00138</t>
  </si>
  <si>
    <t xml:space="preserve">TV-00139</t>
  </si>
  <si>
    <t xml:space="preserve">TV-00140</t>
  </si>
  <si>
    <t xml:space="preserve">TV-00141</t>
  </si>
  <si>
    <t xml:space="preserve">TV-00142</t>
  </si>
  <si>
    <t xml:space="preserve">TV-00143</t>
  </si>
  <si>
    <t xml:space="preserve">TV-00144</t>
  </si>
  <si>
    <t xml:space="preserve">TV-00145</t>
  </si>
  <si>
    <t xml:space="preserve">TV-00146</t>
  </si>
  <si>
    <t xml:space="preserve">TV-00147</t>
  </si>
  <si>
    <t xml:space="preserve">TV-00148</t>
  </si>
  <si>
    <t xml:space="preserve">TV-00149</t>
  </si>
  <si>
    <t xml:space="preserve">TV-00150</t>
  </si>
  <si>
    <t xml:space="preserve">TV-00151</t>
  </si>
  <si>
    <t xml:space="preserve">TV-00152</t>
  </si>
  <si>
    <t xml:space="preserve">TV-00153</t>
  </si>
  <si>
    <t xml:space="preserve">TV-00154</t>
  </si>
  <si>
    <t xml:space="preserve">TV-00155</t>
  </si>
  <si>
    <t xml:space="preserve">TV-00156</t>
  </si>
  <si>
    <t xml:space="preserve">TV-00157</t>
  </si>
  <si>
    <t xml:space="preserve">TV-00158</t>
  </si>
  <si>
    <t xml:space="preserve">TV-00159</t>
  </si>
  <si>
    <t xml:space="preserve">TV-00160</t>
  </si>
  <si>
    <t xml:space="preserve">TV-00161</t>
  </si>
  <si>
    <t xml:space="preserve">TV-00162</t>
  </si>
  <si>
    <t xml:space="preserve">TV-00163</t>
  </si>
  <si>
    <t xml:space="preserve">TV-00164</t>
  </si>
  <si>
    <t xml:space="preserve">TV-00165</t>
  </si>
  <si>
    <t xml:space="preserve">TV-00166</t>
  </si>
  <si>
    <t xml:space="preserve">TV-00167</t>
  </si>
  <si>
    <t xml:space="preserve">TV-00168</t>
  </si>
  <si>
    <t xml:space="preserve">TV-00169</t>
  </si>
  <si>
    <t xml:space="preserve">TV-00170</t>
  </si>
  <si>
    <t xml:space="preserve">TV-00171</t>
  </si>
  <si>
    <t xml:space="preserve">TV-00172</t>
  </si>
  <si>
    <t xml:space="preserve">TV-00173</t>
  </si>
  <si>
    <t xml:space="preserve">TV-00174</t>
  </si>
  <si>
    <t xml:space="preserve">TV-00175</t>
  </si>
  <si>
    <t xml:space="preserve">TV-00176</t>
  </si>
  <si>
    <t xml:space="preserve">TV-00177</t>
  </si>
  <si>
    <t xml:space="preserve">TV-00178</t>
  </si>
  <si>
    <t xml:space="preserve">TV-00179</t>
  </si>
  <si>
    <t xml:space="preserve">TV-00180</t>
  </si>
  <si>
    <t xml:space="preserve">TV-00181</t>
  </si>
  <si>
    <t xml:space="preserve">TV-00182</t>
  </si>
  <si>
    <t xml:space="preserve">TV-00183</t>
  </si>
  <si>
    <t xml:space="preserve">TV-00184</t>
  </si>
  <si>
    <t xml:space="preserve">TV-00185</t>
  </si>
  <si>
    <t xml:space="preserve">TV-00186</t>
  </si>
  <si>
    <t xml:space="preserve">TV-00187</t>
  </si>
  <si>
    <t xml:space="preserve">TV-00188</t>
  </si>
  <si>
    <t xml:space="preserve">TV-00189</t>
  </si>
  <si>
    <t xml:space="preserve">TV-00190</t>
  </si>
  <si>
    <t xml:space="preserve">TV-00191</t>
  </si>
  <si>
    <t xml:space="preserve">TV-00192</t>
  </si>
  <si>
    <t xml:space="preserve">TV-00193</t>
  </si>
  <si>
    <t xml:space="preserve">TV-00194</t>
  </si>
  <si>
    <t xml:space="preserve">TV-00195</t>
  </si>
  <si>
    <t xml:space="preserve">TV-00196</t>
  </si>
  <si>
    <t xml:space="preserve">TV-00197</t>
  </si>
  <si>
    <t xml:space="preserve">TV-00198</t>
  </si>
  <si>
    <t xml:space="preserve">TV-00199</t>
  </si>
  <si>
    <t xml:space="preserve">TV-00200</t>
  </si>
  <si>
    <t xml:space="preserve">Teaching Votes Distribution: University × Country</t>
  </si>
  <si>
    <t xml:space="preserve">Count of teaching votes per university, broken down by respondent country (max 15 shown; extend as needed)</t>
  </si>
  <si>
    <t xml:space="preserve">University Name ↓ / Country →</t>
  </si>
  <si>
    <t xml:space="preserve">Total Votes</t>
  </si>
  <si>
    <t xml:space="preserve">Unique Countries</t>
  </si>
  <si>
    <t xml:space="preserve">Teaching Votes Distribution: University × Subject Area</t>
  </si>
  <si>
    <t xml:space="preserve">Count of teaching votes per university, broken down by respondent subject area (11 THE subject groups)</t>
  </si>
  <si>
    <t xml:space="preserve">University Name ↓ / Subject →</t>
  </si>
  <si>
    <t xml:space="preserve">Unique Subjects</t>
  </si>
  <si>
    <t xml:space="preserve">Country × Subject Bucket Counts (per University)</t>
  </si>
  <si>
    <t xml:space="preserve">Detailed breakdown: bucket-level teaching vote counts for entropy calculation</t>
  </si>
  <si>
    <t xml:space="preserve">S.No.</t>
  </si>
  <si>
    <t xml:space="preserve">Country (ISO)</t>
  </si>
  <si>
    <t xml:space="preserve">Bucket ID (Country-Subject)</t>
  </si>
  <si>
    <t xml:space="preserve">Vote Count in Bucket</t>
  </si>
  <si>
    <t xml:space="preserve">% of University's Total Votes</t>
  </si>
  <si>
    <t xml:space="preserve">Entropy Calculation — Teaching Voter Diversity</t>
  </si>
  <si>
    <t xml:space="preserve">H = −Σ pᵢ × log₂(pᵢ) | Higher H = more diverse base. Max H occurs when votes spread equally across all buckets.</t>
  </si>
  <si>
    <t xml:space="preserve">Unique Country×Subject Buckets</t>
  </si>
  <si>
    <t xml:space="preserve">Entropy H (bits)</t>
  </si>
  <si>
    <t xml:space="preserve">Max Possible Entropy (log₂ N)</t>
  </si>
  <si>
    <t xml:space="preserve">Normalized Entropy (H/Hmax)</t>
  </si>
  <si>
    <t xml:space="preserve">Diversity Score (0–100)</t>
  </si>
  <si>
    <t xml:space="preserve">Entropy Helper — Per-University H Calculation</t>
  </si>
  <si>
    <t xml:space="preserve">Sums p×log(p) contributions across all buckets for each university (computed from CountrySubject Buckets sheet)</t>
  </si>
  <si>
    <t xml:space="preserve">Notes</t>
  </si>
  <si>
    <t xml:space="preserve">Teaching Voter Diversity — Final Dashboard &amp; Rankings</t>
  </si>
  <si>
    <t xml:space="preserve">Summary of diversity metrics per university with global ranking</t>
  </si>
  <si>
    <t xml:space="preserve">Rank</t>
  </si>
  <si>
    <t xml:space="preserve">Unique Buckets</t>
  </si>
  <si>
    <t xml:space="preserve">Entropy H</t>
  </si>
  <si>
    <t xml:space="preserve">Tier</t>
  </si>
  <si>
    <t xml:space="preserve">Teaching Voter Diversity — Data Quality &amp; Audit Checklist</t>
  </si>
  <si>
    <t xml:space="preserve">Pre- &amp; post-processing checks specific to entropy-based teaching diversity calculation</t>
  </si>
  <si>
    <t xml:space="preserve">Quality Check</t>
  </si>
  <si>
    <t xml:space="preserve">Status (✓/✗/IP)</t>
  </si>
  <si>
    <t xml:space="preserve">Date Performed</t>
  </si>
  <si>
    <t xml:space="preserve">Reviewer</t>
  </si>
  <si>
    <t xml:space="preserve">Country coding consistency</t>
  </si>
  <si>
    <t xml:space="preserve">All respondent countries coded using consistent ISO-3 codes (matches Country List sheet)</t>
  </si>
  <si>
    <t xml:space="preserve">Subject coding consistency</t>
  </si>
  <si>
    <t xml:space="preserve">All respondent subjects mapped to THE's 11 standard subject groups (matches Subject Areas sheet)</t>
  </si>
  <si>
    <t xml:space="preserve">Bucket concatenation check</t>
  </si>
  <si>
    <t xml:space="preserve">Country×Subject bucket strings correctly concatenated (e.g., 'USA-CS', no trailing spaces)</t>
  </si>
  <si>
    <t xml:space="preserve">Self-vote exclusion</t>
  </si>
  <si>
    <t xml:space="preserve">Votes where respondent's home country/institution matches target institution flagged and excluded/diluted</t>
  </si>
  <si>
    <t xml:space="preserve">Zero-vote university filter</t>
  </si>
  <si>
    <t xml:space="preserve">Universities with zero teaching votes excluded from entropy calculation (division by zero safeguard)</t>
  </si>
  <si>
    <t xml:space="preserve">Single-bucket university check</t>
  </si>
  <si>
    <t xml:space="preserve">Universities whose votes come from only 1 bucket flagged (H=0; minimal diversity)</t>
  </si>
  <si>
    <t xml:space="preserve">Missing country data</t>
  </si>
  <si>
    <t xml:space="preserve">No raw votes have missing or 'Unknown' country codes</t>
  </si>
  <si>
    <t xml:space="preserve">Missing subject data</t>
  </si>
  <si>
    <t xml:space="preserve">No raw votes have missing or 'Unknown' subject codes</t>
  </si>
  <si>
    <t xml:space="preserve">Vote count reconciliation</t>
  </si>
  <si>
    <t xml:space="preserve">Sum of bucket counts = total university votes (validation check)</t>
  </si>
  <si>
    <t xml:space="preserve">Log base consistency</t>
  </si>
  <si>
    <t xml:space="preserve">Entropy calculated consistently using log base 2 (bits) throughout all sheets</t>
  </si>
  <si>
    <t xml:space="preserve">Normalization baseline</t>
  </si>
  <si>
    <t xml:space="preserve">Normalized diversity score uses consistent max/reference across all universities</t>
  </si>
  <si>
    <t xml:space="preserve">Weight calibration</t>
  </si>
  <si>
    <t xml:space="preserve">Teaching diversity weight = 3.33% of overall WRR (half of research diversity weight)</t>
  </si>
  <si>
    <t xml:space="preserve">Country over-representation</t>
  </si>
  <si>
    <t xml:space="preserve">Distribution of respondents across countries checked for weighting needs</t>
  </si>
  <si>
    <t xml:space="preserve">Subject over-representation</t>
  </si>
  <si>
    <t xml:space="preserve">Distribution of respondents across subjects checked for weighting needs</t>
  </si>
  <si>
    <t xml:space="preserve">Entropy stability check</t>
  </si>
  <si>
    <t xml:space="preserve">Entropy values re-computed after any data corrections or exclusions</t>
  </si>
  <si>
    <t xml:space="preserve">Tier assignment logic</t>
  </si>
  <si>
    <t xml:space="preserve">Diversity tiers (Very Low to Very High) calibrated against THE's published benchmarks</t>
  </si>
  <si>
    <t xml:space="preserve">Cross-validation with WRR 2025</t>
  </si>
  <si>
    <t xml:space="preserve">Spot-check results against THE's published 2025 voter-diversity top performers (Harvard, Oxford, Cambridge led)</t>
  </si>
  <si>
    <t xml:space="preserve">Merger/rebranding handling</t>
  </si>
  <si>
    <t xml:space="preserve">Pre-merger vs post-merger vote attribution handled per THE's corrections policy</t>
  </si>
  <si>
    <t xml:space="preserve">Documentation completeness</t>
  </si>
  <si>
    <t xml:space="preserve">All formulas, lookups, and bucket definitions documented in methodology sheet</t>
  </si>
  <si>
    <t xml:space="preserve">Reproducibility test</t>
  </si>
  <si>
    <t xml:space="preserve">Calculation reproducible by independent analyst using only this workbook and raw 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</si>
</sst>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.00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4"/>
      <color rgb="FF1A2E4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F8F9D"/>
        <bgColor rgb="FF2E75B6"/>
      </patternFill>
    </fill>
    <fill>
      <patternFill patternType="solid">
        <fgColor rgb="FF1F5F6A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C8102E"/>
        <bgColor rgb="FF99330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  <fill>
      <patternFill patternType="solid">
        <fgColor rgb="FFED7D31"/>
        <bgColor rgb="FFFF8080"/>
      </patternFill>
    </fill>
    <fill>
      <patternFill patternType="solid">
        <fgColor rgb="FFBF8F00"/>
        <bgColor rgb="FFED7D31"/>
      </patternFill>
    </fill>
    <fill>
      <patternFill patternType="solid">
        <fgColor rgb="FF1A2E4F"/>
        <bgColor rgb="FF404040"/>
      </patternFill>
    </fill>
    <fill>
      <patternFill patternType="solid">
        <fgColor rgb="FF548235"/>
        <bgColor rgb="FF80808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F5F6A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6A"/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69.75" hidden="false" customHeight="true" outlineLevel="0" collapsed="false">
      <c r="A5" s="4" t="n">
        <v>1</v>
      </c>
      <c r="B5" s="5" t="s">
        <v>6</v>
      </c>
      <c r="C5" s="6" t="s">
        <v>7</v>
      </c>
      <c r="D5" s="4" t="s">
        <v>8</v>
      </c>
    </row>
    <row r="6" customFormat="false" ht="69.75" hidden="false" customHeight="true" outlineLevel="0" collapsed="false">
      <c r="A6" s="7" t="n">
        <v>2</v>
      </c>
      <c r="B6" s="8" t="s">
        <v>9</v>
      </c>
      <c r="C6" s="9" t="s">
        <v>10</v>
      </c>
      <c r="D6" s="7" t="s">
        <v>11</v>
      </c>
    </row>
    <row r="7" customFormat="false" ht="69.75" hidden="false" customHeight="true" outlineLevel="0" collapsed="false">
      <c r="A7" s="4" t="n">
        <v>3</v>
      </c>
      <c r="B7" s="5" t="s">
        <v>12</v>
      </c>
      <c r="C7" s="6" t="s">
        <v>13</v>
      </c>
      <c r="D7" s="4" t="s">
        <v>14</v>
      </c>
    </row>
    <row r="8" customFormat="false" ht="69.75" hidden="false" customHeight="true" outlineLevel="0" collapsed="false">
      <c r="A8" s="7" t="n">
        <v>4</v>
      </c>
      <c r="B8" s="8" t="s">
        <v>15</v>
      </c>
      <c r="C8" s="9" t="s">
        <v>16</v>
      </c>
      <c r="D8" s="7" t="s">
        <v>17</v>
      </c>
    </row>
    <row r="9" customFormat="false" ht="69.75" hidden="false" customHeight="true" outlineLevel="0" collapsed="false">
      <c r="A9" s="4" t="n">
        <v>5</v>
      </c>
      <c r="B9" s="5" t="s">
        <v>18</v>
      </c>
      <c r="C9" s="6" t="s">
        <v>19</v>
      </c>
      <c r="D9" s="4" t="s">
        <v>20</v>
      </c>
    </row>
    <row r="10" customFormat="false" ht="69.75" hidden="false" customHeight="true" outlineLevel="0" collapsed="false">
      <c r="A10" s="7" t="n">
        <v>6</v>
      </c>
      <c r="B10" s="8" t="s">
        <v>21</v>
      </c>
      <c r="C10" s="9" t="s">
        <v>22</v>
      </c>
      <c r="D10" s="7" t="s">
        <v>23</v>
      </c>
    </row>
    <row r="12" customFormat="false" ht="25.5" hidden="false" customHeight="true" outlineLevel="0" collapsed="false">
      <c r="A12" s="10" t="s">
        <v>24</v>
      </c>
      <c r="B12" s="10"/>
      <c r="C12" s="10"/>
      <c r="D12" s="10"/>
    </row>
    <row r="13" customFormat="false" ht="31.5" hidden="false" customHeight="true" outlineLevel="0" collapsed="false">
      <c r="A13" s="11" t="s">
        <v>25</v>
      </c>
      <c r="B13" s="11"/>
      <c r="C13" s="11"/>
      <c r="D13" s="11"/>
    </row>
    <row r="14" customFormat="false" ht="39.75" hidden="false" customHeight="true" outlineLevel="0" collapsed="false">
      <c r="A14" s="12" t="s">
        <v>26</v>
      </c>
      <c r="B14" s="12"/>
      <c r="C14" s="12"/>
      <c r="D14" s="12"/>
    </row>
  </sheetData>
  <mergeCells count="5">
    <mergeCell ref="A1:D1"/>
    <mergeCell ref="A2:D2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13" t="s">
        <v>27</v>
      </c>
      <c r="B1" s="13"/>
      <c r="C1" s="13"/>
      <c r="D1" s="13"/>
      <c r="E1" s="13"/>
    </row>
    <row r="2" customFormat="false" ht="25.5" hidden="false" customHeight="true" outlineLevel="0" collapsed="false">
      <c r="A2" s="14" t="s">
        <v>28</v>
      </c>
      <c r="B2" s="14"/>
      <c r="C2" s="14"/>
      <c r="D2" s="14"/>
      <c r="E2" s="14"/>
    </row>
    <row r="3" customFormat="false" ht="23.85" hidden="false" customHeight="false" outlineLevel="0" collapsed="false">
      <c r="A3" s="15" t="s">
        <v>2</v>
      </c>
      <c r="B3" s="15" t="s">
        <v>29</v>
      </c>
      <c r="C3" s="15" t="s">
        <v>30</v>
      </c>
      <c r="D3" s="15" t="s">
        <v>31</v>
      </c>
      <c r="E3" s="15" t="s">
        <v>32</v>
      </c>
    </row>
    <row r="4" customFormat="false" ht="15" hidden="false" customHeight="false" outlineLevel="0" collapsed="false">
      <c r="A4" s="7" t="n">
        <v>1</v>
      </c>
      <c r="B4" s="9" t="s">
        <v>33</v>
      </c>
      <c r="C4" s="7" t="s">
        <v>34</v>
      </c>
      <c r="D4" s="7" t="s">
        <v>35</v>
      </c>
      <c r="E4" s="16"/>
    </row>
    <row r="5" customFormat="false" ht="15" hidden="false" customHeight="false" outlineLevel="0" collapsed="false">
      <c r="A5" s="4" t="n">
        <v>2</v>
      </c>
      <c r="B5" s="6" t="s">
        <v>36</v>
      </c>
      <c r="C5" s="4" t="s">
        <v>37</v>
      </c>
      <c r="D5" s="4" t="s">
        <v>38</v>
      </c>
      <c r="E5" s="17"/>
    </row>
    <row r="6" customFormat="false" ht="15" hidden="false" customHeight="false" outlineLevel="0" collapsed="false">
      <c r="A6" s="7" t="n">
        <v>3</v>
      </c>
      <c r="B6" s="9" t="s">
        <v>39</v>
      </c>
      <c r="C6" s="7" t="s">
        <v>40</v>
      </c>
      <c r="D6" s="7" t="s">
        <v>41</v>
      </c>
      <c r="E6" s="16"/>
    </row>
    <row r="7" customFormat="false" ht="15" hidden="false" customHeight="false" outlineLevel="0" collapsed="false">
      <c r="A7" s="4" t="n">
        <v>4</v>
      </c>
      <c r="B7" s="6" t="s">
        <v>42</v>
      </c>
      <c r="C7" s="4" t="s">
        <v>43</v>
      </c>
      <c r="D7" s="4" t="s">
        <v>38</v>
      </c>
      <c r="E7" s="17"/>
    </row>
    <row r="8" customFormat="false" ht="15" hidden="false" customHeight="false" outlineLevel="0" collapsed="false">
      <c r="A8" s="7" t="n">
        <v>5</v>
      </c>
      <c r="B8" s="9" t="s">
        <v>44</v>
      </c>
      <c r="C8" s="7" t="s">
        <v>45</v>
      </c>
      <c r="D8" s="7" t="s">
        <v>41</v>
      </c>
      <c r="E8" s="16"/>
    </row>
    <row r="9" customFormat="false" ht="15" hidden="false" customHeight="false" outlineLevel="0" collapsed="false">
      <c r="A9" s="4" t="n">
        <v>6</v>
      </c>
      <c r="B9" s="6" t="s">
        <v>46</v>
      </c>
      <c r="C9" s="4" t="s">
        <v>47</v>
      </c>
      <c r="D9" s="4" t="s">
        <v>48</v>
      </c>
      <c r="E9" s="17"/>
    </row>
    <row r="10" customFormat="false" ht="15" hidden="false" customHeight="false" outlineLevel="0" collapsed="false">
      <c r="A10" s="7" t="n">
        <v>7</v>
      </c>
      <c r="B10" s="9" t="s">
        <v>49</v>
      </c>
      <c r="C10" s="7" t="s">
        <v>50</v>
      </c>
      <c r="D10" s="7" t="s">
        <v>38</v>
      </c>
      <c r="E10" s="16"/>
    </row>
    <row r="11" customFormat="false" ht="15" hidden="false" customHeight="false" outlineLevel="0" collapsed="false">
      <c r="A11" s="4" t="n">
        <v>8</v>
      </c>
      <c r="B11" s="6" t="s">
        <v>51</v>
      </c>
      <c r="C11" s="4" t="s">
        <v>52</v>
      </c>
      <c r="D11" s="4" t="s">
        <v>38</v>
      </c>
      <c r="E11" s="17"/>
    </row>
    <row r="12" customFormat="false" ht="15" hidden="false" customHeight="false" outlineLevel="0" collapsed="false">
      <c r="A12" s="7" t="n">
        <v>9</v>
      </c>
      <c r="B12" s="9" t="s">
        <v>53</v>
      </c>
      <c r="C12" s="7" t="s">
        <v>54</v>
      </c>
      <c r="D12" s="7" t="s">
        <v>35</v>
      </c>
      <c r="E12" s="16"/>
    </row>
    <row r="13" customFormat="false" ht="15" hidden="false" customHeight="false" outlineLevel="0" collapsed="false">
      <c r="A13" s="4" t="n">
        <v>10</v>
      </c>
      <c r="B13" s="6" t="s">
        <v>55</v>
      </c>
      <c r="C13" s="4" t="s">
        <v>56</v>
      </c>
      <c r="D13" s="4" t="s">
        <v>41</v>
      </c>
      <c r="E13" s="17"/>
    </row>
    <row r="14" customFormat="false" ht="15" hidden="false" customHeight="false" outlineLevel="0" collapsed="false">
      <c r="A14" s="7" t="n">
        <v>11</v>
      </c>
      <c r="B14" s="9" t="s">
        <v>57</v>
      </c>
      <c r="C14" s="7" t="s">
        <v>58</v>
      </c>
      <c r="D14" s="7" t="s">
        <v>38</v>
      </c>
      <c r="E14" s="16"/>
    </row>
    <row r="15" customFormat="false" ht="15" hidden="false" customHeight="false" outlineLevel="0" collapsed="false">
      <c r="A15" s="4" t="n">
        <v>12</v>
      </c>
      <c r="B15" s="6" t="s">
        <v>59</v>
      </c>
      <c r="C15" s="4" t="s">
        <v>60</v>
      </c>
      <c r="D15" s="4" t="s">
        <v>38</v>
      </c>
      <c r="E15" s="17"/>
    </row>
    <row r="16" customFormat="false" ht="15" hidden="false" customHeight="false" outlineLevel="0" collapsed="false">
      <c r="A16" s="7" t="n">
        <v>13</v>
      </c>
      <c r="B16" s="9" t="s">
        <v>61</v>
      </c>
      <c r="C16" s="7" t="s">
        <v>62</v>
      </c>
      <c r="D16" s="7" t="s">
        <v>38</v>
      </c>
      <c r="E16" s="16"/>
    </row>
    <row r="17" customFormat="false" ht="15" hidden="false" customHeight="false" outlineLevel="0" collapsed="false">
      <c r="A17" s="4" t="n">
        <v>14</v>
      </c>
      <c r="B17" s="6" t="s">
        <v>63</v>
      </c>
      <c r="C17" s="4" t="s">
        <v>64</v>
      </c>
      <c r="D17" s="4" t="s">
        <v>38</v>
      </c>
      <c r="E17" s="17"/>
    </row>
    <row r="18" customFormat="false" ht="15" hidden="false" customHeight="false" outlineLevel="0" collapsed="false">
      <c r="A18" s="7" t="n">
        <v>15</v>
      </c>
      <c r="B18" s="9" t="s">
        <v>65</v>
      </c>
      <c r="C18" s="7" t="s">
        <v>66</v>
      </c>
      <c r="D18" s="7" t="s">
        <v>38</v>
      </c>
      <c r="E18" s="16"/>
    </row>
    <row r="19" customFormat="false" ht="15" hidden="false" customHeight="false" outlineLevel="0" collapsed="false">
      <c r="A19" s="4" t="n">
        <v>16</v>
      </c>
      <c r="B19" s="6" t="s">
        <v>67</v>
      </c>
      <c r="C19" s="4" t="s">
        <v>68</v>
      </c>
      <c r="D19" s="4" t="s">
        <v>41</v>
      </c>
      <c r="E19" s="17"/>
    </row>
    <row r="20" customFormat="false" ht="15" hidden="false" customHeight="false" outlineLevel="0" collapsed="false">
      <c r="A20" s="7" t="n">
        <v>17</v>
      </c>
      <c r="B20" s="9" t="s">
        <v>69</v>
      </c>
      <c r="C20" s="7" t="s">
        <v>70</v>
      </c>
      <c r="D20" s="7" t="s">
        <v>41</v>
      </c>
      <c r="E20" s="16"/>
    </row>
    <row r="21" customFormat="false" ht="15" hidden="false" customHeight="false" outlineLevel="0" collapsed="false">
      <c r="A21" s="4" t="n">
        <v>18</v>
      </c>
      <c r="B21" s="6" t="s">
        <v>71</v>
      </c>
      <c r="C21" s="4" t="s">
        <v>72</v>
      </c>
      <c r="D21" s="4" t="s">
        <v>41</v>
      </c>
      <c r="E21" s="17"/>
    </row>
    <row r="22" customFormat="false" ht="15" hidden="false" customHeight="false" outlineLevel="0" collapsed="false">
      <c r="A22" s="7" t="n">
        <v>19</v>
      </c>
      <c r="B22" s="9" t="s">
        <v>73</v>
      </c>
      <c r="C22" s="7" t="s">
        <v>74</v>
      </c>
      <c r="D22" s="7" t="s">
        <v>38</v>
      </c>
      <c r="E22" s="16"/>
    </row>
    <row r="23" customFormat="false" ht="15" hidden="false" customHeight="false" outlineLevel="0" collapsed="false">
      <c r="A23" s="4" t="n">
        <v>20</v>
      </c>
      <c r="B23" s="6" t="s">
        <v>75</v>
      </c>
      <c r="C23" s="4" t="s">
        <v>76</v>
      </c>
      <c r="D23" s="4" t="s">
        <v>41</v>
      </c>
      <c r="E23" s="17"/>
    </row>
    <row r="24" customFormat="false" ht="15" hidden="false" customHeight="false" outlineLevel="0" collapsed="false">
      <c r="A24" s="7" t="n">
        <v>21</v>
      </c>
      <c r="B24" s="9" t="s">
        <v>77</v>
      </c>
      <c r="C24" s="7" t="s">
        <v>78</v>
      </c>
      <c r="D24" s="7" t="s">
        <v>38</v>
      </c>
      <c r="E24" s="16"/>
    </row>
    <row r="25" customFormat="false" ht="15" hidden="false" customHeight="false" outlineLevel="0" collapsed="false">
      <c r="A25" s="4" t="n">
        <v>22</v>
      </c>
      <c r="B25" s="6" t="s">
        <v>79</v>
      </c>
      <c r="C25" s="4" t="s">
        <v>80</v>
      </c>
      <c r="D25" s="4" t="s">
        <v>38</v>
      </c>
      <c r="E25" s="17"/>
    </row>
    <row r="26" customFormat="false" ht="15" hidden="false" customHeight="false" outlineLevel="0" collapsed="false">
      <c r="A26" s="7" t="n">
        <v>23</v>
      </c>
      <c r="B26" s="9" t="s">
        <v>81</v>
      </c>
      <c r="C26" s="7" t="s">
        <v>82</v>
      </c>
      <c r="D26" s="7" t="s">
        <v>38</v>
      </c>
      <c r="E26" s="16"/>
    </row>
    <row r="27" customFormat="false" ht="15" hidden="false" customHeight="false" outlineLevel="0" collapsed="false">
      <c r="A27" s="4" t="n">
        <v>24</v>
      </c>
      <c r="B27" s="6" t="s">
        <v>83</v>
      </c>
      <c r="C27" s="4" t="s">
        <v>84</v>
      </c>
      <c r="D27" s="4" t="s">
        <v>85</v>
      </c>
      <c r="E27" s="17"/>
    </row>
    <row r="28" customFormat="false" ht="15" hidden="false" customHeight="false" outlineLevel="0" collapsed="false">
      <c r="A28" s="7" t="n">
        <v>25</v>
      </c>
      <c r="B28" s="9" t="s">
        <v>86</v>
      </c>
      <c r="C28" s="7" t="s">
        <v>87</v>
      </c>
      <c r="D28" s="7" t="s">
        <v>41</v>
      </c>
      <c r="E28" s="16"/>
    </row>
    <row r="29" customFormat="false" ht="15" hidden="false" customHeight="false" outlineLevel="0" collapsed="false">
      <c r="A29" s="4" t="n">
        <v>26</v>
      </c>
      <c r="B29" s="6" t="s">
        <v>88</v>
      </c>
      <c r="C29" s="4" t="s">
        <v>89</v>
      </c>
      <c r="D29" s="4" t="s">
        <v>90</v>
      </c>
      <c r="E29" s="17"/>
    </row>
    <row r="30" customFormat="false" ht="15" hidden="false" customHeight="false" outlineLevel="0" collapsed="false">
      <c r="A30" s="7" t="n">
        <v>27</v>
      </c>
      <c r="B30" s="9" t="s">
        <v>91</v>
      </c>
      <c r="C30" s="7" t="s">
        <v>92</v>
      </c>
      <c r="D30" s="7" t="s">
        <v>35</v>
      </c>
      <c r="E30" s="16"/>
    </row>
    <row r="31" customFormat="false" ht="15" hidden="false" customHeight="false" outlineLevel="0" collapsed="false">
      <c r="A31" s="4" t="n">
        <v>28</v>
      </c>
      <c r="B31" s="6" t="s">
        <v>93</v>
      </c>
      <c r="C31" s="4" t="s">
        <v>94</v>
      </c>
      <c r="D31" s="4" t="s">
        <v>95</v>
      </c>
      <c r="E31" s="17"/>
    </row>
    <row r="32" customFormat="false" ht="15" hidden="false" customHeight="false" outlineLevel="0" collapsed="false">
      <c r="A32" s="7" t="n">
        <v>29</v>
      </c>
      <c r="B32" s="9" t="s">
        <v>96</v>
      </c>
      <c r="C32" s="7" t="s">
        <v>97</v>
      </c>
      <c r="D32" s="7" t="s">
        <v>38</v>
      </c>
      <c r="E32" s="16"/>
    </row>
    <row r="33" customFormat="false" ht="15" hidden="false" customHeight="false" outlineLevel="0" collapsed="false">
      <c r="A33" s="4" t="n">
        <v>30</v>
      </c>
      <c r="B33" s="6" t="s">
        <v>98</v>
      </c>
      <c r="C33" s="4" t="s">
        <v>99</v>
      </c>
      <c r="D33" s="4" t="s">
        <v>48</v>
      </c>
      <c r="E33" s="17"/>
    </row>
    <row r="34" customFormat="false" ht="15" hidden="false" customHeight="false" outlineLevel="0" collapsed="false">
      <c r="A34" s="7" t="n">
        <v>31</v>
      </c>
      <c r="B34" s="9" t="s">
        <v>100</v>
      </c>
      <c r="C34" s="7" t="s">
        <v>101</v>
      </c>
      <c r="D34" s="7" t="s">
        <v>38</v>
      </c>
      <c r="E34" s="16"/>
    </row>
    <row r="35" customFormat="false" ht="15" hidden="false" customHeight="false" outlineLevel="0" collapsed="false">
      <c r="A35" s="4" t="n">
        <v>32</v>
      </c>
      <c r="B35" s="6" t="s">
        <v>102</v>
      </c>
      <c r="C35" s="4" t="s">
        <v>103</v>
      </c>
      <c r="D35" s="4" t="s">
        <v>90</v>
      </c>
      <c r="E35" s="17"/>
    </row>
    <row r="36" customFormat="false" ht="15" hidden="false" customHeight="false" outlineLevel="0" collapsed="false">
      <c r="A36" s="7" t="n">
        <v>33</v>
      </c>
      <c r="B36" s="9" t="s">
        <v>104</v>
      </c>
      <c r="C36" s="7" t="s">
        <v>105</v>
      </c>
      <c r="D36" s="7" t="s">
        <v>41</v>
      </c>
      <c r="E36" s="16"/>
    </row>
    <row r="37" customFormat="false" ht="15" hidden="false" customHeight="false" outlineLevel="0" collapsed="false">
      <c r="A37" s="4" t="n">
        <v>34</v>
      </c>
      <c r="B37" s="6" t="s">
        <v>106</v>
      </c>
      <c r="C37" s="4" t="s">
        <v>107</v>
      </c>
      <c r="D37" s="4" t="s">
        <v>41</v>
      </c>
      <c r="E37" s="17"/>
    </row>
    <row r="38" customFormat="false" ht="15" hidden="false" customHeight="false" outlineLevel="0" collapsed="false">
      <c r="A38" s="7" t="n">
        <v>35</v>
      </c>
      <c r="B38" s="9" t="s">
        <v>108</v>
      </c>
      <c r="C38" s="7" t="s">
        <v>109</v>
      </c>
      <c r="D38" s="7" t="s">
        <v>41</v>
      </c>
      <c r="E38" s="16"/>
    </row>
    <row r="39" customFormat="false" ht="15" hidden="false" customHeight="false" outlineLevel="0" collapsed="false">
      <c r="A39" s="4" t="n">
        <v>36</v>
      </c>
      <c r="B39" s="6" t="s">
        <v>110</v>
      </c>
      <c r="C39" s="4" t="s">
        <v>111</v>
      </c>
      <c r="D39" s="4" t="s">
        <v>85</v>
      </c>
      <c r="E39" s="17"/>
    </row>
    <row r="40" customFormat="false" ht="15" hidden="false" customHeight="false" outlineLevel="0" collapsed="false">
      <c r="A40" s="7" t="n">
        <v>37</v>
      </c>
      <c r="B40" s="9" t="s">
        <v>112</v>
      </c>
      <c r="C40" s="7" t="s">
        <v>113</v>
      </c>
      <c r="D40" s="7" t="s">
        <v>41</v>
      </c>
      <c r="E40" s="16"/>
    </row>
    <row r="41" customFormat="false" ht="15" hidden="false" customHeight="false" outlineLevel="0" collapsed="false">
      <c r="A41" s="4" t="n">
        <v>38</v>
      </c>
      <c r="B41" s="6" t="s">
        <v>114</v>
      </c>
      <c r="C41" s="4" t="s">
        <v>115</v>
      </c>
      <c r="D41" s="4" t="s">
        <v>85</v>
      </c>
      <c r="E41" s="1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8" t="s">
        <v>116</v>
      </c>
      <c r="B1" s="18"/>
      <c r="C1" s="18"/>
      <c r="D1" s="18"/>
    </row>
    <row r="2" customFormat="false" ht="25.5" hidden="false" customHeight="true" outlineLevel="0" collapsed="false">
      <c r="A2" s="19" t="s">
        <v>117</v>
      </c>
      <c r="B2" s="19"/>
      <c r="C2" s="19"/>
      <c r="D2" s="19"/>
    </row>
    <row r="3" customFormat="false" ht="15" hidden="false" customHeight="false" outlineLevel="0" collapsed="false">
      <c r="A3" s="20" t="s">
        <v>2</v>
      </c>
      <c r="B3" s="20" t="s">
        <v>118</v>
      </c>
      <c r="C3" s="20" t="s">
        <v>119</v>
      </c>
      <c r="D3" s="20" t="s">
        <v>120</v>
      </c>
    </row>
    <row r="4" customFormat="false" ht="39.75" hidden="false" customHeight="true" outlineLevel="0" collapsed="false">
      <c r="A4" s="7" t="n">
        <v>1</v>
      </c>
      <c r="B4" s="8" t="s">
        <v>121</v>
      </c>
      <c r="C4" s="9" t="s">
        <v>122</v>
      </c>
      <c r="D4" s="21" t="s">
        <v>123</v>
      </c>
    </row>
    <row r="5" customFormat="false" ht="39.75" hidden="false" customHeight="true" outlineLevel="0" collapsed="false">
      <c r="A5" s="4" t="n">
        <v>2</v>
      </c>
      <c r="B5" s="5" t="s">
        <v>124</v>
      </c>
      <c r="C5" s="6" t="s">
        <v>125</v>
      </c>
      <c r="D5" s="22" t="s">
        <v>126</v>
      </c>
    </row>
    <row r="6" customFormat="false" ht="39.75" hidden="false" customHeight="true" outlineLevel="0" collapsed="false">
      <c r="A6" s="7" t="n">
        <v>3</v>
      </c>
      <c r="B6" s="8" t="s">
        <v>127</v>
      </c>
      <c r="C6" s="9" t="s">
        <v>128</v>
      </c>
      <c r="D6" s="21" t="s">
        <v>129</v>
      </c>
    </row>
    <row r="7" customFormat="false" ht="39.75" hidden="false" customHeight="true" outlineLevel="0" collapsed="false">
      <c r="A7" s="4" t="n">
        <v>4</v>
      </c>
      <c r="B7" s="5" t="s">
        <v>130</v>
      </c>
      <c r="C7" s="6" t="s">
        <v>131</v>
      </c>
      <c r="D7" s="22" t="s">
        <v>132</v>
      </c>
    </row>
    <row r="8" customFormat="false" ht="39.75" hidden="false" customHeight="true" outlineLevel="0" collapsed="false">
      <c r="A8" s="7" t="n">
        <v>5</v>
      </c>
      <c r="B8" s="8" t="s">
        <v>133</v>
      </c>
      <c r="C8" s="9" t="s">
        <v>134</v>
      </c>
      <c r="D8" s="21" t="s">
        <v>135</v>
      </c>
    </row>
    <row r="9" customFormat="false" ht="39.75" hidden="false" customHeight="true" outlineLevel="0" collapsed="false">
      <c r="A9" s="4" t="n">
        <v>6</v>
      </c>
      <c r="B9" s="5" t="s">
        <v>136</v>
      </c>
      <c r="C9" s="6" t="s">
        <v>137</v>
      </c>
      <c r="D9" s="22" t="s">
        <v>138</v>
      </c>
    </row>
    <row r="10" customFormat="false" ht="39.75" hidden="false" customHeight="true" outlineLevel="0" collapsed="false">
      <c r="A10" s="7" t="n">
        <v>7</v>
      </c>
      <c r="B10" s="8" t="s">
        <v>139</v>
      </c>
      <c r="C10" s="9" t="s">
        <v>140</v>
      </c>
      <c r="D10" s="21" t="s">
        <v>141</v>
      </c>
    </row>
    <row r="11" customFormat="false" ht="39.75" hidden="false" customHeight="true" outlineLevel="0" collapsed="false">
      <c r="A11" s="4" t="n">
        <v>8</v>
      </c>
      <c r="B11" s="5" t="s">
        <v>142</v>
      </c>
      <c r="C11" s="6" t="s">
        <v>143</v>
      </c>
      <c r="D11" s="22" t="s">
        <v>144</v>
      </c>
    </row>
    <row r="12" customFormat="false" ht="39.75" hidden="false" customHeight="true" outlineLevel="0" collapsed="false">
      <c r="A12" s="7" t="n">
        <v>9</v>
      </c>
      <c r="B12" s="8" t="s">
        <v>145</v>
      </c>
      <c r="C12" s="9" t="s">
        <v>146</v>
      </c>
      <c r="D12" s="21" t="s">
        <v>147</v>
      </c>
    </row>
    <row r="13" customFormat="false" ht="39.75" hidden="false" customHeight="true" outlineLevel="0" collapsed="false">
      <c r="A13" s="4" t="n">
        <v>10</v>
      </c>
      <c r="B13" s="5" t="s">
        <v>148</v>
      </c>
      <c r="C13" s="6" t="s">
        <v>149</v>
      </c>
      <c r="D13" s="22" t="s">
        <v>150</v>
      </c>
    </row>
    <row r="14" customFormat="false" ht="39.75" hidden="false" customHeight="true" outlineLevel="0" collapsed="false">
      <c r="A14" s="7" t="n">
        <v>11</v>
      </c>
      <c r="B14" s="8" t="s">
        <v>151</v>
      </c>
      <c r="C14" s="9" t="s">
        <v>152</v>
      </c>
      <c r="D14" s="21" t="s">
        <v>153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23" t="s">
        <v>154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25.5" hidden="false" customHeight="true" outlineLevel="0" collapsed="false">
      <c r="A2" s="10" t="s">
        <v>155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23.85" hidden="false" customHeight="false" outlineLevel="0" collapsed="false">
      <c r="A3" s="24" t="s">
        <v>156</v>
      </c>
      <c r="B3" s="24" t="s">
        <v>157</v>
      </c>
      <c r="C3" s="24" t="s">
        <v>158</v>
      </c>
      <c r="D3" s="24" t="s">
        <v>159</v>
      </c>
      <c r="E3" s="24" t="s">
        <v>160</v>
      </c>
      <c r="F3" s="24" t="s">
        <v>161</v>
      </c>
      <c r="G3" s="24" t="s">
        <v>162</v>
      </c>
      <c r="H3" s="24" t="s">
        <v>163</v>
      </c>
      <c r="I3" s="24" t="s">
        <v>164</v>
      </c>
      <c r="J3" s="24" t="s">
        <v>165</v>
      </c>
    </row>
    <row r="4" customFormat="false" ht="23.85" hidden="false" customHeight="false" outlineLevel="0" collapsed="false">
      <c r="A4" s="7" t="s">
        <v>166</v>
      </c>
      <c r="B4" s="16"/>
      <c r="C4" s="16"/>
      <c r="D4" s="16"/>
      <c r="E4" s="16"/>
      <c r="F4" s="16"/>
      <c r="G4" s="16"/>
      <c r="H4" s="7" t="str">
        <f aca="false">IFERROR(IF(AND(E4&lt;&gt;"",G4&lt;&gt;""),E4&amp;"-"&amp;G4,""),"")</f>
        <v/>
      </c>
      <c r="I4" s="16"/>
      <c r="J4" s="16"/>
    </row>
    <row r="5" customFormat="false" ht="23.85" hidden="false" customHeight="false" outlineLevel="0" collapsed="false">
      <c r="A5" s="4" t="s">
        <v>167</v>
      </c>
      <c r="B5" s="17"/>
      <c r="C5" s="17"/>
      <c r="D5" s="17"/>
      <c r="E5" s="17"/>
      <c r="F5" s="17"/>
      <c r="G5" s="17"/>
      <c r="H5" s="4" t="str">
        <f aca="false">IFERROR(IF(AND(E5&lt;&gt;"",G5&lt;&gt;""),E5&amp;"-"&amp;G5,""),"")</f>
        <v/>
      </c>
      <c r="I5" s="17"/>
      <c r="J5" s="17"/>
    </row>
    <row r="6" customFormat="false" ht="23.85" hidden="false" customHeight="false" outlineLevel="0" collapsed="false">
      <c r="A6" s="7" t="s">
        <v>168</v>
      </c>
      <c r="B6" s="16"/>
      <c r="C6" s="16"/>
      <c r="D6" s="16"/>
      <c r="E6" s="16"/>
      <c r="F6" s="16"/>
      <c r="G6" s="16"/>
      <c r="H6" s="7" t="str">
        <f aca="false">IFERROR(IF(AND(E6&lt;&gt;"",G6&lt;&gt;""),E6&amp;"-"&amp;G6,""),"")</f>
        <v/>
      </c>
      <c r="I6" s="16"/>
      <c r="J6" s="16"/>
    </row>
    <row r="7" customFormat="false" ht="23.85" hidden="false" customHeight="false" outlineLevel="0" collapsed="false">
      <c r="A7" s="4" t="s">
        <v>169</v>
      </c>
      <c r="B7" s="17"/>
      <c r="C7" s="17"/>
      <c r="D7" s="17"/>
      <c r="E7" s="17"/>
      <c r="F7" s="17"/>
      <c r="G7" s="17"/>
      <c r="H7" s="4" t="str">
        <f aca="false">IFERROR(IF(AND(E7&lt;&gt;"",G7&lt;&gt;""),E7&amp;"-"&amp;G7,""),"")</f>
        <v/>
      </c>
      <c r="I7" s="17"/>
      <c r="J7" s="17"/>
    </row>
    <row r="8" customFormat="false" ht="23.85" hidden="false" customHeight="false" outlineLevel="0" collapsed="false">
      <c r="A8" s="7" t="s">
        <v>170</v>
      </c>
      <c r="B8" s="16"/>
      <c r="C8" s="16"/>
      <c r="D8" s="16"/>
      <c r="E8" s="16"/>
      <c r="F8" s="16"/>
      <c r="G8" s="16"/>
      <c r="H8" s="7" t="str">
        <f aca="false">IFERROR(IF(AND(E8&lt;&gt;"",G8&lt;&gt;""),E8&amp;"-"&amp;G8,""),"")</f>
        <v/>
      </c>
      <c r="I8" s="16"/>
      <c r="J8" s="16"/>
    </row>
    <row r="9" customFormat="false" ht="23.85" hidden="false" customHeight="false" outlineLevel="0" collapsed="false">
      <c r="A9" s="4" t="s">
        <v>171</v>
      </c>
      <c r="B9" s="17"/>
      <c r="C9" s="17"/>
      <c r="D9" s="17"/>
      <c r="E9" s="17"/>
      <c r="F9" s="17"/>
      <c r="G9" s="17"/>
      <c r="H9" s="4" t="str">
        <f aca="false">IFERROR(IF(AND(E9&lt;&gt;"",G9&lt;&gt;""),E9&amp;"-"&amp;G9,""),"")</f>
        <v/>
      </c>
      <c r="I9" s="17"/>
      <c r="J9" s="17"/>
    </row>
    <row r="10" customFormat="false" ht="23.85" hidden="false" customHeight="false" outlineLevel="0" collapsed="false">
      <c r="A10" s="7" t="s">
        <v>172</v>
      </c>
      <c r="B10" s="16"/>
      <c r="C10" s="16"/>
      <c r="D10" s="16"/>
      <c r="E10" s="16"/>
      <c r="F10" s="16"/>
      <c r="G10" s="16"/>
      <c r="H10" s="7" t="str">
        <f aca="false">IFERROR(IF(AND(E10&lt;&gt;"",G10&lt;&gt;""),E10&amp;"-"&amp;G10,""),"")</f>
        <v/>
      </c>
      <c r="I10" s="16"/>
      <c r="J10" s="16"/>
    </row>
    <row r="11" customFormat="false" ht="23.85" hidden="false" customHeight="false" outlineLevel="0" collapsed="false">
      <c r="A11" s="4" t="s">
        <v>173</v>
      </c>
      <c r="B11" s="17"/>
      <c r="C11" s="17"/>
      <c r="D11" s="17"/>
      <c r="E11" s="17"/>
      <c r="F11" s="17"/>
      <c r="G11" s="17"/>
      <c r="H11" s="4" t="str">
        <f aca="false">IFERROR(IF(AND(E11&lt;&gt;"",G11&lt;&gt;""),E11&amp;"-"&amp;G11,""),"")</f>
        <v/>
      </c>
      <c r="I11" s="17"/>
      <c r="J11" s="17"/>
    </row>
    <row r="12" customFormat="false" ht="23.85" hidden="false" customHeight="false" outlineLevel="0" collapsed="false">
      <c r="A12" s="7" t="s">
        <v>174</v>
      </c>
      <c r="B12" s="16"/>
      <c r="C12" s="16"/>
      <c r="D12" s="16"/>
      <c r="E12" s="16"/>
      <c r="F12" s="16"/>
      <c r="G12" s="16"/>
      <c r="H12" s="7" t="str">
        <f aca="false">IFERROR(IF(AND(E12&lt;&gt;"",G12&lt;&gt;""),E12&amp;"-"&amp;G12,""),"")</f>
        <v/>
      </c>
      <c r="I12" s="16"/>
      <c r="J12" s="16"/>
    </row>
    <row r="13" customFormat="false" ht="23.85" hidden="false" customHeight="false" outlineLevel="0" collapsed="false">
      <c r="A13" s="4" t="s">
        <v>175</v>
      </c>
      <c r="B13" s="17"/>
      <c r="C13" s="17"/>
      <c r="D13" s="17"/>
      <c r="E13" s="17"/>
      <c r="F13" s="17"/>
      <c r="G13" s="17"/>
      <c r="H13" s="4" t="str">
        <f aca="false">IFERROR(IF(AND(E13&lt;&gt;"",G13&lt;&gt;""),E13&amp;"-"&amp;G13,""),"")</f>
        <v/>
      </c>
      <c r="I13" s="17"/>
      <c r="J13" s="17"/>
    </row>
    <row r="14" customFormat="false" ht="23.85" hidden="false" customHeight="false" outlineLevel="0" collapsed="false">
      <c r="A14" s="7" t="s">
        <v>176</v>
      </c>
      <c r="B14" s="16"/>
      <c r="C14" s="16"/>
      <c r="D14" s="16"/>
      <c r="E14" s="16"/>
      <c r="F14" s="16"/>
      <c r="G14" s="16"/>
      <c r="H14" s="7" t="str">
        <f aca="false">IFERROR(IF(AND(E14&lt;&gt;"",G14&lt;&gt;""),E14&amp;"-"&amp;G14,""),"")</f>
        <v/>
      </c>
      <c r="I14" s="16"/>
      <c r="J14" s="16"/>
    </row>
    <row r="15" customFormat="false" ht="23.85" hidden="false" customHeight="false" outlineLevel="0" collapsed="false">
      <c r="A15" s="4" t="s">
        <v>177</v>
      </c>
      <c r="B15" s="17"/>
      <c r="C15" s="17"/>
      <c r="D15" s="17"/>
      <c r="E15" s="17"/>
      <c r="F15" s="17"/>
      <c r="G15" s="17"/>
      <c r="H15" s="4" t="str">
        <f aca="false">IFERROR(IF(AND(E15&lt;&gt;"",G15&lt;&gt;""),E15&amp;"-"&amp;G15,""),"")</f>
        <v/>
      </c>
      <c r="I15" s="17"/>
      <c r="J15" s="17"/>
    </row>
    <row r="16" customFormat="false" ht="23.85" hidden="false" customHeight="false" outlineLevel="0" collapsed="false">
      <c r="A16" s="7" t="s">
        <v>178</v>
      </c>
      <c r="B16" s="16"/>
      <c r="C16" s="16"/>
      <c r="D16" s="16"/>
      <c r="E16" s="16"/>
      <c r="F16" s="16"/>
      <c r="G16" s="16"/>
      <c r="H16" s="7" t="str">
        <f aca="false">IFERROR(IF(AND(E16&lt;&gt;"",G16&lt;&gt;""),E16&amp;"-"&amp;G16,""),"")</f>
        <v/>
      </c>
      <c r="I16" s="16"/>
      <c r="J16" s="16"/>
    </row>
    <row r="17" customFormat="false" ht="23.85" hidden="false" customHeight="false" outlineLevel="0" collapsed="false">
      <c r="A17" s="4" t="s">
        <v>179</v>
      </c>
      <c r="B17" s="17"/>
      <c r="C17" s="17"/>
      <c r="D17" s="17"/>
      <c r="E17" s="17"/>
      <c r="F17" s="17"/>
      <c r="G17" s="17"/>
      <c r="H17" s="4" t="str">
        <f aca="false">IFERROR(IF(AND(E17&lt;&gt;"",G17&lt;&gt;""),E17&amp;"-"&amp;G17,""),"")</f>
        <v/>
      </c>
      <c r="I17" s="17"/>
      <c r="J17" s="17"/>
    </row>
    <row r="18" customFormat="false" ht="23.85" hidden="false" customHeight="false" outlineLevel="0" collapsed="false">
      <c r="A18" s="7" t="s">
        <v>180</v>
      </c>
      <c r="B18" s="16"/>
      <c r="C18" s="16"/>
      <c r="D18" s="16"/>
      <c r="E18" s="16"/>
      <c r="F18" s="16"/>
      <c r="G18" s="16"/>
      <c r="H18" s="7" t="str">
        <f aca="false">IFERROR(IF(AND(E18&lt;&gt;"",G18&lt;&gt;""),E18&amp;"-"&amp;G18,""),"")</f>
        <v/>
      </c>
      <c r="I18" s="16"/>
      <c r="J18" s="16"/>
    </row>
    <row r="19" customFormat="false" ht="23.85" hidden="false" customHeight="false" outlineLevel="0" collapsed="false">
      <c r="A19" s="4" t="s">
        <v>181</v>
      </c>
      <c r="B19" s="17"/>
      <c r="C19" s="17"/>
      <c r="D19" s="17"/>
      <c r="E19" s="17"/>
      <c r="F19" s="17"/>
      <c r="G19" s="17"/>
      <c r="H19" s="4" t="str">
        <f aca="false">IFERROR(IF(AND(E19&lt;&gt;"",G19&lt;&gt;""),E19&amp;"-"&amp;G19,""),"")</f>
        <v/>
      </c>
      <c r="I19" s="17"/>
      <c r="J19" s="17"/>
    </row>
    <row r="20" customFormat="false" ht="23.85" hidden="false" customHeight="false" outlineLevel="0" collapsed="false">
      <c r="A20" s="7" t="s">
        <v>182</v>
      </c>
      <c r="B20" s="16"/>
      <c r="C20" s="16"/>
      <c r="D20" s="16"/>
      <c r="E20" s="16"/>
      <c r="F20" s="16"/>
      <c r="G20" s="16"/>
      <c r="H20" s="7" t="str">
        <f aca="false">IFERROR(IF(AND(E20&lt;&gt;"",G20&lt;&gt;""),E20&amp;"-"&amp;G20,""),"")</f>
        <v/>
      </c>
      <c r="I20" s="16"/>
      <c r="J20" s="16"/>
    </row>
    <row r="21" customFormat="false" ht="23.85" hidden="false" customHeight="false" outlineLevel="0" collapsed="false">
      <c r="A21" s="4" t="s">
        <v>183</v>
      </c>
      <c r="B21" s="17"/>
      <c r="C21" s="17"/>
      <c r="D21" s="17"/>
      <c r="E21" s="17"/>
      <c r="F21" s="17"/>
      <c r="G21" s="17"/>
      <c r="H21" s="4" t="str">
        <f aca="false">IFERROR(IF(AND(E21&lt;&gt;"",G21&lt;&gt;""),E21&amp;"-"&amp;G21,""),"")</f>
        <v/>
      </c>
      <c r="I21" s="17"/>
      <c r="J21" s="17"/>
    </row>
    <row r="22" customFormat="false" ht="23.85" hidden="false" customHeight="false" outlineLevel="0" collapsed="false">
      <c r="A22" s="7" t="s">
        <v>184</v>
      </c>
      <c r="B22" s="16"/>
      <c r="C22" s="16"/>
      <c r="D22" s="16"/>
      <c r="E22" s="16"/>
      <c r="F22" s="16"/>
      <c r="G22" s="16"/>
      <c r="H22" s="7" t="str">
        <f aca="false">IFERROR(IF(AND(E22&lt;&gt;"",G22&lt;&gt;""),E22&amp;"-"&amp;G22,""),"")</f>
        <v/>
      </c>
      <c r="I22" s="16"/>
      <c r="J22" s="16"/>
    </row>
    <row r="23" customFormat="false" ht="23.85" hidden="false" customHeight="false" outlineLevel="0" collapsed="false">
      <c r="A23" s="4" t="s">
        <v>185</v>
      </c>
      <c r="B23" s="17"/>
      <c r="C23" s="17"/>
      <c r="D23" s="17"/>
      <c r="E23" s="17"/>
      <c r="F23" s="17"/>
      <c r="G23" s="17"/>
      <c r="H23" s="4" t="str">
        <f aca="false">IFERROR(IF(AND(E23&lt;&gt;"",G23&lt;&gt;""),E23&amp;"-"&amp;G23,""),"")</f>
        <v/>
      </c>
      <c r="I23" s="17"/>
      <c r="J23" s="17"/>
    </row>
    <row r="24" customFormat="false" ht="23.85" hidden="false" customHeight="false" outlineLevel="0" collapsed="false">
      <c r="A24" s="7" t="s">
        <v>186</v>
      </c>
      <c r="B24" s="16"/>
      <c r="C24" s="16"/>
      <c r="D24" s="16"/>
      <c r="E24" s="16"/>
      <c r="F24" s="16"/>
      <c r="G24" s="16"/>
      <c r="H24" s="7" t="str">
        <f aca="false">IFERROR(IF(AND(E24&lt;&gt;"",G24&lt;&gt;""),E24&amp;"-"&amp;G24,""),"")</f>
        <v/>
      </c>
      <c r="I24" s="16"/>
      <c r="J24" s="16"/>
    </row>
    <row r="25" customFormat="false" ht="23.85" hidden="false" customHeight="false" outlineLevel="0" collapsed="false">
      <c r="A25" s="4" t="s">
        <v>187</v>
      </c>
      <c r="B25" s="17"/>
      <c r="C25" s="17"/>
      <c r="D25" s="17"/>
      <c r="E25" s="17"/>
      <c r="F25" s="17"/>
      <c r="G25" s="17"/>
      <c r="H25" s="4" t="str">
        <f aca="false">IFERROR(IF(AND(E25&lt;&gt;"",G25&lt;&gt;""),E25&amp;"-"&amp;G25,""),"")</f>
        <v/>
      </c>
      <c r="I25" s="17"/>
      <c r="J25" s="17"/>
    </row>
    <row r="26" customFormat="false" ht="23.85" hidden="false" customHeight="false" outlineLevel="0" collapsed="false">
      <c r="A26" s="7" t="s">
        <v>188</v>
      </c>
      <c r="B26" s="16"/>
      <c r="C26" s="16"/>
      <c r="D26" s="16"/>
      <c r="E26" s="16"/>
      <c r="F26" s="16"/>
      <c r="G26" s="16"/>
      <c r="H26" s="7" t="str">
        <f aca="false">IFERROR(IF(AND(E26&lt;&gt;"",G26&lt;&gt;""),E26&amp;"-"&amp;G26,""),"")</f>
        <v/>
      </c>
      <c r="I26" s="16"/>
      <c r="J26" s="16"/>
    </row>
    <row r="27" customFormat="false" ht="23.85" hidden="false" customHeight="false" outlineLevel="0" collapsed="false">
      <c r="A27" s="4" t="s">
        <v>189</v>
      </c>
      <c r="B27" s="17"/>
      <c r="C27" s="17"/>
      <c r="D27" s="17"/>
      <c r="E27" s="17"/>
      <c r="F27" s="17"/>
      <c r="G27" s="17"/>
      <c r="H27" s="4" t="str">
        <f aca="false">IFERROR(IF(AND(E27&lt;&gt;"",G27&lt;&gt;""),E27&amp;"-"&amp;G27,""),"")</f>
        <v/>
      </c>
      <c r="I27" s="17"/>
      <c r="J27" s="17"/>
    </row>
    <row r="28" customFormat="false" ht="23.85" hidden="false" customHeight="false" outlineLevel="0" collapsed="false">
      <c r="A28" s="7" t="s">
        <v>190</v>
      </c>
      <c r="B28" s="16"/>
      <c r="C28" s="16"/>
      <c r="D28" s="16"/>
      <c r="E28" s="16"/>
      <c r="F28" s="16"/>
      <c r="G28" s="16"/>
      <c r="H28" s="7" t="str">
        <f aca="false">IFERROR(IF(AND(E28&lt;&gt;"",G28&lt;&gt;""),E28&amp;"-"&amp;G28,""),"")</f>
        <v/>
      </c>
      <c r="I28" s="16"/>
      <c r="J28" s="16"/>
    </row>
    <row r="29" customFormat="false" ht="23.85" hidden="false" customHeight="false" outlineLevel="0" collapsed="false">
      <c r="A29" s="4" t="s">
        <v>191</v>
      </c>
      <c r="B29" s="17"/>
      <c r="C29" s="17"/>
      <c r="D29" s="17"/>
      <c r="E29" s="17"/>
      <c r="F29" s="17"/>
      <c r="G29" s="17"/>
      <c r="H29" s="4" t="str">
        <f aca="false">IFERROR(IF(AND(E29&lt;&gt;"",G29&lt;&gt;""),E29&amp;"-"&amp;G29,""),"")</f>
        <v/>
      </c>
      <c r="I29" s="17"/>
      <c r="J29" s="17"/>
    </row>
    <row r="30" customFormat="false" ht="23.85" hidden="false" customHeight="false" outlineLevel="0" collapsed="false">
      <c r="A30" s="7" t="s">
        <v>192</v>
      </c>
      <c r="B30" s="16"/>
      <c r="C30" s="16"/>
      <c r="D30" s="16"/>
      <c r="E30" s="16"/>
      <c r="F30" s="16"/>
      <c r="G30" s="16"/>
      <c r="H30" s="7" t="str">
        <f aca="false">IFERROR(IF(AND(E30&lt;&gt;"",G30&lt;&gt;""),E30&amp;"-"&amp;G30,""),"")</f>
        <v/>
      </c>
      <c r="I30" s="16"/>
      <c r="J30" s="16"/>
    </row>
    <row r="31" customFormat="false" ht="23.85" hidden="false" customHeight="false" outlineLevel="0" collapsed="false">
      <c r="A31" s="4" t="s">
        <v>193</v>
      </c>
      <c r="B31" s="17"/>
      <c r="C31" s="17"/>
      <c r="D31" s="17"/>
      <c r="E31" s="17"/>
      <c r="F31" s="17"/>
      <c r="G31" s="17"/>
      <c r="H31" s="4" t="str">
        <f aca="false">IFERROR(IF(AND(E31&lt;&gt;"",G31&lt;&gt;""),E31&amp;"-"&amp;G31,""),"")</f>
        <v/>
      </c>
      <c r="I31" s="17"/>
      <c r="J31" s="17"/>
    </row>
    <row r="32" customFormat="false" ht="23.85" hidden="false" customHeight="false" outlineLevel="0" collapsed="false">
      <c r="A32" s="7" t="s">
        <v>194</v>
      </c>
      <c r="B32" s="16"/>
      <c r="C32" s="16"/>
      <c r="D32" s="16"/>
      <c r="E32" s="16"/>
      <c r="F32" s="16"/>
      <c r="G32" s="16"/>
      <c r="H32" s="7" t="str">
        <f aca="false">IFERROR(IF(AND(E32&lt;&gt;"",G32&lt;&gt;""),E32&amp;"-"&amp;G32,""),"")</f>
        <v/>
      </c>
      <c r="I32" s="16"/>
      <c r="J32" s="16"/>
    </row>
    <row r="33" customFormat="false" ht="23.85" hidden="false" customHeight="false" outlineLevel="0" collapsed="false">
      <c r="A33" s="4" t="s">
        <v>195</v>
      </c>
      <c r="B33" s="17"/>
      <c r="C33" s="17"/>
      <c r="D33" s="17"/>
      <c r="E33" s="17"/>
      <c r="F33" s="17"/>
      <c r="G33" s="17"/>
      <c r="H33" s="4" t="str">
        <f aca="false">IFERROR(IF(AND(E33&lt;&gt;"",G33&lt;&gt;""),E33&amp;"-"&amp;G33,""),"")</f>
        <v/>
      </c>
      <c r="I33" s="17"/>
      <c r="J33" s="17"/>
    </row>
    <row r="34" customFormat="false" ht="23.85" hidden="false" customHeight="false" outlineLevel="0" collapsed="false">
      <c r="A34" s="7" t="s">
        <v>196</v>
      </c>
      <c r="B34" s="16"/>
      <c r="C34" s="16"/>
      <c r="D34" s="16"/>
      <c r="E34" s="16"/>
      <c r="F34" s="16"/>
      <c r="G34" s="16"/>
      <c r="H34" s="7" t="str">
        <f aca="false">IFERROR(IF(AND(E34&lt;&gt;"",G34&lt;&gt;""),E34&amp;"-"&amp;G34,""),"")</f>
        <v/>
      </c>
      <c r="I34" s="16"/>
      <c r="J34" s="16"/>
    </row>
    <row r="35" customFormat="false" ht="23.85" hidden="false" customHeight="false" outlineLevel="0" collapsed="false">
      <c r="A35" s="4" t="s">
        <v>197</v>
      </c>
      <c r="B35" s="17"/>
      <c r="C35" s="17"/>
      <c r="D35" s="17"/>
      <c r="E35" s="17"/>
      <c r="F35" s="17"/>
      <c r="G35" s="17"/>
      <c r="H35" s="4" t="str">
        <f aca="false">IFERROR(IF(AND(E35&lt;&gt;"",G35&lt;&gt;""),E35&amp;"-"&amp;G35,""),"")</f>
        <v/>
      </c>
      <c r="I35" s="17"/>
      <c r="J35" s="17"/>
    </row>
    <row r="36" customFormat="false" ht="23.85" hidden="false" customHeight="false" outlineLevel="0" collapsed="false">
      <c r="A36" s="7" t="s">
        <v>198</v>
      </c>
      <c r="B36" s="16"/>
      <c r="C36" s="16"/>
      <c r="D36" s="16"/>
      <c r="E36" s="16"/>
      <c r="F36" s="16"/>
      <c r="G36" s="16"/>
      <c r="H36" s="7" t="str">
        <f aca="false">IFERROR(IF(AND(E36&lt;&gt;"",G36&lt;&gt;""),E36&amp;"-"&amp;G36,""),"")</f>
        <v/>
      </c>
      <c r="I36" s="16"/>
      <c r="J36" s="16"/>
    </row>
    <row r="37" customFormat="false" ht="23.85" hidden="false" customHeight="false" outlineLevel="0" collapsed="false">
      <c r="A37" s="4" t="s">
        <v>199</v>
      </c>
      <c r="B37" s="17"/>
      <c r="C37" s="17"/>
      <c r="D37" s="17"/>
      <c r="E37" s="17"/>
      <c r="F37" s="17"/>
      <c r="G37" s="17"/>
      <c r="H37" s="4" t="str">
        <f aca="false">IFERROR(IF(AND(E37&lt;&gt;"",G37&lt;&gt;""),E37&amp;"-"&amp;G37,""),"")</f>
        <v/>
      </c>
      <c r="I37" s="17"/>
      <c r="J37" s="17"/>
    </row>
    <row r="38" customFormat="false" ht="23.85" hidden="false" customHeight="false" outlineLevel="0" collapsed="false">
      <c r="A38" s="7" t="s">
        <v>200</v>
      </c>
      <c r="B38" s="16"/>
      <c r="C38" s="16"/>
      <c r="D38" s="16"/>
      <c r="E38" s="16"/>
      <c r="F38" s="16"/>
      <c r="G38" s="16"/>
      <c r="H38" s="7" t="str">
        <f aca="false">IFERROR(IF(AND(E38&lt;&gt;"",G38&lt;&gt;""),E38&amp;"-"&amp;G38,""),"")</f>
        <v/>
      </c>
      <c r="I38" s="16"/>
      <c r="J38" s="16"/>
    </row>
    <row r="39" customFormat="false" ht="23.85" hidden="false" customHeight="false" outlineLevel="0" collapsed="false">
      <c r="A39" s="4" t="s">
        <v>201</v>
      </c>
      <c r="B39" s="17"/>
      <c r="C39" s="17"/>
      <c r="D39" s="17"/>
      <c r="E39" s="17"/>
      <c r="F39" s="17"/>
      <c r="G39" s="17"/>
      <c r="H39" s="4" t="str">
        <f aca="false">IFERROR(IF(AND(E39&lt;&gt;"",G39&lt;&gt;""),E39&amp;"-"&amp;G39,""),"")</f>
        <v/>
      </c>
      <c r="I39" s="17"/>
      <c r="J39" s="17"/>
    </row>
    <row r="40" customFormat="false" ht="23.85" hidden="false" customHeight="false" outlineLevel="0" collapsed="false">
      <c r="A40" s="7" t="s">
        <v>202</v>
      </c>
      <c r="B40" s="16"/>
      <c r="C40" s="16"/>
      <c r="D40" s="16"/>
      <c r="E40" s="16"/>
      <c r="F40" s="16"/>
      <c r="G40" s="16"/>
      <c r="H40" s="7" t="str">
        <f aca="false">IFERROR(IF(AND(E40&lt;&gt;"",G40&lt;&gt;""),E40&amp;"-"&amp;G40,""),"")</f>
        <v/>
      </c>
      <c r="I40" s="16"/>
      <c r="J40" s="16"/>
    </row>
    <row r="41" customFormat="false" ht="23.85" hidden="false" customHeight="false" outlineLevel="0" collapsed="false">
      <c r="A41" s="4" t="s">
        <v>203</v>
      </c>
      <c r="B41" s="17"/>
      <c r="C41" s="17"/>
      <c r="D41" s="17"/>
      <c r="E41" s="17"/>
      <c r="F41" s="17"/>
      <c r="G41" s="17"/>
      <c r="H41" s="4" t="str">
        <f aca="false">IFERROR(IF(AND(E41&lt;&gt;"",G41&lt;&gt;""),E41&amp;"-"&amp;G41,""),"")</f>
        <v/>
      </c>
      <c r="I41" s="17"/>
      <c r="J41" s="17"/>
    </row>
    <row r="42" customFormat="false" ht="23.85" hidden="false" customHeight="false" outlineLevel="0" collapsed="false">
      <c r="A42" s="7" t="s">
        <v>204</v>
      </c>
      <c r="B42" s="16"/>
      <c r="C42" s="16"/>
      <c r="D42" s="16"/>
      <c r="E42" s="16"/>
      <c r="F42" s="16"/>
      <c r="G42" s="16"/>
      <c r="H42" s="7" t="str">
        <f aca="false">IFERROR(IF(AND(E42&lt;&gt;"",G42&lt;&gt;""),E42&amp;"-"&amp;G42,""),"")</f>
        <v/>
      </c>
      <c r="I42" s="16"/>
      <c r="J42" s="16"/>
    </row>
    <row r="43" customFormat="false" ht="23.85" hidden="false" customHeight="false" outlineLevel="0" collapsed="false">
      <c r="A43" s="4" t="s">
        <v>205</v>
      </c>
      <c r="B43" s="17"/>
      <c r="C43" s="17"/>
      <c r="D43" s="17"/>
      <c r="E43" s="17"/>
      <c r="F43" s="17"/>
      <c r="G43" s="17"/>
      <c r="H43" s="4" t="str">
        <f aca="false">IFERROR(IF(AND(E43&lt;&gt;"",G43&lt;&gt;""),E43&amp;"-"&amp;G43,""),"")</f>
        <v/>
      </c>
      <c r="I43" s="17"/>
      <c r="J43" s="17"/>
    </row>
    <row r="44" customFormat="false" ht="23.85" hidden="false" customHeight="false" outlineLevel="0" collapsed="false">
      <c r="A44" s="7" t="s">
        <v>206</v>
      </c>
      <c r="B44" s="16"/>
      <c r="C44" s="16"/>
      <c r="D44" s="16"/>
      <c r="E44" s="16"/>
      <c r="F44" s="16"/>
      <c r="G44" s="16"/>
      <c r="H44" s="7" t="str">
        <f aca="false">IFERROR(IF(AND(E44&lt;&gt;"",G44&lt;&gt;""),E44&amp;"-"&amp;G44,""),"")</f>
        <v/>
      </c>
      <c r="I44" s="16"/>
      <c r="J44" s="16"/>
    </row>
    <row r="45" customFormat="false" ht="23.85" hidden="false" customHeight="false" outlineLevel="0" collapsed="false">
      <c r="A45" s="4" t="s">
        <v>207</v>
      </c>
      <c r="B45" s="17"/>
      <c r="C45" s="17"/>
      <c r="D45" s="17"/>
      <c r="E45" s="17"/>
      <c r="F45" s="17"/>
      <c r="G45" s="17"/>
      <c r="H45" s="4" t="str">
        <f aca="false">IFERROR(IF(AND(E45&lt;&gt;"",G45&lt;&gt;""),E45&amp;"-"&amp;G45,""),"")</f>
        <v/>
      </c>
      <c r="I45" s="17"/>
      <c r="J45" s="17"/>
    </row>
    <row r="46" customFormat="false" ht="23.85" hidden="false" customHeight="false" outlineLevel="0" collapsed="false">
      <c r="A46" s="7" t="s">
        <v>208</v>
      </c>
      <c r="B46" s="16"/>
      <c r="C46" s="16"/>
      <c r="D46" s="16"/>
      <c r="E46" s="16"/>
      <c r="F46" s="16"/>
      <c r="G46" s="16"/>
      <c r="H46" s="7" t="str">
        <f aca="false">IFERROR(IF(AND(E46&lt;&gt;"",G46&lt;&gt;""),E46&amp;"-"&amp;G46,""),"")</f>
        <v/>
      </c>
      <c r="I46" s="16"/>
      <c r="J46" s="16"/>
    </row>
    <row r="47" customFormat="false" ht="23.85" hidden="false" customHeight="false" outlineLevel="0" collapsed="false">
      <c r="A47" s="4" t="s">
        <v>209</v>
      </c>
      <c r="B47" s="17"/>
      <c r="C47" s="17"/>
      <c r="D47" s="17"/>
      <c r="E47" s="17"/>
      <c r="F47" s="17"/>
      <c r="G47" s="17"/>
      <c r="H47" s="4" t="str">
        <f aca="false">IFERROR(IF(AND(E47&lt;&gt;"",G47&lt;&gt;""),E47&amp;"-"&amp;G47,""),"")</f>
        <v/>
      </c>
      <c r="I47" s="17"/>
      <c r="J47" s="17"/>
    </row>
    <row r="48" customFormat="false" ht="23.85" hidden="false" customHeight="false" outlineLevel="0" collapsed="false">
      <c r="A48" s="7" t="s">
        <v>210</v>
      </c>
      <c r="B48" s="16"/>
      <c r="C48" s="16"/>
      <c r="D48" s="16"/>
      <c r="E48" s="16"/>
      <c r="F48" s="16"/>
      <c r="G48" s="16"/>
      <c r="H48" s="7" t="str">
        <f aca="false">IFERROR(IF(AND(E48&lt;&gt;"",G48&lt;&gt;""),E48&amp;"-"&amp;G48,""),"")</f>
        <v/>
      </c>
      <c r="I48" s="16"/>
      <c r="J48" s="16"/>
    </row>
    <row r="49" customFormat="false" ht="23.85" hidden="false" customHeight="false" outlineLevel="0" collapsed="false">
      <c r="A49" s="4" t="s">
        <v>211</v>
      </c>
      <c r="B49" s="17"/>
      <c r="C49" s="17"/>
      <c r="D49" s="17"/>
      <c r="E49" s="17"/>
      <c r="F49" s="17"/>
      <c r="G49" s="17"/>
      <c r="H49" s="4" t="str">
        <f aca="false">IFERROR(IF(AND(E49&lt;&gt;"",G49&lt;&gt;""),E49&amp;"-"&amp;G49,""),"")</f>
        <v/>
      </c>
      <c r="I49" s="17"/>
      <c r="J49" s="17"/>
    </row>
    <row r="50" customFormat="false" ht="23.85" hidden="false" customHeight="false" outlineLevel="0" collapsed="false">
      <c r="A50" s="7" t="s">
        <v>212</v>
      </c>
      <c r="B50" s="16"/>
      <c r="C50" s="16"/>
      <c r="D50" s="16"/>
      <c r="E50" s="16"/>
      <c r="F50" s="16"/>
      <c r="G50" s="16"/>
      <c r="H50" s="7" t="str">
        <f aca="false">IFERROR(IF(AND(E50&lt;&gt;"",G50&lt;&gt;""),E50&amp;"-"&amp;G50,""),"")</f>
        <v/>
      </c>
      <c r="I50" s="16"/>
      <c r="J50" s="16"/>
    </row>
    <row r="51" customFormat="false" ht="23.85" hidden="false" customHeight="false" outlineLevel="0" collapsed="false">
      <c r="A51" s="4" t="s">
        <v>213</v>
      </c>
      <c r="B51" s="17"/>
      <c r="C51" s="17"/>
      <c r="D51" s="17"/>
      <c r="E51" s="17"/>
      <c r="F51" s="17"/>
      <c r="G51" s="17"/>
      <c r="H51" s="4" t="str">
        <f aca="false">IFERROR(IF(AND(E51&lt;&gt;"",G51&lt;&gt;""),E51&amp;"-"&amp;G51,""),"")</f>
        <v/>
      </c>
      <c r="I51" s="17"/>
      <c r="J51" s="17"/>
    </row>
    <row r="52" customFormat="false" ht="23.85" hidden="false" customHeight="false" outlineLevel="0" collapsed="false">
      <c r="A52" s="7" t="s">
        <v>214</v>
      </c>
      <c r="B52" s="16"/>
      <c r="C52" s="16"/>
      <c r="D52" s="16"/>
      <c r="E52" s="16"/>
      <c r="F52" s="16"/>
      <c r="G52" s="16"/>
      <c r="H52" s="7" t="str">
        <f aca="false">IFERROR(IF(AND(E52&lt;&gt;"",G52&lt;&gt;""),E52&amp;"-"&amp;G52,""),"")</f>
        <v/>
      </c>
      <c r="I52" s="16"/>
      <c r="J52" s="16"/>
    </row>
    <row r="53" customFormat="false" ht="23.85" hidden="false" customHeight="false" outlineLevel="0" collapsed="false">
      <c r="A53" s="4" t="s">
        <v>215</v>
      </c>
      <c r="B53" s="17"/>
      <c r="C53" s="17"/>
      <c r="D53" s="17"/>
      <c r="E53" s="17"/>
      <c r="F53" s="17"/>
      <c r="G53" s="17"/>
      <c r="H53" s="4" t="str">
        <f aca="false">IFERROR(IF(AND(E53&lt;&gt;"",G53&lt;&gt;""),E53&amp;"-"&amp;G53,""),"")</f>
        <v/>
      </c>
      <c r="I53" s="17"/>
      <c r="J53" s="17"/>
    </row>
    <row r="54" customFormat="false" ht="23.85" hidden="false" customHeight="false" outlineLevel="0" collapsed="false">
      <c r="A54" s="7" t="s">
        <v>216</v>
      </c>
      <c r="B54" s="16"/>
      <c r="C54" s="16"/>
      <c r="D54" s="16"/>
      <c r="E54" s="16"/>
      <c r="F54" s="16"/>
      <c r="G54" s="16"/>
      <c r="H54" s="7" t="str">
        <f aca="false">IFERROR(IF(AND(E54&lt;&gt;"",G54&lt;&gt;""),E54&amp;"-"&amp;G54,""),"")</f>
        <v/>
      </c>
      <c r="I54" s="16"/>
      <c r="J54" s="16"/>
    </row>
    <row r="55" customFormat="false" ht="23.85" hidden="false" customHeight="false" outlineLevel="0" collapsed="false">
      <c r="A55" s="4" t="s">
        <v>217</v>
      </c>
      <c r="B55" s="17"/>
      <c r="C55" s="17"/>
      <c r="D55" s="17"/>
      <c r="E55" s="17"/>
      <c r="F55" s="17"/>
      <c r="G55" s="17"/>
      <c r="H55" s="4" t="str">
        <f aca="false">IFERROR(IF(AND(E55&lt;&gt;"",G55&lt;&gt;""),E55&amp;"-"&amp;G55,""),"")</f>
        <v/>
      </c>
      <c r="I55" s="17"/>
      <c r="J55" s="17"/>
    </row>
    <row r="56" customFormat="false" ht="23.85" hidden="false" customHeight="false" outlineLevel="0" collapsed="false">
      <c r="A56" s="7" t="s">
        <v>218</v>
      </c>
      <c r="B56" s="16"/>
      <c r="C56" s="16"/>
      <c r="D56" s="16"/>
      <c r="E56" s="16"/>
      <c r="F56" s="16"/>
      <c r="G56" s="16"/>
      <c r="H56" s="7" t="str">
        <f aca="false">IFERROR(IF(AND(E56&lt;&gt;"",G56&lt;&gt;""),E56&amp;"-"&amp;G56,""),"")</f>
        <v/>
      </c>
      <c r="I56" s="16"/>
      <c r="J56" s="16"/>
    </row>
    <row r="57" customFormat="false" ht="23.85" hidden="false" customHeight="false" outlineLevel="0" collapsed="false">
      <c r="A57" s="4" t="s">
        <v>219</v>
      </c>
      <c r="B57" s="17"/>
      <c r="C57" s="17"/>
      <c r="D57" s="17"/>
      <c r="E57" s="17"/>
      <c r="F57" s="17"/>
      <c r="G57" s="17"/>
      <c r="H57" s="4" t="str">
        <f aca="false">IFERROR(IF(AND(E57&lt;&gt;"",G57&lt;&gt;""),E57&amp;"-"&amp;G57,""),"")</f>
        <v/>
      </c>
      <c r="I57" s="17"/>
      <c r="J57" s="17"/>
    </row>
    <row r="58" customFormat="false" ht="23.85" hidden="false" customHeight="false" outlineLevel="0" collapsed="false">
      <c r="A58" s="7" t="s">
        <v>220</v>
      </c>
      <c r="B58" s="16"/>
      <c r="C58" s="16"/>
      <c r="D58" s="16"/>
      <c r="E58" s="16"/>
      <c r="F58" s="16"/>
      <c r="G58" s="16"/>
      <c r="H58" s="7" t="str">
        <f aca="false">IFERROR(IF(AND(E58&lt;&gt;"",G58&lt;&gt;""),E58&amp;"-"&amp;G58,""),"")</f>
        <v/>
      </c>
      <c r="I58" s="16"/>
      <c r="J58" s="16"/>
    </row>
    <row r="59" customFormat="false" ht="23.85" hidden="false" customHeight="false" outlineLevel="0" collapsed="false">
      <c r="A59" s="4" t="s">
        <v>221</v>
      </c>
      <c r="B59" s="17"/>
      <c r="C59" s="17"/>
      <c r="D59" s="17"/>
      <c r="E59" s="17"/>
      <c r="F59" s="17"/>
      <c r="G59" s="17"/>
      <c r="H59" s="4" t="str">
        <f aca="false">IFERROR(IF(AND(E59&lt;&gt;"",G59&lt;&gt;""),E59&amp;"-"&amp;G59,""),"")</f>
        <v/>
      </c>
      <c r="I59" s="17"/>
      <c r="J59" s="17"/>
    </row>
    <row r="60" customFormat="false" ht="23.85" hidden="false" customHeight="false" outlineLevel="0" collapsed="false">
      <c r="A60" s="7" t="s">
        <v>222</v>
      </c>
      <c r="B60" s="16"/>
      <c r="C60" s="16"/>
      <c r="D60" s="16"/>
      <c r="E60" s="16"/>
      <c r="F60" s="16"/>
      <c r="G60" s="16"/>
      <c r="H60" s="7" t="str">
        <f aca="false">IFERROR(IF(AND(E60&lt;&gt;"",G60&lt;&gt;""),E60&amp;"-"&amp;G60,""),"")</f>
        <v/>
      </c>
      <c r="I60" s="16"/>
      <c r="J60" s="16"/>
    </row>
    <row r="61" customFormat="false" ht="23.85" hidden="false" customHeight="false" outlineLevel="0" collapsed="false">
      <c r="A61" s="4" t="s">
        <v>223</v>
      </c>
      <c r="B61" s="17"/>
      <c r="C61" s="17"/>
      <c r="D61" s="17"/>
      <c r="E61" s="17"/>
      <c r="F61" s="17"/>
      <c r="G61" s="17"/>
      <c r="H61" s="4" t="str">
        <f aca="false">IFERROR(IF(AND(E61&lt;&gt;"",G61&lt;&gt;""),E61&amp;"-"&amp;G61,""),"")</f>
        <v/>
      </c>
      <c r="I61" s="17"/>
      <c r="J61" s="17"/>
    </row>
    <row r="62" customFormat="false" ht="23.85" hidden="false" customHeight="false" outlineLevel="0" collapsed="false">
      <c r="A62" s="7" t="s">
        <v>224</v>
      </c>
      <c r="B62" s="16"/>
      <c r="C62" s="16"/>
      <c r="D62" s="16"/>
      <c r="E62" s="16"/>
      <c r="F62" s="16"/>
      <c r="G62" s="16"/>
      <c r="H62" s="7" t="str">
        <f aca="false">IFERROR(IF(AND(E62&lt;&gt;"",G62&lt;&gt;""),E62&amp;"-"&amp;G62,""),"")</f>
        <v/>
      </c>
      <c r="I62" s="16"/>
      <c r="J62" s="16"/>
    </row>
    <row r="63" customFormat="false" ht="23.85" hidden="false" customHeight="false" outlineLevel="0" collapsed="false">
      <c r="A63" s="4" t="s">
        <v>225</v>
      </c>
      <c r="B63" s="17"/>
      <c r="C63" s="17"/>
      <c r="D63" s="17"/>
      <c r="E63" s="17"/>
      <c r="F63" s="17"/>
      <c r="G63" s="17"/>
      <c r="H63" s="4" t="str">
        <f aca="false">IFERROR(IF(AND(E63&lt;&gt;"",G63&lt;&gt;""),E63&amp;"-"&amp;G63,""),"")</f>
        <v/>
      </c>
      <c r="I63" s="17"/>
      <c r="J63" s="17"/>
    </row>
    <row r="64" customFormat="false" ht="23.85" hidden="false" customHeight="false" outlineLevel="0" collapsed="false">
      <c r="A64" s="7" t="s">
        <v>226</v>
      </c>
      <c r="B64" s="16"/>
      <c r="C64" s="16"/>
      <c r="D64" s="16"/>
      <c r="E64" s="16"/>
      <c r="F64" s="16"/>
      <c r="G64" s="16"/>
      <c r="H64" s="7" t="str">
        <f aca="false">IFERROR(IF(AND(E64&lt;&gt;"",G64&lt;&gt;""),E64&amp;"-"&amp;G64,""),"")</f>
        <v/>
      </c>
      <c r="I64" s="16"/>
      <c r="J64" s="16"/>
    </row>
    <row r="65" customFormat="false" ht="23.85" hidden="false" customHeight="false" outlineLevel="0" collapsed="false">
      <c r="A65" s="4" t="s">
        <v>227</v>
      </c>
      <c r="B65" s="17"/>
      <c r="C65" s="17"/>
      <c r="D65" s="17"/>
      <c r="E65" s="17"/>
      <c r="F65" s="17"/>
      <c r="G65" s="17"/>
      <c r="H65" s="4" t="str">
        <f aca="false">IFERROR(IF(AND(E65&lt;&gt;"",G65&lt;&gt;""),E65&amp;"-"&amp;G65,""),"")</f>
        <v/>
      </c>
      <c r="I65" s="17"/>
      <c r="J65" s="17"/>
    </row>
    <row r="66" customFormat="false" ht="23.85" hidden="false" customHeight="false" outlineLevel="0" collapsed="false">
      <c r="A66" s="7" t="s">
        <v>228</v>
      </c>
      <c r="B66" s="16"/>
      <c r="C66" s="16"/>
      <c r="D66" s="16"/>
      <c r="E66" s="16"/>
      <c r="F66" s="16"/>
      <c r="G66" s="16"/>
      <c r="H66" s="7" t="str">
        <f aca="false">IFERROR(IF(AND(E66&lt;&gt;"",G66&lt;&gt;""),E66&amp;"-"&amp;G66,""),"")</f>
        <v/>
      </c>
      <c r="I66" s="16"/>
      <c r="J66" s="16"/>
    </row>
    <row r="67" customFormat="false" ht="23.85" hidden="false" customHeight="false" outlineLevel="0" collapsed="false">
      <c r="A67" s="4" t="s">
        <v>229</v>
      </c>
      <c r="B67" s="17"/>
      <c r="C67" s="17"/>
      <c r="D67" s="17"/>
      <c r="E67" s="17"/>
      <c r="F67" s="17"/>
      <c r="G67" s="17"/>
      <c r="H67" s="4" t="str">
        <f aca="false">IFERROR(IF(AND(E67&lt;&gt;"",G67&lt;&gt;""),E67&amp;"-"&amp;G67,""),"")</f>
        <v/>
      </c>
      <c r="I67" s="17"/>
      <c r="J67" s="17"/>
    </row>
    <row r="68" customFormat="false" ht="23.85" hidden="false" customHeight="false" outlineLevel="0" collapsed="false">
      <c r="A68" s="7" t="s">
        <v>230</v>
      </c>
      <c r="B68" s="16"/>
      <c r="C68" s="16"/>
      <c r="D68" s="16"/>
      <c r="E68" s="16"/>
      <c r="F68" s="16"/>
      <c r="G68" s="16"/>
      <c r="H68" s="7" t="str">
        <f aca="false">IFERROR(IF(AND(E68&lt;&gt;"",G68&lt;&gt;""),E68&amp;"-"&amp;G68,""),"")</f>
        <v/>
      </c>
      <c r="I68" s="16"/>
      <c r="J68" s="16"/>
    </row>
    <row r="69" customFormat="false" ht="23.85" hidden="false" customHeight="false" outlineLevel="0" collapsed="false">
      <c r="A69" s="4" t="s">
        <v>231</v>
      </c>
      <c r="B69" s="17"/>
      <c r="C69" s="17"/>
      <c r="D69" s="17"/>
      <c r="E69" s="17"/>
      <c r="F69" s="17"/>
      <c r="G69" s="17"/>
      <c r="H69" s="4" t="str">
        <f aca="false">IFERROR(IF(AND(E69&lt;&gt;"",G69&lt;&gt;""),E69&amp;"-"&amp;G69,""),"")</f>
        <v/>
      </c>
      <c r="I69" s="17"/>
      <c r="J69" s="17"/>
    </row>
    <row r="70" customFormat="false" ht="23.85" hidden="false" customHeight="false" outlineLevel="0" collapsed="false">
      <c r="A70" s="7" t="s">
        <v>232</v>
      </c>
      <c r="B70" s="16"/>
      <c r="C70" s="16"/>
      <c r="D70" s="16"/>
      <c r="E70" s="16"/>
      <c r="F70" s="16"/>
      <c r="G70" s="16"/>
      <c r="H70" s="7" t="str">
        <f aca="false">IFERROR(IF(AND(E70&lt;&gt;"",G70&lt;&gt;""),E70&amp;"-"&amp;G70,""),"")</f>
        <v/>
      </c>
      <c r="I70" s="16"/>
      <c r="J70" s="16"/>
    </row>
    <row r="71" customFormat="false" ht="23.85" hidden="false" customHeight="false" outlineLevel="0" collapsed="false">
      <c r="A71" s="4" t="s">
        <v>233</v>
      </c>
      <c r="B71" s="17"/>
      <c r="C71" s="17"/>
      <c r="D71" s="17"/>
      <c r="E71" s="17"/>
      <c r="F71" s="17"/>
      <c r="G71" s="17"/>
      <c r="H71" s="4" t="str">
        <f aca="false">IFERROR(IF(AND(E71&lt;&gt;"",G71&lt;&gt;""),E71&amp;"-"&amp;G71,""),"")</f>
        <v/>
      </c>
      <c r="I71" s="17"/>
      <c r="J71" s="17"/>
    </row>
    <row r="72" customFormat="false" ht="23.85" hidden="false" customHeight="false" outlineLevel="0" collapsed="false">
      <c r="A72" s="7" t="s">
        <v>234</v>
      </c>
      <c r="B72" s="16"/>
      <c r="C72" s="16"/>
      <c r="D72" s="16"/>
      <c r="E72" s="16"/>
      <c r="F72" s="16"/>
      <c r="G72" s="16"/>
      <c r="H72" s="7" t="str">
        <f aca="false">IFERROR(IF(AND(E72&lt;&gt;"",G72&lt;&gt;""),E72&amp;"-"&amp;G72,""),"")</f>
        <v/>
      </c>
      <c r="I72" s="16"/>
      <c r="J72" s="16"/>
    </row>
    <row r="73" customFormat="false" ht="23.85" hidden="false" customHeight="false" outlineLevel="0" collapsed="false">
      <c r="A73" s="4" t="s">
        <v>235</v>
      </c>
      <c r="B73" s="17"/>
      <c r="C73" s="17"/>
      <c r="D73" s="17"/>
      <c r="E73" s="17"/>
      <c r="F73" s="17"/>
      <c r="G73" s="17"/>
      <c r="H73" s="4" t="str">
        <f aca="false">IFERROR(IF(AND(E73&lt;&gt;"",G73&lt;&gt;""),E73&amp;"-"&amp;G73,""),"")</f>
        <v/>
      </c>
      <c r="I73" s="17"/>
      <c r="J73" s="17"/>
    </row>
    <row r="74" customFormat="false" ht="23.85" hidden="false" customHeight="false" outlineLevel="0" collapsed="false">
      <c r="A74" s="7" t="s">
        <v>236</v>
      </c>
      <c r="B74" s="16"/>
      <c r="C74" s="16"/>
      <c r="D74" s="16"/>
      <c r="E74" s="16"/>
      <c r="F74" s="16"/>
      <c r="G74" s="16"/>
      <c r="H74" s="7" t="str">
        <f aca="false">IFERROR(IF(AND(E74&lt;&gt;"",G74&lt;&gt;""),E74&amp;"-"&amp;G74,""),"")</f>
        <v/>
      </c>
      <c r="I74" s="16"/>
      <c r="J74" s="16"/>
    </row>
    <row r="75" customFormat="false" ht="23.85" hidden="false" customHeight="false" outlineLevel="0" collapsed="false">
      <c r="A75" s="4" t="s">
        <v>237</v>
      </c>
      <c r="B75" s="17"/>
      <c r="C75" s="17"/>
      <c r="D75" s="17"/>
      <c r="E75" s="17"/>
      <c r="F75" s="17"/>
      <c r="G75" s="17"/>
      <c r="H75" s="4" t="str">
        <f aca="false">IFERROR(IF(AND(E75&lt;&gt;"",G75&lt;&gt;""),E75&amp;"-"&amp;G75,""),"")</f>
        <v/>
      </c>
      <c r="I75" s="17"/>
      <c r="J75" s="17"/>
    </row>
    <row r="76" customFormat="false" ht="23.85" hidden="false" customHeight="false" outlineLevel="0" collapsed="false">
      <c r="A76" s="7" t="s">
        <v>238</v>
      </c>
      <c r="B76" s="16"/>
      <c r="C76" s="16"/>
      <c r="D76" s="16"/>
      <c r="E76" s="16"/>
      <c r="F76" s="16"/>
      <c r="G76" s="16"/>
      <c r="H76" s="7" t="str">
        <f aca="false">IFERROR(IF(AND(E76&lt;&gt;"",G76&lt;&gt;""),E76&amp;"-"&amp;G76,""),"")</f>
        <v/>
      </c>
      <c r="I76" s="16"/>
      <c r="J76" s="16"/>
    </row>
    <row r="77" customFormat="false" ht="23.85" hidden="false" customHeight="false" outlineLevel="0" collapsed="false">
      <c r="A77" s="4" t="s">
        <v>239</v>
      </c>
      <c r="B77" s="17"/>
      <c r="C77" s="17"/>
      <c r="D77" s="17"/>
      <c r="E77" s="17"/>
      <c r="F77" s="17"/>
      <c r="G77" s="17"/>
      <c r="H77" s="4" t="str">
        <f aca="false">IFERROR(IF(AND(E77&lt;&gt;"",G77&lt;&gt;""),E77&amp;"-"&amp;G77,""),"")</f>
        <v/>
      </c>
      <c r="I77" s="17"/>
      <c r="J77" s="17"/>
    </row>
    <row r="78" customFormat="false" ht="23.85" hidden="false" customHeight="false" outlineLevel="0" collapsed="false">
      <c r="A78" s="7" t="s">
        <v>240</v>
      </c>
      <c r="B78" s="16"/>
      <c r="C78" s="16"/>
      <c r="D78" s="16"/>
      <c r="E78" s="16"/>
      <c r="F78" s="16"/>
      <c r="G78" s="16"/>
      <c r="H78" s="7" t="str">
        <f aca="false">IFERROR(IF(AND(E78&lt;&gt;"",G78&lt;&gt;""),E78&amp;"-"&amp;G78,""),"")</f>
        <v/>
      </c>
      <c r="I78" s="16"/>
      <c r="J78" s="16"/>
    </row>
    <row r="79" customFormat="false" ht="23.85" hidden="false" customHeight="false" outlineLevel="0" collapsed="false">
      <c r="A79" s="4" t="s">
        <v>241</v>
      </c>
      <c r="B79" s="17"/>
      <c r="C79" s="17"/>
      <c r="D79" s="17"/>
      <c r="E79" s="17"/>
      <c r="F79" s="17"/>
      <c r="G79" s="17"/>
      <c r="H79" s="4" t="str">
        <f aca="false">IFERROR(IF(AND(E79&lt;&gt;"",G79&lt;&gt;""),E79&amp;"-"&amp;G79,""),"")</f>
        <v/>
      </c>
      <c r="I79" s="17"/>
      <c r="J79" s="17"/>
    </row>
    <row r="80" customFormat="false" ht="23.85" hidden="false" customHeight="false" outlineLevel="0" collapsed="false">
      <c r="A80" s="7" t="s">
        <v>242</v>
      </c>
      <c r="B80" s="16"/>
      <c r="C80" s="16"/>
      <c r="D80" s="16"/>
      <c r="E80" s="16"/>
      <c r="F80" s="16"/>
      <c r="G80" s="16"/>
      <c r="H80" s="7" t="str">
        <f aca="false">IFERROR(IF(AND(E80&lt;&gt;"",G80&lt;&gt;""),E80&amp;"-"&amp;G80,""),"")</f>
        <v/>
      </c>
      <c r="I80" s="16"/>
      <c r="J80" s="16"/>
    </row>
    <row r="81" customFormat="false" ht="23.85" hidden="false" customHeight="false" outlineLevel="0" collapsed="false">
      <c r="A81" s="4" t="s">
        <v>243</v>
      </c>
      <c r="B81" s="17"/>
      <c r="C81" s="17"/>
      <c r="D81" s="17"/>
      <c r="E81" s="17"/>
      <c r="F81" s="17"/>
      <c r="G81" s="17"/>
      <c r="H81" s="4" t="str">
        <f aca="false">IFERROR(IF(AND(E81&lt;&gt;"",G81&lt;&gt;""),E81&amp;"-"&amp;G81,""),"")</f>
        <v/>
      </c>
      <c r="I81" s="17"/>
      <c r="J81" s="17"/>
    </row>
    <row r="82" customFormat="false" ht="23.85" hidden="false" customHeight="false" outlineLevel="0" collapsed="false">
      <c r="A82" s="7" t="s">
        <v>244</v>
      </c>
      <c r="B82" s="16"/>
      <c r="C82" s="16"/>
      <c r="D82" s="16"/>
      <c r="E82" s="16"/>
      <c r="F82" s="16"/>
      <c r="G82" s="16"/>
      <c r="H82" s="7" t="str">
        <f aca="false">IFERROR(IF(AND(E82&lt;&gt;"",G82&lt;&gt;""),E82&amp;"-"&amp;G82,""),"")</f>
        <v/>
      </c>
      <c r="I82" s="16"/>
      <c r="J82" s="16"/>
    </row>
    <row r="83" customFormat="false" ht="23.85" hidden="false" customHeight="false" outlineLevel="0" collapsed="false">
      <c r="A83" s="4" t="s">
        <v>245</v>
      </c>
      <c r="B83" s="17"/>
      <c r="C83" s="17"/>
      <c r="D83" s="17"/>
      <c r="E83" s="17"/>
      <c r="F83" s="17"/>
      <c r="G83" s="17"/>
      <c r="H83" s="4" t="str">
        <f aca="false">IFERROR(IF(AND(E83&lt;&gt;"",G83&lt;&gt;""),E83&amp;"-"&amp;G83,""),"")</f>
        <v/>
      </c>
      <c r="I83" s="17"/>
      <c r="J83" s="17"/>
    </row>
    <row r="84" customFormat="false" ht="23.85" hidden="false" customHeight="false" outlineLevel="0" collapsed="false">
      <c r="A84" s="7" t="s">
        <v>246</v>
      </c>
      <c r="B84" s="16"/>
      <c r="C84" s="16"/>
      <c r="D84" s="16"/>
      <c r="E84" s="16"/>
      <c r="F84" s="16"/>
      <c r="G84" s="16"/>
      <c r="H84" s="7" t="str">
        <f aca="false">IFERROR(IF(AND(E84&lt;&gt;"",G84&lt;&gt;""),E84&amp;"-"&amp;G84,""),"")</f>
        <v/>
      </c>
      <c r="I84" s="16"/>
      <c r="J84" s="16"/>
    </row>
    <row r="85" customFormat="false" ht="23.85" hidden="false" customHeight="false" outlineLevel="0" collapsed="false">
      <c r="A85" s="4" t="s">
        <v>247</v>
      </c>
      <c r="B85" s="17"/>
      <c r="C85" s="17"/>
      <c r="D85" s="17"/>
      <c r="E85" s="17"/>
      <c r="F85" s="17"/>
      <c r="G85" s="17"/>
      <c r="H85" s="4" t="str">
        <f aca="false">IFERROR(IF(AND(E85&lt;&gt;"",G85&lt;&gt;""),E85&amp;"-"&amp;G85,""),"")</f>
        <v/>
      </c>
      <c r="I85" s="17"/>
      <c r="J85" s="17"/>
    </row>
    <row r="86" customFormat="false" ht="23.85" hidden="false" customHeight="false" outlineLevel="0" collapsed="false">
      <c r="A86" s="7" t="s">
        <v>248</v>
      </c>
      <c r="B86" s="16"/>
      <c r="C86" s="16"/>
      <c r="D86" s="16"/>
      <c r="E86" s="16"/>
      <c r="F86" s="16"/>
      <c r="G86" s="16"/>
      <c r="H86" s="7" t="str">
        <f aca="false">IFERROR(IF(AND(E86&lt;&gt;"",G86&lt;&gt;""),E86&amp;"-"&amp;G86,""),"")</f>
        <v/>
      </c>
      <c r="I86" s="16"/>
      <c r="J86" s="16"/>
    </row>
    <row r="87" customFormat="false" ht="23.85" hidden="false" customHeight="false" outlineLevel="0" collapsed="false">
      <c r="A87" s="4" t="s">
        <v>249</v>
      </c>
      <c r="B87" s="17"/>
      <c r="C87" s="17"/>
      <c r="D87" s="17"/>
      <c r="E87" s="17"/>
      <c r="F87" s="17"/>
      <c r="G87" s="17"/>
      <c r="H87" s="4" t="str">
        <f aca="false">IFERROR(IF(AND(E87&lt;&gt;"",G87&lt;&gt;""),E87&amp;"-"&amp;G87,""),"")</f>
        <v/>
      </c>
      <c r="I87" s="17"/>
      <c r="J87" s="17"/>
    </row>
    <row r="88" customFormat="false" ht="23.85" hidden="false" customHeight="false" outlineLevel="0" collapsed="false">
      <c r="A88" s="7" t="s">
        <v>250</v>
      </c>
      <c r="B88" s="16"/>
      <c r="C88" s="16"/>
      <c r="D88" s="16"/>
      <c r="E88" s="16"/>
      <c r="F88" s="16"/>
      <c r="G88" s="16"/>
      <c r="H88" s="7" t="str">
        <f aca="false">IFERROR(IF(AND(E88&lt;&gt;"",G88&lt;&gt;""),E88&amp;"-"&amp;G88,""),"")</f>
        <v/>
      </c>
      <c r="I88" s="16"/>
      <c r="J88" s="16"/>
    </row>
    <row r="89" customFormat="false" ht="23.85" hidden="false" customHeight="false" outlineLevel="0" collapsed="false">
      <c r="A89" s="4" t="s">
        <v>251</v>
      </c>
      <c r="B89" s="17"/>
      <c r="C89" s="17"/>
      <c r="D89" s="17"/>
      <c r="E89" s="17"/>
      <c r="F89" s="17"/>
      <c r="G89" s="17"/>
      <c r="H89" s="4" t="str">
        <f aca="false">IFERROR(IF(AND(E89&lt;&gt;"",G89&lt;&gt;""),E89&amp;"-"&amp;G89,""),"")</f>
        <v/>
      </c>
      <c r="I89" s="17"/>
      <c r="J89" s="17"/>
    </row>
    <row r="90" customFormat="false" ht="23.85" hidden="false" customHeight="false" outlineLevel="0" collapsed="false">
      <c r="A90" s="7" t="s">
        <v>252</v>
      </c>
      <c r="B90" s="16"/>
      <c r="C90" s="16"/>
      <c r="D90" s="16"/>
      <c r="E90" s="16"/>
      <c r="F90" s="16"/>
      <c r="G90" s="16"/>
      <c r="H90" s="7" t="str">
        <f aca="false">IFERROR(IF(AND(E90&lt;&gt;"",G90&lt;&gt;""),E90&amp;"-"&amp;G90,""),"")</f>
        <v/>
      </c>
      <c r="I90" s="16"/>
      <c r="J90" s="16"/>
    </row>
    <row r="91" customFormat="false" ht="23.85" hidden="false" customHeight="false" outlineLevel="0" collapsed="false">
      <c r="A91" s="4" t="s">
        <v>253</v>
      </c>
      <c r="B91" s="17"/>
      <c r="C91" s="17"/>
      <c r="D91" s="17"/>
      <c r="E91" s="17"/>
      <c r="F91" s="17"/>
      <c r="G91" s="17"/>
      <c r="H91" s="4" t="str">
        <f aca="false">IFERROR(IF(AND(E91&lt;&gt;"",G91&lt;&gt;""),E91&amp;"-"&amp;G91,""),"")</f>
        <v/>
      </c>
      <c r="I91" s="17"/>
      <c r="J91" s="17"/>
    </row>
    <row r="92" customFormat="false" ht="23.85" hidden="false" customHeight="false" outlineLevel="0" collapsed="false">
      <c r="A92" s="7" t="s">
        <v>254</v>
      </c>
      <c r="B92" s="16"/>
      <c r="C92" s="16"/>
      <c r="D92" s="16"/>
      <c r="E92" s="16"/>
      <c r="F92" s="16"/>
      <c r="G92" s="16"/>
      <c r="H92" s="7" t="str">
        <f aca="false">IFERROR(IF(AND(E92&lt;&gt;"",G92&lt;&gt;""),E92&amp;"-"&amp;G92,""),"")</f>
        <v/>
      </c>
      <c r="I92" s="16"/>
      <c r="J92" s="16"/>
    </row>
    <row r="93" customFormat="false" ht="23.85" hidden="false" customHeight="false" outlineLevel="0" collapsed="false">
      <c r="A93" s="4" t="s">
        <v>255</v>
      </c>
      <c r="B93" s="17"/>
      <c r="C93" s="17"/>
      <c r="D93" s="17"/>
      <c r="E93" s="17"/>
      <c r="F93" s="17"/>
      <c r="G93" s="17"/>
      <c r="H93" s="4" t="str">
        <f aca="false">IFERROR(IF(AND(E93&lt;&gt;"",G93&lt;&gt;""),E93&amp;"-"&amp;G93,""),"")</f>
        <v/>
      </c>
      <c r="I93" s="17"/>
      <c r="J93" s="17"/>
    </row>
    <row r="94" customFormat="false" ht="23.85" hidden="false" customHeight="false" outlineLevel="0" collapsed="false">
      <c r="A94" s="7" t="s">
        <v>256</v>
      </c>
      <c r="B94" s="16"/>
      <c r="C94" s="16"/>
      <c r="D94" s="16"/>
      <c r="E94" s="16"/>
      <c r="F94" s="16"/>
      <c r="G94" s="16"/>
      <c r="H94" s="7" t="str">
        <f aca="false">IFERROR(IF(AND(E94&lt;&gt;"",G94&lt;&gt;""),E94&amp;"-"&amp;G94,""),"")</f>
        <v/>
      </c>
      <c r="I94" s="16"/>
      <c r="J94" s="16"/>
    </row>
    <row r="95" customFormat="false" ht="23.85" hidden="false" customHeight="false" outlineLevel="0" collapsed="false">
      <c r="A95" s="4" t="s">
        <v>257</v>
      </c>
      <c r="B95" s="17"/>
      <c r="C95" s="17"/>
      <c r="D95" s="17"/>
      <c r="E95" s="17"/>
      <c r="F95" s="17"/>
      <c r="G95" s="17"/>
      <c r="H95" s="4" t="str">
        <f aca="false">IFERROR(IF(AND(E95&lt;&gt;"",G95&lt;&gt;""),E95&amp;"-"&amp;G95,""),"")</f>
        <v/>
      </c>
      <c r="I95" s="17"/>
      <c r="J95" s="17"/>
    </row>
    <row r="96" customFormat="false" ht="23.85" hidden="false" customHeight="false" outlineLevel="0" collapsed="false">
      <c r="A96" s="7" t="s">
        <v>258</v>
      </c>
      <c r="B96" s="16"/>
      <c r="C96" s="16"/>
      <c r="D96" s="16"/>
      <c r="E96" s="16"/>
      <c r="F96" s="16"/>
      <c r="G96" s="16"/>
      <c r="H96" s="7" t="str">
        <f aca="false">IFERROR(IF(AND(E96&lt;&gt;"",G96&lt;&gt;""),E96&amp;"-"&amp;G96,""),"")</f>
        <v/>
      </c>
      <c r="I96" s="16"/>
      <c r="J96" s="16"/>
    </row>
    <row r="97" customFormat="false" ht="23.85" hidden="false" customHeight="false" outlineLevel="0" collapsed="false">
      <c r="A97" s="4" t="s">
        <v>259</v>
      </c>
      <c r="B97" s="17"/>
      <c r="C97" s="17"/>
      <c r="D97" s="17"/>
      <c r="E97" s="17"/>
      <c r="F97" s="17"/>
      <c r="G97" s="17"/>
      <c r="H97" s="4" t="str">
        <f aca="false">IFERROR(IF(AND(E97&lt;&gt;"",G97&lt;&gt;""),E97&amp;"-"&amp;G97,""),"")</f>
        <v/>
      </c>
      <c r="I97" s="17"/>
      <c r="J97" s="17"/>
    </row>
    <row r="98" customFormat="false" ht="23.85" hidden="false" customHeight="false" outlineLevel="0" collapsed="false">
      <c r="A98" s="7" t="s">
        <v>260</v>
      </c>
      <c r="B98" s="16"/>
      <c r="C98" s="16"/>
      <c r="D98" s="16"/>
      <c r="E98" s="16"/>
      <c r="F98" s="16"/>
      <c r="G98" s="16"/>
      <c r="H98" s="7" t="str">
        <f aca="false">IFERROR(IF(AND(E98&lt;&gt;"",G98&lt;&gt;""),E98&amp;"-"&amp;G98,""),"")</f>
        <v/>
      </c>
      <c r="I98" s="16"/>
      <c r="J98" s="16"/>
    </row>
    <row r="99" customFormat="false" ht="23.85" hidden="false" customHeight="false" outlineLevel="0" collapsed="false">
      <c r="A99" s="4" t="s">
        <v>261</v>
      </c>
      <c r="B99" s="17"/>
      <c r="C99" s="17"/>
      <c r="D99" s="17"/>
      <c r="E99" s="17"/>
      <c r="F99" s="17"/>
      <c r="G99" s="17"/>
      <c r="H99" s="4" t="str">
        <f aca="false">IFERROR(IF(AND(E99&lt;&gt;"",G99&lt;&gt;""),E99&amp;"-"&amp;G99,""),"")</f>
        <v/>
      </c>
      <c r="I99" s="17"/>
      <c r="J99" s="17"/>
    </row>
    <row r="100" customFormat="false" ht="23.85" hidden="false" customHeight="false" outlineLevel="0" collapsed="false">
      <c r="A100" s="7" t="s">
        <v>262</v>
      </c>
      <c r="B100" s="16"/>
      <c r="C100" s="16"/>
      <c r="D100" s="16"/>
      <c r="E100" s="16"/>
      <c r="F100" s="16"/>
      <c r="G100" s="16"/>
      <c r="H100" s="7" t="str">
        <f aca="false">IFERROR(IF(AND(E100&lt;&gt;"",G100&lt;&gt;""),E100&amp;"-"&amp;G100,""),"")</f>
        <v/>
      </c>
      <c r="I100" s="16"/>
      <c r="J100" s="16"/>
    </row>
    <row r="101" customFormat="false" ht="23.85" hidden="false" customHeight="false" outlineLevel="0" collapsed="false">
      <c r="A101" s="4" t="s">
        <v>263</v>
      </c>
      <c r="B101" s="17"/>
      <c r="C101" s="17"/>
      <c r="D101" s="17"/>
      <c r="E101" s="17"/>
      <c r="F101" s="17"/>
      <c r="G101" s="17"/>
      <c r="H101" s="4" t="str">
        <f aca="false">IFERROR(IF(AND(E101&lt;&gt;"",G101&lt;&gt;""),E101&amp;"-"&amp;G101,""),"")</f>
        <v/>
      </c>
      <c r="I101" s="17"/>
      <c r="J101" s="17"/>
    </row>
    <row r="102" customFormat="false" ht="23.85" hidden="false" customHeight="false" outlineLevel="0" collapsed="false">
      <c r="A102" s="7" t="s">
        <v>264</v>
      </c>
      <c r="B102" s="16"/>
      <c r="C102" s="16"/>
      <c r="D102" s="16"/>
      <c r="E102" s="16"/>
      <c r="F102" s="16"/>
      <c r="G102" s="16"/>
      <c r="H102" s="7" t="str">
        <f aca="false">IFERROR(IF(AND(E102&lt;&gt;"",G102&lt;&gt;""),E102&amp;"-"&amp;G102,""),"")</f>
        <v/>
      </c>
      <c r="I102" s="16"/>
      <c r="J102" s="16"/>
    </row>
    <row r="103" customFormat="false" ht="23.85" hidden="false" customHeight="false" outlineLevel="0" collapsed="false">
      <c r="A103" s="4" t="s">
        <v>265</v>
      </c>
      <c r="B103" s="17"/>
      <c r="C103" s="17"/>
      <c r="D103" s="17"/>
      <c r="E103" s="17"/>
      <c r="F103" s="17"/>
      <c r="G103" s="17"/>
      <c r="H103" s="4" t="str">
        <f aca="false">IFERROR(IF(AND(E103&lt;&gt;"",G103&lt;&gt;""),E103&amp;"-"&amp;G103,""),"")</f>
        <v/>
      </c>
      <c r="I103" s="17"/>
      <c r="J103" s="17"/>
    </row>
    <row r="104" customFormat="false" ht="23.85" hidden="false" customHeight="false" outlineLevel="0" collapsed="false">
      <c r="A104" s="7" t="s">
        <v>266</v>
      </c>
      <c r="B104" s="16"/>
      <c r="C104" s="16"/>
      <c r="D104" s="16"/>
      <c r="E104" s="16"/>
      <c r="F104" s="16"/>
      <c r="G104" s="16"/>
      <c r="H104" s="7" t="str">
        <f aca="false">IFERROR(IF(AND(E104&lt;&gt;"",G104&lt;&gt;""),E104&amp;"-"&amp;G104,""),"")</f>
        <v/>
      </c>
      <c r="I104" s="16"/>
      <c r="J104" s="16"/>
    </row>
    <row r="105" customFormat="false" ht="23.85" hidden="false" customHeight="false" outlineLevel="0" collapsed="false">
      <c r="A105" s="4" t="s">
        <v>267</v>
      </c>
      <c r="B105" s="17"/>
      <c r="C105" s="17"/>
      <c r="D105" s="17"/>
      <c r="E105" s="17"/>
      <c r="F105" s="17"/>
      <c r="G105" s="17"/>
      <c r="H105" s="4" t="str">
        <f aca="false">IFERROR(IF(AND(E105&lt;&gt;"",G105&lt;&gt;""),E105&amp;"-"&amp;G105,""),"")</f>
        <v/>
      </c>
      <c r="I105" s="17"/>
      <c r="J105" s="17"/>
    </row>
    <row r="106" customFormat="false" ht="23.85" hidden="false" customHeight="false" outlineLevel="0" collapsed="false">
      <c r="A106" s="7" t="s">
        <v>268</v>
      </c>
      <c r="B106" s="16"/>
      <c r="C106" s="16"/>
      <c r="D106" s="16"/>
      <c r="E106" s="16"/>
      <c r="F106" s="16"/>
      <c r="G106" s="16"/>
      <c r="H106" s="7" t="str">
        <f aca="false">IFERROR(IF(AND(E106&lt;&gt;"",G106&lt;&gt;""),E106&amp;"-"&amp;G106,""),"")</f>
        <v/>
      </c>
      <c r="I106" s="16"/>
      <c r="J106" s="16"/>
    </row>
    <row r="107" customFormat="false" ht="23.85" hidden="false" customHeight="false" outlineLevel="0" collapsed="false">
      <c r="A107" s="4" t="s">
        <v>269</v>
      </c>
      <c r="B107" s="17"/>
      <c r="C107" s="17"/>
      <c r="D107" s="17"/>
      <c r="E107" s="17"/>
      <c r="F107" s="17"/>
      <c r="G107" s="17"/>
      <c r="H107" s="4" t="str">
        <f aca="false">IFERROR(IF(AND(E107&lt;&gt;"",G107&lt;&gt;""),E107&amp;"-"&amp;G107,""),"")</f>
        <v/>
      </c>
      <c r="I107" s="17"/>
      <c r="J107" s="17"/>
    </row>
    <row r="108" customFormat="false" ht="23.85" hidden="false" customHeight="false" outlineLevel="0" collapsed="false">
      <c r="A108" s="7" t="s">
        <v>270</v>
      </c>
      <c r="B108" s="16"/>
      <c r="C108" s="16"/>
      <c r="D108" s="16"/>
      <c r="E108" s="16"/>
      <c r="F108" s="16"/>
      <c r="G108" s="16"/>
      <c r="H108" s="7" t="str">
        <f aca="false">IFERROR(IF(AND(E108&lt;&gt;"",G108&lt;&gt;""),E108&amp;"-"&amp;G108,""),"")</f>
        <v/>
      </c>
      <c r="I108" s="16"/>
      <c r="J108" s="16"/>
    </row>
    <row r="109" customFormat="false" ht="23.85" hidden="false" customHeight="false" outlineLevel="0" collapsed="false">
      <c r="A109" s="4" t="s">
        <v>271</v>
      </c>
      <c r="B109" s="17"/>
      <c r="C109" s="17"/>
      <c r="D109" s="17"/>
      <c r="E109" s="17"/>
      <c r="F109" s="17"/>
      <c r="G109" s="17"/>
      <c r="H109" s="4" t="str">
        <f aca="false">IFERROR(IF(AND(E109&lt;&gt;"",G109&lt;&gt;""),E109&amp;"-"&amp;G109,""),"")</f>
        <v/>
      </c>
      <c r="I109" s="17"/>
      <c r="J109" s="17"/>
    </row>
    <row r="110" customFormat="false" ht="23.85" hidden="false" customHeight="false" outlineLevel="0" collapsed="false">
      <c r="A110" s="7" t="s">
        <v>272</v>
      </c>
      <c r="B110" s="16"/>
      <c r="C110" s="16"/>
      <c r="D110" s="16"/>
      <c r="E110" s="16"/>
      <c r="F110" s="16"/>
      <c r="G110" s="16"/>
      <c r="H110" s="7" t="str">
        <f aca="false">IFERROR(IF(AND(E110&lt;&gt;"",G110&lt;&gt;""),E110&amp;"-"&amp;G110,""),"")</f>
        <v/>
      </c>
      <c r="I110" s="16"/>
      <c r="J110" s="16"/>
    </row>
    <row r="111" customFormat="false" ht="23.85" hidden="false" customHeight="false" outlineLevel="0" collapsed="false">
      <c r="A111" s="4" t="s">
        <v>273</v>
      </c>
      <c r="B111" s="17"/>
      <c r="C111" s="17"/>
      <c r="D111" s="17"/>
      <c r="E111" s="17"/>
      <c r="F111" s="17"/>
      <c r="G111" s="17"/>
      <c r="H111" s="4" t="str">
        <f aca="false">IFERROR(IF(AND(E111&lt;&gt;"",G111&lt;&gt;""),E111&amp;"-"&amp;G111,""),"")</f>
        <v/>
      </c>
      <c r="I111" s="17"/>
      <c r="J111" s="17"/>
    </row>
    <row r="112" customFormat="false" ht="23.85" hidden="false" customHeight="false" outlineLevel="0" collapsed="false">
      <c r="A112" s="7" t="s">
        <v>274</v>
      </c>
      <c r="B112" s="16"/>
      <c r="C112" s="16"/>
      <c r="D112" s="16"/>
      <c r="E112" s="16"/>
      <c r="F112" s="16"/>
      <c r="G112" s="16"/>
      <c r="H112" s="7" t="str">
        <f aca="false">IFERROR(IF(AND(E112&lt;&gt;"",G112&lt;&gt;""),E112&amp;"-"&amp;G112,""),"")</f>
        <v/>
      </c>
      <c r="I112" s="16"/>
      <c r="J112" s="16"/>
    </row>
    <row r="113" customFormat="false" ht="23.85" hidden="false" customHeight="false" outlineLevel="0" collapsed="false">
      <c r="A113" s="4" t="s">
        <v>275</v>
      </c>
      <c r="B113" s="17"/>
      <c r="C113" s="17"/>
      <c r="D113" s="17"/>
      <c r="E113" s="17"/>
      <c r="F113" s="17"/>
      <c r="G113" s="17"/>
      <c r="H113" s="4" t="str">
        <f aca="false">IFERROR(IF(AND(E113&lt;&gt;"",G113&lt;&gt;""),E113&amp;"-"&amp;G113,""),"")</f>
        <v/>
      </c>
      <c r="I113" s="17"/>
      <c r="J113" s="17"/>
    </row>
    <row r="114" customFormat="false" ht="23.85" hidden="false" customHeight="false" outlineLevel="0" collapsed="false">
      <c r="A114" s="7" t="s">
        <v>276</v>
      </c>
      <c r="B114" s="16"/>
      <c r="C114" s="16"/>
      <c r="D114" s="16"/>
      <c r="E114" s="16"/>
      <c r="F114" s="16"/>
      <c r="G114" s="16"/>
      <c r="H114" s="7" t="str">
        <f aca="false">IFERROR(IF(AND(E114&lt;&gt;"",G114&lt;&gt;""),E114&amp;"-"&amp;G114,""),"")</f>
        <v/>
      </c>
      <c r="I114" s="16"/>
      <c r="J114" s="16"/>
    </row>
    <row r="115" customFormat="false" ht="23.85" hidden="false" customHeight="false" outlineLevel="0" collapsed="false">
      <c r="A115" s="4" t="s">
        <v>277</v>
      </c>
      <c r="B115" s="17"/>
      <c r="C115" s="17"/>
      <c r="D115" s="17"/>
      <c r="E115" s="17"/>
      <c r="F115" s="17"/>
      <c r="G115" s="17"/>
      <c r="H115" s="4" t="str">
        <f aca="false">IFERROR(IF(AND(E115&lt;&gt;"",G115&lt;&gt;""),E115&amp;"-"&amp;G115,""),"")</f>
        <v/>
      </c>
      <c r="I115" s="17"/>
      <c r="J115" s="17"/>
    </row>
    <row r="116" customFormat="false" ht="23.85" hidden="false" customHeight="false" outlineLevel="0" collapsed="false">
      <c r="A116" s="7" t="s">
        <v>278</v>
      </c>
      <c r="B116" s="16"/>
      <c r="C116" s="16"/>
      <c r="D116" s="16"/>
      <c r="E116" s="16"/>
      <c r="F116" s="16"/>
      <c r="G116" s="16"/>
      <c r="H116" s="7" t="str">
        <f aca="false">IFERROR(IF(AND(E116&lt;&gt;"",G116&lt;&gt;""),E116&amp;"-"&amp;G116,""),"")</f>
        <v/>
      </c>
      <c r="I116" s="16"/>
      <c r="J116" s="16"/>
    </row>
    <row r="117" customFormat="false" ht="23.85" hidden="false" customHeight="false" outlineLevel="0" collapsed="false">
      <c r="A117" s="4" t="s">
        <v>279</v>
      </c>
      <c r="B117" s="17"/>
      <c r="C117" s="17"/>
      <c r="D117" s="17"/>
      <c r="E117" s="17"/>
      <c r="F117" s="17"/>
      <c r="G117" s="17"/>
      <c r="H117" s="4" t="str">
        <f aca="false">IFERROR(IF(AND(E117&lt;&gt;"",G117&lt;&gt;""),E117&amp;"-"&amp;G117,""),"")</f>
        <v/>
      </c>
      <c r="I117" s="17"/>
      <c r="J117" s="17"/>
    </row>
    <row r="118" customFormat="false" ht="23.85" hidden="false" customHeight="false" outlineLevel="0" collapsed="false">
      <c r="A118" s="7" t="s">
        <v>280</v>
      </c>
      <c r="B118" s="16"/>
      <c r="C118" s="16"/>
      <c r="D118" s="16"/>
      <c r="E118" s="16"/>
      <c r="F118" s="16"/>
      <c r="G118" s="16"/>
      <c r="H118" s="7" t="str">
        <f aca="false">IFERROR(IF(AND(E118&lt;&gt;"",G118&lt;&gt;""),E118&amp;"-"&amp;G118,""),"")</f>
        <v/>
      </c>
      <c r="I118" s="16"/>
      <c r="J118" s="16"/>
    </row>
    <row r="119" customFormat="false" ht="23.85" hidden="false" customHeight="false" outlineLevel="0" collapsed="false">
      <c r="A119" s="4" t="s">
        <v>281</v>
      </c>
      <c r="B119" s="17"/>
      <c r="C119" s="17"/>
      <c r="D119" s="17"/>
      <c r="E119" s="17"/>
      <c r="F119" s="17"/>
      <c r="G119" s="17"/>
      <c r="H119" s="4" t="str">
        <f aca="false">IFERROR(IF(AND(E119&lt;&gt;"",G119&lt;&gt;""),E119&amp;"-"&amp;G119,""),"")</f>
        <v/>
      </c>
      <c r="I119" s="17"/>
      <c r="J119" s="17"/>
    </row>
    <row r="120" customFormat="false" ht="23.85" hidden="false" customHeight="false" outlineLevel="0" collapsed="false">
      <c r="A120" s="7" t="s">
        <v>282</v>
      </c>
      <c r="B120" s="16"/>
      <c r="C120" s="16"/>
      <c r="D120" s="16"/>
      <c r="E120" s="16"/>
      <c r="F120" s="16"/>
      <c r="G120" s="16"/>
      <c r="H120" s="7" t="str">
        <f aca="false">IFERROR(IF(AND(E120&lt;&gt;"",G120&lt;&gt;""),E120&amp;"-"&amp;G120,""),"")</f>
        <v/>
      </c>
      <c r="I120" s="16"/>
      <c r="J120" s="16"/>
    </row>
    <row r="121" customFormat="false" ht="23.85" hidden="false" customHeight="false" outlineLevel="0" collapsed="false">
      <c r="A121" s="4" t="s">
        <v>283</v>
      </c>
      <c r="B121" s="17"/>
      <c r="C121" s="17"/>
      <c r="D121" s="17"/>
      <c r="E121" s="17"/>
      <c r="F121" s="17"/>
      <c r="G121" s="17"/>
      <c r="H121" s="4" t="str">
        <f aca="false">IFERROR(IF(AND(E121&lt;&gt;"",G121&lt;&gt;""),E121&amp;"-"&amp;G121,""),"")</f>
        <v/>
      </c>
      <c r="I121" s="17"/>
      <c r="J121" s="17"/>
    </row>
    <row r="122" customFormat="false" ht="23.85" hidden="false" customHeight="false" outlineLevel="0" collapsed="false">
      <c r="A122" s="7" t="s">
        <v>284</v>
      </c>
      <c r="B122" s="16"/>
      <c r="C122" s="16"/>
      <c r="D122" s="16"/>
      <c r="E122" s="16"/>
      <c r="F122" s="16"/>
      <c r="G122" s="16"/>
      <c r="H122" s="7" t="str">
        <f aca="false">IFERROR(IF(AND(E122&lt;&gt;"",G122&lt;&gt;""),E122&amp;"-"&amp;G122,""),"")</f>
        <v/>
      </c>
      <c r="I122" s="16"/>
      <c r="J122" s="16"/>
    </row>
    <row r="123" customFormat="false" ht="23.85" hidden="false" customHeight="false" outlineLevel="0" collapsed="false">
      <c r="A123" s="4" t="s">
        <v>285</v>
      </c>
      <c r="B123" s="17"/>
      <c r="C123" s="17"/>
      <c r="D123" s="17"/>
      <c r="E123" s="17"/>
      <c r="F123" s="17"/>
      <c r="G123" s="17"/>
      <c r="H123" s="4" t="str">
        <f aca="false">IFERROR(IF(AND(E123&lt;&gt;"",G123&lt;&gt;""),E123&amp;"-"&amp;G123,""),"")</f>
        <v/>
      </c>
      <c r="I123" s="17"/>
      <c r="J123" s="17"/>
    </row>
    <row r="124" customFormat="false" ht="23.85" hidden="false" customHeight="false" outlineLevel="0" collapsed="false">
      <c r="A124" s="7" t="s">
        <v>286</v>
      </c>
      <c r="B124" s="16"/>
      <c r="C124" s="16"/>
      <c r="D124" s="16"/>
      <c r="E124" s="16"/>
      <c r="F124" s="16"/>
      <c r="G124" s="16"/>
      <c r="H124" s="7" t="str">
        <f aca="false">IFERROR(IF(AND(E124&lt;&gt;"",G124&lt;&gt;""),E124&amp;"-"&amp;G124,""),"")</f>
        <v/>
      </c>
      <c r="I124" s="16"/>
      <c r="J124" s="16"/>
    </row>
    <row r="125" customFormat="false" ht="23.85" hidden="false" customHeight="false" outlineLevel="0" collapsed="false">
      <c r="A125" s="4" t="s">
        <v>287</v>
      </c>
      <c r="B125" s="17"/>
      <c r="C125" s="17"/>
      <c r="D125" s="17"/>
      <c r="E125" s="17"/>
      <c r="F125" s="17"/>
      <c r="G125" s="17"/>
      <c r="H125" s="4" t="str">
        <f aca="false">IFERROR(IF(AND(E125&lt;&gt;"",G125&lt;&gt;""),E125&amp;"-"&amp;G125,""),"")</f>
        <v/>
      </c>
      <c r="I125" s="17"/>
      <c r="J125" s="17"/>
    </row>
    <row r="126" customFormat="false" ht="23.85" hidden="false" customHeight="false" outlineLevel="0" collapsed="false">
      <c r="A126" s="7" t="s">
        <v>288</v>
      </c>
      <c r="B126" s="16"/>
      <c r="C126" s="16"/>
      <c r="D126" s="16"/>
      <c r="E126" s="16"/>
      <c r="F126" s="16"/>
      <c r="G126" s="16"/>
      <c r="H126" s="7" t="str">
        <f aca="false">IFERROR(IF(AND(E126&lt;&gt;"",G126&lt;&gt;""),E126&amp;"-"&amp;G126,""),"")</f>
        <v/>
      </c>
      <c r="I126" s="16"/>
      <c r="J126" s="16"/>
    </row>
    <row r="127" customFormat="false" ht="23.85" hidden="false" customHeight="false" outlineLevel="0" collapsed="false">
      <c r="A127" s="4" t="s">
        <v>289</v>
      </c>
      <c r="B127" s="17"/>
      <c r="C127" s="17"/>
      <c r="D127" s="17"/>
      <c r="E127" s="17"/>
      <c r="F127" s="17"/>
      <c r="G127" s="17"/>
      <c r="H127" s="4" t="str">
        <f aca="false">IFERROR(IF(AND(E127&lt;&gt;"",G127&lt;&gt;""),E127&amp;"-"&amp;G127,""),"")</f>
        <v/>
      </c>
      <c r="I127" s="17"/>
      <c r="J127" s="17"/>
    </row>
    <row r="128" customFormat="false" ht="23.85" hidden="false" customHeight="false" outlineLevel="0" collapsed="false">
      <c r="A128" s="7" t="s">
        <v>290</v>
      </c>
      <c r="B128" s="16"/>
      <c r="C128" s="16"/>
      <c r="D128" s="16"/>
      <c r="E128" s="16"/>
      <c r="F128" s="16"/>
      <c r="G128" s="16"/>
      <c r="H128" s="7" t="str">
        <f aca="false">IFERROR(IF(AND(E128&lt;&gt;"",G128&lt;&gt;""),E128&amp;"-"&amp;G128,""),"")</f>
        <v/>
      </c>
      <c r="I128" s="16"/>
      <c r="J128" s="16"/>
    </row>
    <row r="129" customFormat="false" ht="23.85" hidden="false" customHeight="false" outlineLevel="0" collapsed="false">
      <c r="A129" s="4" t="s">
        <v>291</v>
      </c>
      <c r="B129" s="17"/>
      <c r="C129" s="17"/>
      <c r="D129" s="17"/>
      <c r="E129" s="17"/>
      <c r="F129" s="17"/>
      <c r="G129" s="17"/>
      <c r="H129" s="4" t="str">
        <f aca="false">IFERROR(IF(AND(E129&lt;&gt;"",G129&lt;&gt;""),E129&amp;"-"&amp;G129,""),"")</f>
        <v/>
      </c>
      <c r="I129" s="17"/>
      <c r="J129" s="17"/>
    </row>
    <row r="130" customFormat="false" ht="23.85" hidden="false" customHeight="false" outlineLevel="0" collapsed="false">
      <c r="A130" s="7" t="s">
        <v>292</v>
      </c>
      <c r="B130" s="16"/>
      <c r="C130" s="16"/>
      <c r="D130" s="16"/>
      <c r="E130" s="16"/>
      <c r="F130" s="16"/>
      <c r="G130" s="16"/>
      <c r="H130" s="7" t="str">
        <f aca="false">IFERROR(IF(AND(E130&lt;&gt;"",G130&lt;&gt;""),E130&amp;"-"&amp;G130,""),"")</f>
        <v/>
      </c>
      <c r="I130" s="16"/>
      <c r="J130" s="16"/>
    </row>
    <row r="131" customFormat="false" ht="23.85" hidden="false" customHeight="false" outlineLevel="0" collapsed="false">
      <c r="A131" s="4" t="s">
        <v>293</v>
      </c>
      <c r="B131" s="17"/>
      <c r="C131" s="17"/>
      <c r="D131" s="17"/>
      <c r="E131" s="17"/>
      <c r="F131" s="17"/>
      <c r="G131" s="17"/>
      <c r="H131" s="4" t="str">
        <f aca="false">IFERROR(IF(AND(E131&lt;&gt;"",G131&lt;&gt;""),E131&amp;"-"&amp;G131,""),"")</f>
        <v/>
      </c>
      <c r="I131" s="17"/>
      <c r="J131" s="17"/>
    </row>
    <row r="132" customFormat="false" ht="23.85" hidden="false" customHeight="false" outlineLevel="0" collapsed="false">
      <c r="A132" s="7" t="s">
        <v>294</v>
      </c>
      <c r="B132" s="16"/>
      <c r="C132" s="16"/>
      <c r="D132" s="16"/>
      <c r="E132" s="16"/>
      <c r="F132" s="16"/>
      <c r="G132" s="16"/>
      <c r="H132" s="7" t="str">
        <f aca="false">IFERROR(IF(AND(E132&lt;&gt;"",G132&lt;&gt;""),E132&amp;"-"&amp;G132,""),"")</f>
        <v/>
      </c>
      <c r="I132" s="16"/>
      <c r="J132" s="16"/>
    </row>
    <row r="133" customFormat="false" ht="23.85" hidden="false" customHeight="false" outlineLevel="0" collapsed="false">
      <c r="A133" s="4" t="s">
        <v>295</v>
      </c>
      <c r="B133" s="17"/>
      <c r="C133" s="17"/>
      <c r="D133" s="17"/>
      <c r="E133" s="17"/>
      <c r="F133" s="17"/>
      <c r="G133" s="17"/>
      <c r="H133" s="4" t="str">
        <f aca="false">IFERROR(IF(AND(E133&lt;&gt;"",G133&lt;&gt;""),E133&amp;"-"&amp;G133,""),"")</f>
        <v/>
      </c>
      <c r="I133" s="17"/>
      <c r="J133" s="17"/>
    </row>
    <row r="134" customFormat="false" ht="23.85" hidden="false" customHeight="false" outlineLevel="0" collapsed="false">
      <c r="A134" s="7" t="s">
        <v>296</v>
      </c>
      <c r="B134" s="16"/>
      <c r="C134" s="16"/>
      <c r="D134" s="16"/>
      <c r="E134" s="16"/>
      <c r="F134" s="16"/>
      <c r="G134" s="16"/>
      <c r="H134" s="7" t="str">
        <f aca="false">IFERROR(IF(AND(E134&lt;&gt;"",G134&lt;&gt;""),E134&amp;"-"&amp;G134,""),"")</f>
        <v/>
      </c>
      <c r="I134" s="16"/>
      <c r="J134" s="16"/>
    </row>
    <row r="135" customFormat="false" ht="23.85" hidden="false" customHeight="false" outlineLevel="0" collapsed="false">
      <c r="A135" s="4" t="s">
        <v>297</v>
      </c>
      <c r="B135" s="17"/>
      <c r="C135" s="17"/>
      <c r="D135" s="17"/>
      <c r="E135" s="17"/>
      <c r="F135" s="17"/>
      <c r="G135" s="17"/>
      <c r="H135" s="4" t="str">
        <f aca="false">IFERROR(IF(AND(E135&lt;&gt;"",G135&lt;&gt;""),E135&amp;"-"&amp;G135,""),"")</f>
        <v/>
      </c>
      <c r="I135" s="17"/>
      <c r="J135" s="17"/>
    </row>
    <row r="136" customFormat="false" ht="23.85" hidden="false" customHeight="false" outlineLevel="0" collapsed="false">
      <c r="A136" s="7" t="s">
        <v>298</v>
      </c>
      <c r="B136" s="16"/>
      <c r="C136" s="16"/>
      <c r="D136" s="16"/>
      <c r="E136" s="16"/>
      <c r="F136" s="16"/>
      <c r="G136" s="16"/>
      <c r="H136" s="7" t="str">
        <f aca="false">IFERROR(IF(AND(E136&lt;&gt;"",G136&lt;&gt;""),E136&amp;"-"&amp;G136,""),"")</f>
        <v/>
      </c>
      <c r="I136" s="16"/>
      <c r="J136" s="16"/>
    </row>
    <row r="137" customFormat="false" ht="23.85" hidden="false" customHeight="false" outlineLevel="0" collapsed="false">
      <c r="A137" s="4" t="s">
        <v>299</v>
      </c>
      <c r="B137" s="17"/>
      <c r="C137" s="17"/>
      <c r="D137" s="17"/>
      <c r="E137" s="17"/>
      <c r="F137" s="17"/>
      <c r="G137" s="17"/>
      <c r="H137" s="4" t="str">
        <f aca="false">IFERROR(IF(AND(E137&lt;&gt;"",G137&lt;&gt;""),E137&amp;"-"&amp;G137,""),"")</f>
        <v/>
      </c>
      <c r="I137" s="17"/>
      <c r="J137" s="17"/>
    </row>
    <row r="138" customFormat="false" ht="23.85" hidden="false" customHeight="false" outlineLevel="0" collapsed="false">
      <c r="A138" s="7" t="s">
        <v>300</v>
      </c>
      <c r="B138" s="16"/>
      <c r="C138" s="16"/>
      <c r="D138" s="16"/>
      <c r="E138" s="16"/>
      <c r="F138" s="16"/>
      <c r="G138" s="16"/>
      <c r="H138" s="7" t="str">
        <f aca="false">IFERROR(IF(AND(E138&lt;&gt;"",G138&lt;&gt;""),E138&amp;"-"&amp;G138,""),"")</f>
        <v/>
      </c>
      <c r="I138" s="16"/>
      <c r="J138" s="16"/>
    </row>
    <row r="139" customFormat="false" ht="23.85" hidden="false" customHeight="false" outlineLevel="0" collapsed="false">
      <c r="A139" s="4" t="s">
        <v>301</v>
      </c>
      <c r="B139" s="17"/>
      <c r="C139" s="17"/>
      <c r="D139" s="17"/>
      <c r="E139" s="17"/>
      <c r="F139" s="17"/>
      <c r="G139" s="17"/>
      <c r="H139" s="4" t="str">
        <f aca="false">IFERROR(IF(AND(E139&lt;&gt;"",G139&lt;&gt;""),E139&amp;"-"&amp;G139,""),"")</f>
        <v/>
      </c>
      <c r="I139" s="17"/>
      <c r="J139" s="17"/>
    </row>
    <row r="140" customFormat="false" ht="23.85" hidden="false" customHeight="false" outlineLevel="0" collapsed="false">
      <c r="A140" s="7" t="s">
        <v>302</v>
      </c>
      <c r="B140" s="16"/>
      <c r="C140" s="16"/>
      <c r="D140" s="16"/>
      <c r="E140" s="16"/>
      <c r="F140" s="16"/>
      <c r="G140" s="16"/>
      <c r="H140" s="7" t="str">
        <f aca="false">IFERROR(IF(AND(E140&lt;&gt;"",G140&lt;&gt;""),E140&amp;"-"&amp;G140,""),"")</f>
        <v/>
      </c>
      <c r="I140" s="16"/>
      <c r="J140" s="16"/>
    </row>
    <row r="141" customFormat="false" ht="23.85" hidden="false" customHeight="false" outlineLevel="0" collapsed="false">
      <c r="A141" s="4" t="s">
        <v>303</v>
      </c>
      <c r="B141" s="17"/>
      <c r="C141" s="17"/>
      <c r="D141" s="17"/>
      <c r="E141" s="17"/>
      <c r="F141" s="17"/>
      <c r="G141" s="17"/>
      <c r="H141" s="4" t="str">
        <f aca="false">IFERROR(IF(AND(E141&lt;&gt;"",G141&lt;&gt;""),E141&amp;"-"&amp;G141,""),"")</f>
        <v/>
      </c>
      <c r="I141" s="17"/>
      <c r="J141" s="17"/>
    </row>
    <row r="142" customFormat="false" ht="23.85" hidden="false" customHeight="false" outlineLevel="0" collapsed="false">
      <c r="A142" s="7" t="s">
        <v>304</v>
      </c>
      <c r="B142" s="16"/>
      <c r="C142" s="16"/>
      <c r="D142" s="16"/>
      <c r="E142" s="16"/>
      <c r="F142" s="16"/>
      <c r="G142" s="16"/>
      <c r="H142" s="7" t="str">
        <f aca="false">IFERROR(IF(AND(E142&lt;&gt;"",G142&lt;&gt;""),E142&amp;"-"&amp;G142,""),"")</f>
        <v/>
      </c>
      <c r="I142" s="16"/>
      <c r="J142" s="16"/>
    </row>
    <row r="143" customFormat="false" ht="23.85" hidden="false" customHeight="false" outlineLevel="0" collapsed="false">
      <c r="A143" s="4" t="s">
        <v>305</v>
      </c>
      <c r="B143" s="17"/>
      <c r="C143" s="17"/>
      <c r="D143" s="17"/>
      <c r="E143" s="17"/>
      <c r="F143" s="17"/>
      <c r="G143" s="17"/>
      <c r="H143" s="4" t="str">
        <f aca="false">IFERROR(IF(AND(E143&lt;&gt;"",G143&lt;&gt;""),E143&amp;"-"&amp;G143,""),"")</f>
        <v/>
      </c>
      <c r="I143" s="17"/>
      <c r="J143" s="17"/>
    </row>
    <row r="144" customFormat="false" ht="23.85" hidden="false" customHeight="false" outlineLevel="0" collapsed="false">
      <c r="A144" s="7" t="s">
        <v>306</v>
      </c>
      <c r="B144" s="16"/>
      <c r="C144" s="16"/>
      <c r="D144" s="16"/>
      <c r="E144" s="16"/>
      <c r="F144" s="16"/>
      <c r="G144" s="16"/>
      <c r="H144" s="7" t="str">
        <f aca="false">IFERROR(IF(AND(E144&lt;&gt;"",G144&lt;&gt;""),E144&amp;"-"&amp;G144,""),"")</f>
        <v/>
      </c>
      <c r="I144" s="16"/>
      <c r="J144" s="16"/>
    </row>
    <row r="145" customFormat="false" ht="23.85" hidden="false" customHeight="false" outlineLevel="0" collapsed="false">
      <c r="A145" s="4" t="s">
        <v>307</v>
      </c>
      <c r="B145" s="17"/>
      <c r="C145" s="17"/>
      <c r="D145" s="17"/>
      <c r="E145" s="17"/>
      <c r="F145" s="17"/>
      <c r="G145" s="17"/>
      <c r="H145" s="4" t="str">
        <f aca="false">IFERROR(IF(AND(E145&lt;&gt;"",G145&lt;&gt;""),E145&amp;"-"&amp;G145,""),"")</f>
        <v/>
      </c>
      <c r="I145" s="17"/>
      <c r="J145" s="17"/>
    </row>
    <row r="146" customFormat="false" ht="23.85" hidden="false" customHeight="false" outlineLevel="0" collapsed="false">
      <c r="A146" s="7" t="s">
        <v>308</v>
      </c>
      <c r="B146" s="16"/>
      <c r="C146" s="16"/>
      <c r="D146" s="16"/>
      <c r="E146" s="16"/>
      <c r="F146" s="16"/>
      <c r="G146" s="16"/>
      <c r="H146" s="7" t="str">
        <f aca="false">IFERROR(IF(AND(E146&lt;&gt;"",G146&lt;&gt;""),E146&amp;"-"&amp;G146,""),"")</f>
        <v/>
      </c>
      <c r="I146" s="16"/>
      <c r="J146" s="16"/>
    </row>
    <row r="147" customFormat="false" ht="23.85" hidden="false" customHeight="false" outlineLevel="0" collapsed="false">
      <c r="A147" s="4" t="s">
        <v>309</v>
      </c>
      <c r="B147" s="17"/>
      <c r="C147" s="17"/>
      <c r="D147" s="17"/>
      <c r="E147" s="17"/>
      <c r="F147" s="17"/>
      <c r="G147" s="17"/>
      <c r="H147" s="4" t="str">
        <f aca="false">IFERROR(IF(AND(E147&lt;&gt;"",G147&lt;&gt;""),E147&amp;"-"&amp;G147,""),"")</f>
        <v/>
      </c>
      <c r="I147" s="17"/>
      <c r="J147" s="17"/>
    </row>
    <row r="148" customFormat="false" ht="23.85" hidden="false" customHeight="false" outlineLevel="0" collapsed="false">
      <c r="A148" s="7" t="s">
        <v>310</v>
      </c>
      <c r="B148" s="16"/>
      <c r="C148" s="16"/>
      <c r="D148" s="16"/>
      <c r="E148" s="16"/>
      <c r="F148" s="16"/>
      <c r="G148" s="16"/>
      <c r="H148" s="7" t="str">
        <f aca="false">IFERROR(IF(AND(E148&lt;&gt;"",G148&lt;&gt;""),E148&amp;"-"&amp;G148,""),"")</f>
        <v/>
      </c>
      <c r="I148" s="16"/>
      <c r="J148" s="16"/>
    </row>
    <row r="149" customFormat="false" ht="23.85" hidden="false" customHeight="false" outlineLevel="0" collapsed="false">
      <c r="A149" s="4" t="s">
        <v>311</v>
      </c>
      <c r="B149" s="17"/>
      <c r="C149" s="17"/>
      <c r="D149" s="17"/>
      <c r="E149" s="17"/>
      <c r="F149" s="17"/>
      <c r="G149" s="17"/>
      <c r="H149" s="4" t="str">
        <f aca="false">IFERROR(IF(AND(E149&lt;&gt;"",G149&lt;&gt;""),E149&amp;"-"&amp;G149,""),"")</f>
        <v/>
      </c>
      <c r="I149" s="17"/>
      <c r="J149" s="17"/>
    </row>
    <row r="150" customFormat="false" ht="23.85" hidden="false" customHeight="false" outlineLevel="0" collapsed="false">
      <c r="A150" s="7" t="s">
        <v>312</v>
      </c>
      <c r="B150" s="16"/>
      <c r="C150" s="16"/>
      <c r="D150" s="16"/>
      <c r="E150" s="16"/>
      <c r="F150" s="16"/>
      <c r="G150" s="16"/>
      <c r="H150" s="7" t="str">
        <f aca="false">IFERROR(IF(AND(E150&lt;&gt;"",G150&lt;&gt;""),E150&amp;"-"&amp;G150,""),"")</f>
        <v/>
      </c>
      <c r="I150" s="16"/>
      <c r="J150" s="16"/>
    </row>
    <row r="151" customFormat="false" ht="23.85" hidden="false" customHeight="false" outlineLevel="0" collapsed="false">
      <c r="A151" s="4" t="s">
        <v>313</v>
      </c>
      <c r="B151" s="17"/>
      <c r="C151" s="17"/>
      <c r="D151" s="17"/>
      <c r="E151" s="17"/>
      <c r="F151" s="17"/>
      <c r="G151" s="17"/>
      <c r="H151" s="4" t="str">
        <f aca="false">IFERROR(IF(AND(E151&lt;&gt;"",G151&lt;&gt;""),E151&amp;"-"&amp;G151,""),"")</f>
        <v/>
      </c>
      <c r="I151" s="17"/>
      <c r="J151" s="17"/>
    </row>
    <row r="152" customFormat="false" ht="23.85" hidden="false" customHeight="false" outlineLevel="0" collapsed="false">
      <c r="A152" s="7" t="s">
        <v>314</v>
      </c>
      <c r="B152" s="16"/>
      <c r="C152" s="16"/>
      <c r="D152" s="16"/>
      <c r="E152" s="16"/>
      <c r="F152" s="16"/>
      <c r="G152" s="16"/>
      <c r="H152" s="7" t="str">
        <f aca="false">IFERROR(IF(AND(E152&lt;&gt;"",G152&lt;&gt;""),E152&amp;"-"&amp;G152,""),"")</f>
        <v/>
      </c>
      <c r="I152" s="16"/>
      <c r="J152" s="16"/>
    </row>
    <row r="153" customFormat="false" ht="23.85" hidden="false" customHeight="false" outlineLevel="0" collapsed="false">
      <c r="A153" s="4" t="s">
        <v>315</v>
      </c>
      <c r="B153" s="17"/>
      <c r="C153" s="17"/>
      <c r="D153" s="17"/>
      <c r="E153" s="17"/>
      <c r="F153" s="17"/>
      <c r="G153" s="17"/>
      <c r="H153" s="4" t="str">
        <f aca="false">IFERROR(IF(AND(E153&lt;&gt;"",G153&lt;&gt;""),E153&amp;"-"&amp;G153,""),"")</f>
        <v/>
      </c>
      <c r="I153" s="17"/>
      <c r="J153" s="17"/>
    </row>
    <row r="154" customFormat="false" ht="23.85" hidden="false" customHeight="false" outlineLevel="0" collapsed="false">
      <c r="A154" s="7" t="s">
        <v>316</v>
      </c>
      <c r="B154" s="16"/>
      <c r="C154" s="16"/>
      <c r="D154" s="16"/>
      <c r="E154" s="16"/>
      <c r="F154" s="16"/>
      <c r="G154" s="16"/>
      <c r="H154" s="7" t="str">
        <f aca="false">IFERROR(IF(AND(E154&lt;&gt;"",G154&lt;&gt;""),E154&amp;"-"&amp;G154,""),"")</f>
        <v/>
      </c>
      <c r="I154" s="16"/>
      <c r="J154" s="16"/>
    </row>
    <row r="155" customFormat="false" ht="23.85" hidden="false" customHeight="false" outlineLevel="0" collapsed="false">
      <c r="A155" s="4" t="s">
        <v>317</v>
      </c>
      <c r="B155" s="17"/>
      <c r="C155" s="17"/>
      <c r="D155" s="17"/>
      <c r="E155" s="17"/>
      <c r="F155" s="17"/>
      <c r="G155" s="17"/>
      <c r="H155" s="4" t="str">
        <f aca="false">IFERROR(IF(AND(E155&lt;&gt;"",G155&lt;&gt;""),E155&amp;"-"&amp;G155,""),"")</f>
        <v/>
      </c>
      <c r="I155" s="17"/>
      <c r="J155" s="17"/>
    </row>
    <row r="156" customFormat="false" ht="23.85" hidden="false" customHeight="false" outlineLevel="0" collapsed="false">
      <c r="A156" s="7" t="s">
        <v>318</v>
      </c>
      <c r="B156" s="16"/>
      <c r="C156" s="16"/>
      <c r="D156" s="16"/>
      <c r="E156" s="16"/>
      <c r="F156" s="16"/>
      <c r="G156" s="16"/>
      <c r="H156" s="7" t="str">
        <f aca="false">IFERROR(IF(AND(E156&lt;&gt;"",G156&lt;&gt;""),E156&amp;"-"&amp;G156,""),"")</f>
        <v/>
      </c>
      <c r="I156" s="16"/>
      <c r="J156" s="16"/>
    </row>
    <row r="157" customFormat="false" ht="23.85" hidden="false" customHeight="false" outlineLevel="0" collapsed="false">
      <c r="A157" s="4" t="s">
        <v>319</v>
      </c>
      <c r="B157" s="17"/>
      <c r="C157" s="17"/>
      <c r="D157" s="17"/>
      <c r="E157" s="17"/>
      <c r="F157" s="17"/>
      <c r="G157" s="17"/>
      <c r="H157" s="4" t="str">
        <f aca="false">IFERROR(IF(AND(E157&lt;&gt;"",G157&lt;&gt;""),E157&amp;"-"&amp;G157,""),"")</f>
        <v/>
      </c>
      <c r="I157" s="17"/>
      <c r="J157" s="17"/>
    </row>
    <row r="158" customFormat="false" ht="23.85" hidden="false" customHeight="false" outlineLevel="0" collapsed="false">
      <c r="A158" s="7" t="s">
        <v>320</v>
      </c>
      <c r="B158" s="16"/>
      <c r="C158" s="16"/>
      <c r="D158" s="16"/>
      <c r="E158" s="16"/>
      <c r="F158" s="16"/>
      <c r="G158" s="16"/>
      <c r="H158" s="7" t="str">
        <f aca="false">IFERROR(IF(AND(E158&lt;&gt;"",G158&lt;&gt;""),E158&amp;"-"&amp;G158,""),"")</f>
        <v/>
      </c>
      <c r="I158" s="16"/>
      <c r="J158" s="16"/>
    </row>
    <row r="159" customFormat="false" ht="23.85" hidden="false" customHeight="false" outlineLevel="0" collapsed="false">
      <c r="A159" s="4" t="s">
        <v>321</v>
      </c>
      <c r="B159" s="17"/>
      <c r="C159" s="17"/>
      <c r="D159" s="17"/>
      <c r="E159" s="17"/>
      <c r="F159" s="17"/>
      <c r="G159" s="17"/>
      <c r="H159" s="4" t="str">
        <f aca="false">IFERROR(IF(AND(E159&lt;&gt;"",G159&lt;&gt;""),E159&amp;"-"&amp;G159,""),"")</f>
        <v/>
      </c>
      <c r="I159" s="17"/>
      <c r="J159" s="17"/>
    </row>
    <row r="160" customFormat="false" ht="23.85" hidden="false" customHeight="false" outlineLevel="0" collapsed="false">
      <c r="A160" s="7" t="s">
        <v>322</v>
      </c>
      <c r="B160" s="16"/>
      <c r="C160" s="16"/>
      <c r="D160" s="16"/>
      <c r="E160" s="16"/>
      <c r="F160" s="16"/>
      <c r="G160" s="16"/>
      <c r="H160" s="7" t="str">
        <f aca="false">IFERROR(IF(AND(E160&lt;&gt;"",G160&lt;&gt;""),E160&amp;"-"&amp;G160,""),"")</f>
        <v/>
      </c>
      <c r="I160" s="16"/>
      <c r="J160" s="16"/>
    </row>
    <row r="161" customFormat="false" ht="23.85" hidden="false" customHeight="false" outlineLevel="0" collapsed="false">
      <c r="A161" s="4" t="s">
        <v>323</v>
      </c>
      <c r="B161" s="17"/>
      <c r="C161" s="17"/>
      <c r="D161" s="17"/>
      <c r="E161" s="17"/>
      <c r="F161" s="17"/>
      <c r="G161" s="17"/>
      <c r="H161" s="4" t="str">
        <f aca="false">IFERROR(IF(AND(E161&lt;&gt;"",G161&lt;&gt;""),E161&amp;"-"&amp;G161,""),"")</f>
        <v/>
      </c>
      <c r="I161" s="17"/>
      <c r="J161" s="17"/>
    </row>
    <row r="162" customFormat="false" ht="23.85" hidden="false" customHeight="false" outlineLevel="0" collapsed="false">
      <c r="A162" s="7" t="s">
        <v>324</v>
      </c>
      <c r="B162" s="16"/>
      <c r="C162" s="16"/>
      <c r="D162" s="16"/>
      <c r="E162" s="16"/>
      <c r="F162" s="16"/>
      <c r="G162" s="16"/>
      <c r="H162" s="7" t="str">
        <f aca="false">IFERROR(IF(AND(E162&lt;&gt;"",G162&lt;&gt;""),E162&amp;"-"&amp;G162,""),"")</f>
        <v/>
      </c>
      <c r="I162" s="16"/>
      <c r="J162" s="16"/>
    </row>
    <row r="163" customFormat="false" ht="23.85" hidden="false" customHeight="false" outlineLevel="0" collapsed="false">
      <c r="A163" s="4" t="s">
        <v>325</v>
      </c>
      <c r="B163" s="17"/>
      <c r="C163" s="17"/>
      <c r="D163" s="17"/>
      <c r="E163" s="17"/>
      <c r="F163" s="17"/>
      <c r="G163" s="17"/>
      <c r="H163" s="4" t="str">
        <f aca="false">IFERROR(IF(AND(E163&lt;&gt;"",G163&lt;&gt;""),E163&amp;"-"&amp;G163,""),"")</f>
        <v/>
      </c>
      <c r="I163" s="17"/>
      <c r="J163" s="17"/>
    </row>
    <row r="164" customFormat="false" ht="23.85" hidden="false" customHeight="false" outlineLevel="0" collapsed="false">
      <c r="A164" s="7" t="s">
        <v>326</v>
      </c>
      <c r="B164" s="16"/>
      <c r="C164" s="16"/>
      <c r="D164" s="16"/>
      <c r="E164" s="16"/>
      <c r="F164" s="16"/>
      <c r="G164" s="16"/>
      <c r="H164" s="7" t="str">
        <f aca="false">IFERROR(IF(AND(E164&lt;&gt;"",G164&lt;&gt;""),E164&amp;"-"&amp;G164,""),"")</f>
        <v/>
      </c>
      <c r="I164" s="16"/>
      <c r="J164" s="16"/>
    </row>
    <row r="165" customFormat="false" ht="23.85" hidden="false" customHeight="false" outlineLevel="0" collapsed="false">
      <c r="A165" s="4" t="s">
        <v>327</v>
      </c>
      <c r="B165" s="17"/>
      <c r="C165" s="17"/>
      <c r="D165" s="17"/>
      <c r="E165" s="17"/>
      <c r="F165" s="17"/>
      <c r="G165" s="17"/>
      <c r="H165" s="4" t="str">
        <f aca="false">IFERROR(IF(AND(E165&lt;&gt;"",G165&lt;&gt;""),E165&amp;"-"&amp;G165,""),"")</f>
        <v/>
      </c>
      <c r="I165" s="17"/>
      <c r="J165" s="17"/>
    </row>
    <row r="166" customFormat="false" ht="23.85" hidden="false" customHeight="false" outlineLevel="0" collapsed="false">
      <c r="A166" s="7" t="s">
        <v>328</v>
      </c>
      <c r="B166" s="16"/>
      <c r="C166" s="16"/>
      <c r="D166" s="16"/>
      <c r="E166" s="16"/>
      <c r="F166" s="16"/>
      <c r="G166" s="16"/>
      <c r="H166" s="7" t="str">
        <f aca="false">IFERROR(IF(AND(E166&lt;&gt;"",G166&lt;&gt;""),E166&amp;"-"&amp;G166,""),"")</f>
        <v/>
      </c>
      <c r="I166" s="16"/>
      <c r="J166" s="16"/>
    </row>
    <row r="167" customFormat="false" ht="23.85" hidden="false" customHeight="false" outlineLevel="0" collapsed="false">
      <c r="A167" s="4" t="s">
        <v>329</v>
      </c>
      <c r="B167" s="17"/>
      <c r="C167" s="17"/>
      <c r="D167" s="17"/>
      <c r="E167" s="17"/>
      <c r="F167" s="17"/>
      <c r="G167" s="17"/>
      <c r="H167" s="4" t="str">
        <f aca="false">IFERROR(IF(AND(E167&lt;&gt;"",G167&lt;&gt;""),E167&amp;"-"&amp;G167,""),"")</f>
        <v/>
      </c>
      <c r="I167" s="17"/>
      <c r="J167" s="17"/>
    </row>
    <row r="168" customFormat="false" ht="23.85" hidden="false" customHeight="false" outlineLevel="0" collapsed="false">
      <c r="A168" s="7" t="s">
        <v>330</v>
      </c>
      <c r="B168" s="16"/>
      <c r="C168" s="16"/>
      <c r="D168" s="16"/>
      <c r="E168" s="16"/>
      <c r="F168" s="16"/>
      <c r="G168" s="16"/>
      <c r="H168" s="7" t="str">
        <f aca="false">IFERROR(IF(AND(E168&lt;&gt;"",G168&lt;&gt;""),E168&amp;"-"&amp;G168,""),"")</f>
        <v/>
      </c>
      <c r="I168" s="16"/>
      <c r="J168" s="16"/>
    </row>
    <row r="169" customFormat="false" ht="23.85" hidden="false" customHeight="false" outlineLevel="0" collapsed="false">
      <c r="A169" s="4" t="s">
        <v>331</v>
      </c>
      <c r="B169" s="17"/>
      <c r="C169" s="17"/>
      <c r="D169" s="17"/>
      <c r="E169" s="17"/>
      <c r="F169" s="17"/>
      <c r="G169" s="17"/>
      <c r="H169" s="4" t="str">
        <f aca="false">IFERROR(IF(AND(E169&lt;&gt;"",G169&lt;&gt;""),E169&amp;"-"&amp;G169,""),"")</f>
        <v/>
      </c>
      <c r="I169" s="17"/>
      <c r="J169" s="17"/>
    </row>
    <row r="170" customFormat="false" ht="23.85" hidden="false" customHeight="false" outlineLevel="0" collapsed="false">
      <c r="A170" s="7" t="s">
        <v>332</v>
      </c>
      <c r="B170" s="16"/>
      <c r="C170" s="16"/>
      <c r="D170" s="16"/>
      <c r="E170" s="16"/>
      <c r="F170" s="16"/>
      <c r="G170" s="16"/>
      <c r="H170" s="7" t="str">
        <f aca="false">IFERROR(IF(AND(E170&lt;&gt;"",G170&lt;&gt;""),E170&amp;"-"&amp;G170,""),"")</f>
        <v/>
      </c>
      <c r="I170" s="16"/>
      <c r="J170" s="16"/>
    </row>
    <row r="171" customFormat="false" ht="23.85" hidden="false" customHeight="false" outlineLevel="0" collapsed="false">
      <c r="A171" s="4" t="s">
        <v>333</v>
      </c>
      <c r="B171" s="17"/>
      <c r="C171" s="17"/>
      <c r="D171" s="17"/>
      <c r="E171" s="17"/>
      <c r="F171" s="17"/>
      <c r="G171" s="17"/>
      <c r="H171" s="4" t="str">
        <f aca="false">IFERROR(IF(AND(E171&lt;&gt;"",G171&lt;&gt;""),E171&amp;"-"&amp;G171,""),"")</f>
        <v/>
      </c>
      <c r="I171" s="17"/>
      <c r="J171" s="17"/>
    </row>
    <row r="172" customFormat="false" ht="23.85" hidden="false" customHeight="false" outlineLevel="0" collapsed="false">
      <c r="A172" s="7" t="s">
        <v>334</v>
      </c>
      <c r="B172" s="16"/>
      <c r="C172" s="16"/>
      <c r="D172" s="16"/>
      <c r="E172" s="16"/>
      <c r="F172" s="16"/>
      <c r="G172" s="16"/>
      <c r="H172" s="7" t="str">
        <f aca="false">IFERROR(IF(AND(E172&lt;&gt;"",G172&lt;&gt;""),E172&amp;"-"&amp;G172,""),"")</f>
        <v/>
      </c>
      <c r="I172" s="16"/>
      <c r="J172" s="16"/>
    </row>
    <row r="173" customFormat="false" ht="23.85" hidden="false" customHeight="false" outlineLevel="0" collapsed="false">
      <c r="A173" s="4" t="s">
        <v>335</v>
      </c>
      <c r="B173" s="17"/>
      <c r="C173" s="17"/>
      <c r="D173" s="17"/>
      <c r="E173" s="17"/>
      <c r="F173" s="17"/>
      <c r="G173" s="17"/>
      <c r="H173" s="4" t="str">
        <f aca="false">IFERROR(IF(AND(E173&lt;&gt;"",G173&lt;&gt;""),E173&amp;"-"&amp;G173,""),"")</f>
        <v/>
      </c>
      <c r="I173" s="17"/>
      <c r="J173" s="17"/>
    </row>
    <row r="174" customFormat="false" ht="23.85" hidden="false" customHeight="false" outlineLevel="0" collapsed="false">
      <c r="A174" s="7" t="s">
        <v>336</v>
      </c>
      <c r="B174" s="16"/>
      <c r="C174" s="16"/>
      <c r="D174" s="16"/>
      <c r="E174" s="16"/>
      <c r="F174" s="16"/>
      <c r="G174" s="16"/>
      <c r="H174" s="7" t="str">
        <f aca="false">IFERROR(IF(AND(E174&lt;&gt;"",G174&lt;&gt;""),E174&amp;"-"&amp;G174,""),"")</f>
        <v/>
      </c>
      <c r="I174" s="16"/>
      <c r="J174" s="16"/>
    </row>
    <row r="175" customFormat="false" ht="23.85" hidden="false" customHeight="false" outlineLevel="0" collapsed="false">
      <c r="A175" s="4" t="s">
        <v>337</v>
      </c>
      <c r="B175" s="17"/>
      <c r="C175" s="17"/>
      <c r="D175" s="17"/>
      <c r="E175" s="17"/>
      <c r="F175" s="17"/>
      <c r="G175" s="17"/>
      <c r="H175" s="4" t="str">
        <f aca="false">IFERROR(IF(AND(E175&lt;&gt;"",G175&lt;&gt;""),E175&amp;"-"&amp;G175,""),"")</f>
        <v/>
      </c>
      <c r="I175" s="17"/>
      <c r="J175" s="17"/>
    </row>
    <row r="176" customFormat="false" ht="23.85" hidden="false" customHeight="false" outlineLevel="0" collapsed="false">
      <c r="A176" s="7" t="s">
        <v>338</v>
      </c>
      <c r="B176" s="16"/>
      <c r="C176" s="16"/>
      <c r="D176" s="16"/>
      <c r="E176" s="16"/>
      <c r="F176" s="16"/>
      <c r="G176" s="16"/>
      <c r="H176" s="7" t="str">
        <f aca="false">IFERROR(IF(AND(E176&lt;&gt;"",G176&lt;&gt;""),E176&amp;"-"&amp;G176,""),"")</f>
        <v/>
      </c>
      <c r="I176" s="16"/>
      <c r="J176" s="16"/>
    </row>
    <row r="177" customFormat="false" ht="23.85" hidden="false" customHeight="false" outlineLevel="0" collapsed="false">
      <c r="A177" s="4" t="s">
        <v>339</v>
      </c>
      <c r="B177" s="17"/>
      <c r="C177" s="17"/>
      <c r="D177" s="17"/>
      <c r="E177" s="17"/>
      <c r="F177" s="17"/>
      <c r="G177" s="17"/>
      <c r="H177" s="4" t="str">
        <f aca="false">IFERROR(IF(AND(E177&lt;&gt;"",G177&lt;&gt;""),E177&amp;"-"&amp;G177,""),"")</f>
        <v/>
      </c>
      <c r="I177" s="17"/>
      <c r="J177" s="17"/>
    </row>
    <row r="178" customFormat="false" ht="23.85" hidden="false" customHeight="false" outlineLevel="0" collapsed="false">
      <c r="A178" s="7" t="s">
        <v>340</v>
      </c>
      <c r="B178" s="16"/>
      <c r="C178" s="16"/>
      <c r="D178" s="16"/>
      <c r="E178" s="16"/>
      <c r="F178" s="16"/>
      <c r="G178" s="16"/>
      <c r="H178" s="7" t="str">
        <f aca="false">IFERROR(IF(AND(E178&lt;&gt;"",G178&lt;&gt;""),E178&amp;"-"&amp;G178,""),"")</f>
        <v/>
      </c>
      <c r="I178" s="16"/>
      <c r="J178" s="16"/>
    </row>
    <row r="179" customFormat="false" ht="23.85" hidden="false" customHeight="false" outlineLevel="0" collapsed="false">
      <c r="A179" s="4" t="s">
        <v>341</v>
      </c>
      <c r="B179" s="17"/>
      <c r="C179" s="17"/>
      <c r="D179" s="17"/>
      <c r="E179" s="17"/>
      <c r="F179" s="17"/>
      <c r="G179" s="17"/>
      <c r="H179" s="4" t="str">
        <f aca="false">IFERROR(IF(AND(E179&lt;&gt;"",G179&lt;&gt;""),E179&amp;"-"&amp;G179,""),"")</f>
        <v/>
      </c>
      <c r="I179" s="17"/>
      <c r="J179" s="17"/>
    </row>
    <row r="180" customFormat="false" ht="23.85" hidden="false" customHeight="false" outlineLevel="0" collapsed="false">
      <c r="A180" s="7" t="s">
        <v>342</v>
      </c>
      <c r="B180" s="16"/>
      <c r="C180" s="16"/>
      <c r="D180" s="16"/>
      <c r="E180" s="16"/>
      <c r="F180" s="16"/>
      <c r="G180" s="16"/>
      <c r="H180" s="7" t="str">
        <f aca="false">IFERROR(IF(AND(E180&lt;&gt;"",G180&lt;&gt;""),E180&amp;"-"&amp;G180,""),"")</f>
        <v/>
      </c>
      <c r="I180" s="16"/>
      <c r="J180" s="16"/>
    </row>
    <row r="181" customFormat="false" ht="23.85" hidden="false" customHeight="false" outlineLevel="0" collapsed="false">
      <c r="A181" s="4" t="s">
        <v>343</v>
      </c>
      <c r="B181" s="17"/>
      <c r="C181" s="17"/>
      <c r="D181" s="17"/>
      <c r="E181" s="17"/>
      <c r="F181" s="17"/>
      <c r="G181" s="17"/>
      <c r="H181" s="4" t="str">
        <f aca="false">IFERROR(IF(AND(E181&lt;&gt;"",G181&lt;&gt;""),E181&amp;"-"&amp;G181,""),"")</f>
        <v/>
      </c>
      <c r="I181" s="17"/>
      <c r="J181" s="17"/>
    </row>
    <row r="182" customFormat="false" ht="23.85" hidden="false" customHeight="false" outlineLevel="0" collapsed="false">
      <c r="A182" s="7" t="s">
        <v>344</v>
      </c>
      <c r="B182" s="16"/>
      <c r="C182" s="16"/>
      <c r="D182" s="16"/>
      <c r="E182" s="16"/>
      <c r="F182" s="16"/>
      <c r="G182" s="16"/>
      <c r="H182" s="7" t="str">
        <f aca="false">IFERROR(IF(AND(E182&lt;&gt;"",G182&lt;&gt;""),E182&amp;"-"&amp;G182,""),"")</f>
        <v/>
      </c>
      <c r="I182" s="16"/>
      <c r="J182" s="16"/>
    </row>
    <row r="183" customFormat="false" ht="23.85" hidden="false" customHeight="false" outlineLevel="0" collapsed="false">
      <c r="A183" s="4" t="s">
        <v>345</v>
      </c>
      <c r="B183" s="17"/>
      <c r="C183" s="17"/>
      <c r="D183" s="17"/>
      <c r="E183" s="17"/>
      <c r="F183" s="17"/>
      <c r="G183" s="17"/>
      <c r="H183" s="4" t="str">
        <f aca="false">IFERROR(IF(AND(E183&lt;&gt;"",G183&lt;&gt;""),E183&amp;"-"&amp;G183,""),"")</f>
        <v/>
      </c>
      <c r="I183" s="17"/>
      <c r="J183" s="17"/>
    </row>
    <row r="184" customFormat="false" ht="23.85" hidden="false" customHeight="false" outlineLevel="0" collapsed="false">
      <c r="A184" s="7" t="s">
        <v>346</v>
      </c>
      <c r="B184" s="16"/>
      <c r="C184" s="16"/>
      <c r="D184" s="16"/>
      <c r="E184" s="16"/>
      <c r="F184" s="16"/>
      <c r="G184" s="16"/>
      <c r="H184" s="7" t="str">
        <f aca="false">IFERROR(IF(AND(E184&lt;&gt;"",G184&lt;&gt;""),E184&amp;"-"&amp;G184,""),"")</f>
        <v/>
      </c>
      <c r="I184" s="16"/>
      <c r="J184" s="16"/>
    </row>
    <row r="185" customFormat="false" ht="23.85" hidden="false" customHeight="false" outlineLevel="0" collapsed="false">
      <c r="A185" s="4" t="s">
        <v>347</v>
      </c>
      <c r="B185" s="17"/>
      <c r="C185" s="17"/>
      <c r="D185" s="17"/>
      <c r="E185" s="17"/>
      <c r="F185" s="17"/>
      <c r="G185" s="17"/>
      <c r="H185" s="4" t="str">
        <f aca="false">IFERROR(IF(AND(E185&lt;&gt;"",G185&lt;&gt;""),E185&amp;"-"&amp;G185,""),"")</f>
        <v/>
      </c>
      <c r="I185" s="17"/>
      <c r="J185" s="17"/>
    </row>
    <row r="186" customFormat="false" ht="23.85" hidden="false" customHeight="false" outlineLevel="0" collapsed="false">
      <c r="A186" s="7" t="s">
        <v>348</v>
      </c>
      <c r="B186" s="16"/>
      <c r="C186" s="16"/>
      <c r="D186" s="16"/>
      <c r="E186" s="16"/>
      <c r="F186" s="16"/>
      <c r="G186" s="16"/>
      <c r="H186" s="7" t="str">
        <f aca="false">IFERROR(IF(AND(E186&lt;&gt;"",G186&lt;&gt;""),E186&amp;"-"&amp;G186,""),"")</f>
        <v/>
      </c>
      <c r="I186" s="16"/>
      <c r="J186" s="16"/>
    </row>
    <row r="187" customFormat="false" ht="23.85" hidden="false" customHeight="false" outlineLevel="0" collapsed="false">
      <c r="A187" s="4" t="s">
        <v>349</v>
      </c>
      <c r="B187" s="17"/>
      <c r="C187" s="17"/>
      <c r="D187" s="17"/>
      <c r="E187" s="17"/>
      <c r="F187" s="17"/>
      <c r="G187" s="17"/>
      <c r="H187" s="4" t="str">
        <f aca="false">IFERROR(IF(AND(E187&lt;&gt;"",G187&lt;&gt;""),E187&amp;"-"&amp;G187,""),"")</f>
        <v/>
      </c>
      <c r="I187" s="17"/>
      <c r="J187" s="17"/>
    </row>
    <row r="188" customFormat="false" ht="23.85" hidden="false" customHeight="false" outlineLevel="0" collapsed="false">
      <c r="A188" s="7" t="s">
        <v>350</v>
      </c>
      <c r="B188" s="16"/>
      <c r="C188" s="16"/>
      <c r="D188" s="16"/>
      <c r="E188" s="16"/>
      <c r="F188" s="16"/>
      <c r="G188" s="16"/>
      <c r="H188" s="7" t="str">
        <f aca="false">IFERROR(IF(AND(E188&lt;&gt;"",G188&lt;&gt;""),E188&amp;"-"&amp;G188,""),"")</f>
        <v/>
      </c>
      <c r="I188" s="16"/>
      <c r="J188" s="16"/>
    </row>
    <row r="189" customFormat="false" ht="23.85" hidden="false" customHeight="false" outlineLevel="0" collapsed="false">
      <c r="A189" s="4" t="s">
        <v>351</v>
      </c>
      <c r="B189" s="17"/>
      <c r="C189" s="17"/>
      <c r="D189" s="17"/>
      <c r="E189" s="17"/>
      <c r="F189" s="17"/>
      <c r="G189" s="17"/>
      <c r="H189" s="4" t="str">
        <f aca="false">IFERROR(IF(AND(E189&lt;&gt;"",G189&lt;&gt;""),E189&amp;"-"&amp;G189,""),"")</f>
        <v/>
      </c>
      <c r="I189" s="17"/>
      <c r="J189" s="17"/>
    </row>
    <row r="190" customFormat="false" ht="23.85" hidden="false" customHeight="false" outlineLevel="0" collapsed="false">
      <c r="A190" s="7" t="s">
        <v>352</v>
      </c>
      <c r="B190" s="16"/>
      <c r="C190" s="16"/>
      <c r="D190" s="16"/>
      <c r="E190" s="16"/>
      <c r="F190" s="16"/>
      <c r="G190" s="16"/>
      <c r="H190" s="7" t="str">
        <f aca="false">IFERROR(IF(AND(E190&lt;&gt;"",G190&lt;&gt;""),E190&amp;"-"&amp;G190,""),"")</f>
        <v/>
      </c>
      <c r="I190" s="16"/>
      <c r="J190" s="16"/>
    </row>
    <row r="191" customFormat="false" ht="23.85" hidden="false" customHeight="false" outlineLevel="0" collapsed="false">
      <c r="A191" s="4" t="s">
        <v>353</v>
      </c>
      <c r="B191" s="17"/>
      <c r="C191" s="17"/>
      <c r="D191" s="17"/>
      <c r="E191" s="17"/>
      <c r="F191" s="17"/>
      <c r="G191" s="17"/>
      <c r="H191" s="4" t="str">
        <f aca="false">IFERROR(IF(AND(E191&lt;&gt;"",G191&lt;&gt;""),E191&amp;"-"&amp;G191,""),"")</f>
        <v/>
      </c>
      <c r="I191" s="17"/>
      <c r="J191" s="17"/>
    </row>
    <row r="192" customFormat="false" ht="23.85" hidden="false" customHeight="false" outlineLevel="0" collapsed="false">
      <c r="A192" s="7" t="s">
        <v>354</v>
      </c>
      <c r="B192" s="16"/>
      <c r="C192" s="16"/>
      <c r="D192" s="16"/>
      <c r="E192" s="16"/>
      <c r="F192" s="16"/>
      <c r="G192" s="16"/>
      <c r="H192" s="7" t="str">
        <f aca="false">IFERROR(IF(AND(E192&lt;&gt;"",G192&lt;&gt;""),E192&amp;"-"&amp;G192,""),"")</f>
        <v/>
      </c>
      <c r="I192" s="16"/>
      <c r="J192" s="16"/>
    </row>
    <row r="193" customFormat="false" ht="23.85" hidden="false" customHeight="false" outlineLevel="0" collapsed="false">
      <c r="A193" s="4" t="s">
        <v>355</v>
      </c>
      <c r="B193" s="17"/>
      <c r="C193" s="17"/>
      <c r="D193" s="17"/>
      <c r="E193" s="17"/>
      <c r="F193" s="17"/>
      <c r="G193" s="17"/>
      <c r="H193" s="4" t="str">
        <f aca="false">IFERROR(IF(AND(E193&lt;&gt;"",G193&lt;&gt;""),E193&amp;"-"&amp;G193,""),"")</f>
        <v/>
      </c>
      <c r="I193" s="17"/>
      <c r="J193" s="17"/>
    </row>
    <row r="194" customFormat="false" ht="23.85" hidden="false" customHeight="false" outlineLevel="0" collapsed="false">
      <c r="A194" s="7" t="s">
        <v>356</v>
      </c>
      <c r="B194" s="16"/>
      <c r="C194" s="16"/>
      <c r="D194" s="16"/>
      <c r="E194" s="16"/>
      <c r="F194" s="16"/>
      <c r="G194" s="16"/>
      <c r="H194" s="7" t="str">
        <f aca="false">IFERROR(IF(AND(E194&lt;&gt;"",G194&lt;&gt;""),E194&amp;"-"&amp;G194,""),"")</f>
        <v/>
      </c>
      <c r="I194" s="16"/>
      <c r="J194" s="16"/>
    </row>
    <row r="195" customFormat="false" ht="23.85" hidden="false" customHeight="false" outlineLevel="0" collapsed="false">
      <c r="A195" s="4" t="s">
        <v>357</v>
      </c>
      <c r="B195" s="17"/>
      <c r="C195" s="17"/>
      <c r="D195" s="17"/>
      <c r="E195" s="17"/>
      <c r="F195" s="17"/>
      <c r="G195" s="17"/>
      <c r="H195" s="4" t="str">
        <f aca="false">IFERROR(IF(AND(E195&lt;&gt;"",G195&lt;&gt;""),E195&amp;"-"&amp;G195,""),"")</f>
        <v/>
      </c>
      <c r="I195" s="17"/>
      <c r="J195" s="17"/>
    </row>
    <row r="196" customFormat="false" ht="23.85" hidden="false" customHeight="false" outlineLevel="0" collapsed="false">
      <c r="A196" s="7" t="s">
        <v>358</v>
      </c>
      <c r="B196" s="16"/>
      <c r="C196" s="16"/>
      <c r="D196" s="16"/>
      <c r="E196" s="16"/>
      <c r="F196" s="16"/>
      <c r="G196" s="16"/>
      <c r="H196" s="7" t="str">
        <f aca="false">IFERROR(IF(AND(E196&lt;&gt;"",G196&lt;&gt;""),E196&amp;"-"&amp;G196,""),"")</f>
        <v/>
      </c>
      <c r="I196" s="16"/>
      <c r="J196" s="16"/>
    </row>
    <row r="197" customFormat="false" ht="23.85" hidden="false" customHeight="false" outlineLevel="0" collapsed="false">
      <c r="A197" s="4" t="s">
        <v>359</v>
      </c>
      <c r="B197" s="17"/>
      <c r="C197" s="17"/>
      <c r="D197" s="17"/>
      <c r="E197" s="17"/>
      <c r="F197" s="17"/>
      <c r="G197" s="17"/>
      <c r="H197" s="4" t="str">
        <f aca="false">IFERROR(IF(AND(E197&lt;&gt;"",G197&lt;&gt;""),E197&amp;"-"&amp;G197,""),"")</f>
        <v/>
      </c>
      <c r="I197" s="17"/>
      <c r="J197" s="17"/>
    </row>
    <row r="198" customFormat="false" ht="23.85" hidden="false" customHeight="false" outlineLevel="0" collapsed="false">
      <c r="A198" s="7" t="s">
        <v>360</v>
      </c>
      <c r="B198" s="16"/>
      <c r="C198" s="16"/>
      <c r="D198" s="16"/>
      <c r="E198" s="16"/>
      <c r="F198" s="16"/>
      <c r="G198" s="16"/>
      <c r="H198" s="7" t="str">
        <f aca="false">IFERROR(IF(AND(E198&lt;&gt;"",G198&lt;&gt;""),E198&amp;"-"&amp;G198,""),"")</f>
        <v/>
      </c>
      <c r="I198" s="16"/>
      <c r="J198" s="16"/>
    </row>
    <row r="199" customFormat="false" ht="23.85" hidden="false" customHeight="false" outlineLevel="0" collapsed="false">
      <c r="A199" s="4" t="s">
        <v>361</v>
      </c>
      <c r="B199" s="17"/>
      <c r="C199" s="17"/>
      <c r="D199" s="17"/>
      <c r="E199" s="17"/>
      <c r="F199" s="17"/>
      <c r="G199" s="17"/>
      <c r="H199" s="4" t="str">
        <f aca="false">IFERROR(IF(AND(E199&lt;&gt;"",G199&lt;&gt;""),E199&amp;"-"&amp;G199,""),"")</f>
        <v/>
      </c>
      <c r="I199" s="17"/>
      <c r="J199" s="17"/>
    </row>
    <row r="200" customFormat="false" ht="23.85" hidden="false" customHeight="false" outlineLevel="0" collapsed="false">
      <c r="A200" s="7" t="s">
        <v>362</v>
      </c>
      <c r="B200" s="16"/>
      <c r="C200" s="16"/>
      <c r="D200" s="16"/>
      <c r="E200" s="16"/>
      <c r="F200" s="16"/>
      <c r="G200" s="16"/>
      <c r="H200" s="7" t="str">
        <f aca="false">IFERROR(IF(AND(E200&lt;&gt;"",G200&lt;&gt;""),E200&amp;"-"&amp;G200,""),"")</f>
        <v/>
      </c>
      <c r="I200" s="16"/>
      <c r="J200" s="16"/>
    </row>
    <row r="201" customFormat="false" ht="23.85" hidden="false" customHeight="false" outlineLevel="0" collapsed="false">
      <c r="A201" s="4" t="s">
        <v>363</v>
      </c>
      <c r="B201" s="17"/>
      <c r="C201" s="17"/>
      <c r="D201" s="17"/>
      <c r="E201" s="17"/>
      <c r="F201" s="17"/>
      <c r="G201" s="17"/>
      <c r="H201" s="4" t="str">
        <f aca="false">IFERROR(IF(AND(E201&lt;&gt;"",G201&lt;&gt;""),E201&amp;"-"&amp;G201,""),"")</f>
        <v/>
      </c>
      <c r="I201" s="17"/>
      <c r="J201" s="17"/>
    </row>
    <row r="202" customFormat="false" ht="23.85" hidden="false" customHeight="false" outlineLevel="0" collapsed="false">
      <c r="A202" s="7" t="s">
        <v>364</v>
      </c>
      <c r="B202" s="16"/>
      <c r="C202" s="16"/>
      <c r="D202" s="16"/>
      <c r="E202" s="16"/>
      <c r="F202" s="16"/>
      <c r="G202" s="16"/>
      <c r="H202" s="7" t="str">
        <f aca="false">IFERROR(IF(AND(E202&lt;&gt;"",G202&lt;&gt;""),E202&amp;"-"&amp;G202,""),"")</f>
        <v/>
      </c>
      <c r="I202" s="16"/>
      <c r="J202" s="16"/>
    </row>
    <row r="203" customFormat="false" ht="23.85" hidden="false" customHeight="false" outlineLevel="0" collapsed="false">
      <c r="A203" s="4" t="s">
        <v>365</v>
      </c>
      <c r="B203" s="17"/>
      <c r="C203" s="17"/>
      <c r="D203" s="17"/>
      <c r="E203" s="17"/>
      <c r="F203" s="17"/>
      <c r="G203" s="17"/>
      <c r="H203" s="4" t="str">
        <f aca="false">IFERROR(IF(AND(E203&lt;&gt;"",G203&lt;&gt;""),E203&amp;"-"&amp;G203,""),"")</f>
        <v/>
      </c>
      <c r="I203" s="17"/>
      <c r="J203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1"/>
    <col collapsed="false" customWidth="true" hidden="false" outlineLevel="0" max="18" min="17" style="0" width="14"/>
  </cols>
  <sheetData>
    <row r="1" customFormat="false" ht="33.75" hidden="false" customHeight="true" outlineLevel="0" collapsed="false">
      <c r="A1" s="25" t="s">
        <v>366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customFormat="false" ht="25.5" hidden="false" customHeight="true" outlineLevel="0" collapsed="false">
      <c r="A2" s="26" t="s">
        <v>367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4" customFormat="false" ht="23.85" hidden="false" customHeight="false" outlineLevel="0" collapsed="false">
      <c r="A4" s="27" t="s">
        <v>368</v>
      </c>
      <c r="B4" s="27" t="s">
        <v>34</v>
      </c>
      <c r="C4" s="27" t="s">
        <v>37</v>
      </c>
      <c r="D4" s="27" t="s">
        <v>40</v>
      </c>
      <c r="E4" s="27" t="s">
        <v>43</v>
      </c>
      <c r="F4" s="27" t="s">
        <v>45</v>
      </c>
      <c r="G4" s="27" t="s">
        <v>47</v>
      </c>
      <c r="H4" s="27" t="s">
        <v>50</v>
      </c>
      <c r="I4" s="27" t="s">
        <v>52</v>
      </c>
      <c r="J4" s="27" t="s">
        <v>54</v>
      </c>
      <c r="K4" s="27" t="s">
        <v>56</v>
      </c>
      <c r="L4" s="27" t="s">
        <v>58</v>
      </c>
      <c r="M4" s="27" t="s">
        <v>60</v>
      </c>
      <c r="N4" s="27" t="s">
        <v>62</v>
      </c>
      <c r="O4" s="27" t="s">
        <v>64</v>
      </c>
      <c r="P4" s="27" t="s">
        <v>87</v>
      </c>
      <c r="Q4" s="28" t="s">
        <v>369</v>
      </c>
      <c r="R4" s="28" t="s">
        <v>370</v>
      </c>
    </row>
    <row r="5" customFormat="false" ht="15" hidden="false" customHeight="false" outlineLevel="0" collapsed="false">
      <c r="A5" s="17"/>
      <c r="B5" s="4" t="n">
        <f aca="false">IFERROR(COUNTIFS('1. Raw Votes Log'!B:B,A5,'1. Raw Votes Log'!E:E,"USA"),0)</f>
        <v>0</v>
      </c>
      <c r="C5" s="4" t="n">
        <f aca="false">IFERROR(COUNTIFS('1. Raw Votes Log'!B:B,A5,'1. Raw Votes Log'!E:E,"GBR"),0)</f>
        <v>0</v>
      </c>
      <c r="D5" s="4" t="n">
        <f aca="false">IFERROR(COUNTIFS('1. Raw Votes Log'!B:B,A5,'1. Raw Votes Log'!E:E,"CHN"),0)</f>
        <v>0</v>
      </c>
      <c r="E5" s="4" t="n">
        <f aca="false">IFERROR(COUNTIFS('1. Raw Votes Log'!B:B,A5,'1. Raw Votes Log'!E:E,"DEU"),0)</f>
        <v>0</v>
      </c>
      <c r="F5" s="4" t="n">
        <f aca="false">IFERROR(COUNTIFS('1. Raw Votes Log'!B:B,A5,'1. Raw Votes Log'!E:E,"JPN"),0)</f>
        <v>0</v>
      </c>
      <c r="G5" s="4" t="n">
        <f aca="false">IFERROR(COUNTIFS('1. Raw Votes Log'!B:B,A5,'1. Raw Votes Log'!E:E,"AUS"),0)</f>
        <v>0</v>
      </c>
      <c r="H5" s="4" t="n">
        <f aca="false">IFERROR(COUNTIFS('1. Raw Votes Log'!B:B,A5,'1. Raw Votes Log'!E:E,"FRA"),0)</f>
        <v>0</v>
      </c>
      <c r="I5" s="4" t="n">
        <f aca="false">IFERROR(COUNTIFS('1. Raw Votes Log'!B:B,A5,'1. Raw Votes Log'!E:E,"NLD"),0)</f>
        <v>0</v>
      </c>
      <c r="J5" s="4" t="n">
        <f aca="false">IFERROR(COUNTIFS('1. Raw Votes Log'!B:B,A5,'1. Raw Votes Log'!E:E,"CAN"),0)</f>
        <v>0</v>
      </c>
      <c r="K5" s="4" t="n">
        <f aca="false">IFERROR(COUNTIFS('1. Raw Votes Log'!B:B,A5,'1. Raw Votes Log'!E:E,"KOR"),0)</f>
        <v>0</v>
      </c>
      <c r="L5" s="4" t="n">
        <f aca="false">IFERROR(COUNTIFS('1. Raw Votes Log'!B:B,A5,'1. Raw Votes Log'!E:E,"CHE"),0)</f>
        <v>0</v>
      </c>
      <c r="M5" s="4" t="n">
        <f aca="false">IFERROR(COUNTIFS('1. Raw Votes Log'!B:B,A5,'1. Raw Votes Log'!E:E,"SWE"),0)</f>
        <v>0</v>
      </c>
      <c r="N5" s="4" t="n">
        <f aca="false">IFERROR(COUNTIFS('1. Raw Votes Log'!B:B,A5,'1. Raw Votes Log'!E:E,"ITA"),0)</f>
        <v>0</v>
      </c>
      <c r="O5" s="4" t="n">
        <f aca="false">IFERROR(COUNTIFS('1. Raw Votes Log'!B:B,A5,'1. Raw Votes Log'!E:E,"ESP"),0)</f>
        <v>0</v>
      </c>
      <c r="P5" s="4" t="n">
        <f aca="false">IFERROR(COUNTIFS('1. Raw Votes Log'!B:B,A5,'1. Raw Votes Log'!E:E,"IND"),0)</f>
        <v>0</v>
      </c>
      <c r="Q5" s="22" t="n">
        <f aca="false">SUM(B5:P5)</f>
        <v>0</v>
      </c>
      <c r="R5" s="22" t="n">
        <f aca="false">COUNTIF(B5:P5,"&gt;0")</f>
        <v>0</v>
      </c>
    </row>
    <row r="6" customFormat="false" ht="15" hidden="false" customHeight="false" outlineLevel="0" collapsed="false">
      <c r="A6" s="16"/>
      <c r="B6" s="7" t="n">
        <f aca="false">IFERROR(COUNTIFS('1. Raw Votes Log'!B:B,A6,'1. Raw Votes Log'!E:E,"USA"),0)</f>
        <v>0</v>
      </c>
      <c r="C6" s="7" t="n">
        <f aca="false">IFERROR(COUNTIFS('1. Raw Votes Log'!B:B,A6,'1. Raw Votes Log'!E:E,"GBR"),0)</f>
        <v>0</v>
      </c>
      <c r="D6" s="7" t="n">
        <f aca="false">IFERROR(COUNTIFS('1. Raw Votes Log'!B:B,A6,'1. Raw Votes Log'!E:E,"CHN"),0)</f>
        <v>0</v>
      </c>
      <c r="E6" s="7" t="n">
        <f aca="false">IFERROR(COUNTIFS('1. Raw Votes Log'!B:B,A6,'1. Raw Votes Log'!E:E,"DEU"),0)</f>
        <v>0</v>
      </c>
      <c r="F6" s="7" t="n">
        <f aca="false">IFERROR(COUNTIFS('1. Raw Votes Log'!B:B,A6,'1. Raw Votes Log'!E:E,"JPN"),0)</f>
        <v>0</v>
      </c>
      <c r="G6" s="7" t="n">
        <f aca="false">IFERROR(COUNTIFS('1. Raw Votes Log'!B:B,A6,'1. Raw Votes Log'!E:E,"AUS"),0)</f>
        <v>0</v>
      </c>
      <c r="H6" s="7" t="n">
        <f aca="false">IFERROR(COUNTIFS('1. Raw Votes Log'!B:B,A6,'1. Raw Votes Log'!E:E,"FRA"),0)</f>
        <v>0</v>
      </c>
      <c r="I6" s="7" t="n">
        <f aca="false">IFERROR(COUNTIFS('1. Raw Votes Log'!B:B,A6,'1. Raw Votes Log'!E:E,"NLD"),0)</f>
        <v>0</v>
      </c>
      <c r="J6" s="7" t="n">
        <f aca="false">IFERROR(COUNTIFS('1. Raw Votes Log'!B:B,A6,'1. Raw Votes Log'!E:E,"CAN"),0)</f>
        <v>0</v>
      </c>
      <c r="K6" s="7" t="n">
        <f aca="false">IFERROR(COUNTIFS('1. Raw Votes Log'!B:B,A6,'1. Raw Votes Log'!E:E,"KOR"),0)</f>
        <v>0</v>
      </c>
      <c r="L6" s="7" t="n">
        <f aca="false">IFERROR(COUNTIFS('1. Raw Votes Log'!B:B,A6,'1. Raw Votes Log'!E:E,"CHE"),0)</f>
        <v>0</v>
      </c>
      <c r="M6" s="7" t="n">
        <f aca="false">IFERROR(COUNTIFS('1. Raw Votes Log'!B:B,A6,'1. Raw Votes Log'!E:E,"SWE"),0)</f>
        <v>0</v>
      </c>
      <c r="N6" s="7" t="n">
        <f aca="false">IFERROR(COUNTIFS('1. Raw Votes Log'!B:B,A6,'1. Raw Votes Log'!E:E,"ITA"),0)</f>
        <v>0</v>
      </c>
      <c r="O6" s="7" t="n">
        <f aca="false">IFERROR(COUNTIFS('1. Raw Votes Log'!B:B,A6,'1. Raw Votes Log'!E:E,"ESP"),0)</f>
        <v>0</v>
      </c>
      <c r="P6" s="7" t="n">
        <f aca="false">IFERROR(COUNTIFS('1. Raw Votes Log'!B:B,A6,'1. Raw Votes Log'!E:E,"IND"),0)</f>
        <v>0</v>
      </c>
      <c r="Q6" s="21" t="n">
        <f aca="false">SUM(B6:P6)</f>
        <v>0</v>
      </c>
      <c r="R6" s="21" t="n">
        <f aca="false">COUNTIF(B6:P6,"&gt;0")</f>
        <v>0</v>
      </c>
    </row>
    <row r="7" customFormat="false" ht="15" hidden="false" customHeight="false" outlineLevel="0" collapsed="false">
      <c r="A7" s="17"/>
      <c r="B7" s="4" t="n">
        <f aca="false">IFERROR(COUNTIFS('1. Raw Votes Log'!B:B,A7,'1. Raw Votes Log'!E:E,"USA"),0)</f>
        <v>0</v>
      </c>
      <c r="C7" s="4" t="n">
        <f aca="false">IFERROR(COUNTIFS('1. Raw Votes Log'!B:B,A7,'1. Raw Votes Log'!E:E,"GBR"),0)</f>
        <v>0</v>
      </c>
      <c r="D7" s="4" t="n">
        <f aca="false">IFERROR(COUNTIFS('1. Raw Votes Log'!B:B,A7,'1. Raw Votes Log'!E:E,"CHN"),0)</f>
        <v>0</v>
      </c>
      <c r="E7" s="4" t="n">
        <f aca="false">IFERROR(COUNTIFS('1. Raw Votes Log'!B:B,A7,'1. Raw Votes Log'!E:E,"DEU"),0)</f>
        <v>0</v>
      </c>
      <c r="F7" s="4" t="n">
        <f aca="false">IFERROR(COUNTIFS('1. Raw Votes Log'!B:B,A7,'1. Raw Votes Log'!E:E,"JPN"),0)</f>
        <v>0</v>
      </c>
      <c r="G7" s="4" t="n">
        <f aca="false">IFERROR(COUNTIFS('1. Raw Votes Log'!B:B,A7,'1. Raw Votes Log'!E:E,"AUS"),0)</f>
        <v>0</v>
      </c>
      <c r="H7" s="4" t="n">
        <f aca="false">IFERROR(COUNTIFS('1. Raw Votes Log'!B:B,A7,'1. Raw Votes Log'!E:E,"FRA"),0)</f>
        <v>0</v>
      </c>
      <c r="I7" s="4" t="n">
        <f aca="false">IFERROR(COUNTIFS('1. Raw Votes Log'!B:B,A7,'1. Raw Votes Log'!E:E,"NLD"),0)</f>
        <v>0</v>
      </c>
      <c r="J7" s="4" t="n">
        <f aca="false">IFERROR(COUNTIFS('1. Raw Votes Log'!B:B,A7,'1. Raw Votes Log'!E:E,"CAN"),0)</f>
        <v>0</v>
      </c>
      <c r="K7" s="4" t="n">
        <f aca="false">IFERROR(COUNTIFS('1. Raw Votes Log'!B:B,A7,'1. Raw Votes Log'!E:E,"KOR"),0)</f>
        <v>0</v>
      </c>
      <c r="L7" s="4" t="n">
        <f aca="false">IFERROR(COUNTIFS('1. Raw Votes Log'!B:B,A7,'1. Raw Votes Log'!E:E,"CHE"),0)</f>
        <v>0</v>
      </c>
      <c r="M7" s="4" t="n">
        <f aca="false">IFERROR(COUNTIFS('1. Raw Votes Log'!B:B,A7,'1. Raw Votes Log'!E:E,"SWE"),0)</f>
        <v>0</v>
      </c>
      <c r="N7" s="4" t="n">
        <f aca="false">IFERROR(COUNTIFS('1. Raw Votes Log'!B:B,A7,'1. Raw Votes Log'!E:E,"ITA"),0)</f>
        <v>0</v>
      </c>
      <c r="O7" s="4" t="n">
        <f aca="false">IFERROR(COUNTIFS('1. Raw Votes Log'!B:B,A7,'1. Raw Votes Log'!E:E,"ESP"),0)</f>
        <v>0</v>
      </c>
      <c r="P7" s="4" t="n">
        <f aca="false">IFERROR(COUNTIFS('1. Raw Votes Log'!B:B,A7,'1. Raw Votes Log'!E:E,"IND"),0)</f>
        <v>0</v>
      </c>
      <c r="Q7" s="22" t="n">
        <f aca="false">SUM(B7:P7)</f>
        <v>0</v>
      </c>
      <c r="R7" s="22" t="n">
        <f aca="false">COUNTIF(B7:P7,"&gt;0")</f>
        <v>0</v>
      </c>
    </row>
    <row r="8" customFormat="false" ht="15" hidden="false" customHeight="false" outlineLevel="0" collapsed="false">
      <c r="A8" s="16"/>
      <c r="B8" s="7" t="n">
        <f aca="false">IFERROR(COUNTIFS('1. Raw Votes Log'!B:B,A8,'1. Raw Votes Log'!E:E,"USA"),0)</f>
        <v>0</v>
      </c>
      <c r="C8" s="7" t="n">
        <f aca="false">IFERROR(COUNTIFS('1. Raw Votes Log'!B:B,A8,'1. Raw Votes Log'!E:E,"GBR"),0)</f>
        <v>0</v>
      </c>
      <c r="D8" s="7" t="n">
        <f aca="false">IFERROR(COUNTIFS('1. Raw Votes Log'!B:B,A8,'1. Raw Votes Log'!E:E,"CHN"),0)</f>
        <v>0</v>
      </c>
      <c r="E8" s="7" t="n">
        <f aca="false">IFERROR(COUNTIFS('1. Raw Votes Log'!B:B,A8,'1. Raw Votes Log'!E:E,"DEU"),0)</f>
        <v>0</v>
      </c>
      <c r="F8" s="7" t="n">
        <f aca="false">IFERROR(COUNTIFS('1. Raw Votes Log'!B:B,A8,'1. Raw Votes Log'!E:E,"JPN"),0)</f>
        <v>0</v>
      </c>
      <c r="G8" s="7" t="n">
        <f aca="false">IFERROR(COUNTIFS('1. Raw Votes Log'!B:B,A8,'1. Raw Votes Log'!E:E,"AUS"),0)</f>
        <v>0</v>
      </c>
      <c r="H8" s="7" t="n">
        <f aca="false">IFERROR(COUNTIFS('1. Raw Votes Log'!B:B,A8,'1. Raw Votes Log'!E:E,"FRA"),0)</f>
        <v>0</v>
      </c>
      <c r="I8" s="7" t="n">
        <f aca="false">IFERROR(COUNTIFS('1. Raw Votes Log'!B:B,A8,'1. Raw Votes Log'!E:E,"NLD"),0)</f>
        <v>0</v>
      </c>
      <c r="J8" s="7" t="n">
        <f aca="false">IFERROR(COUNTIFS('1. Raw Votes Log'!B:B,A8,'1. Raw Votes Log'!E:E,"CAN"),0)</f>
        <v>0</v>
      </c>
      <c r="K8" s="7" t="n">
        <f aca="false">IFERROR(COUNTIFS('1. Raw Votes Log'!B:B,A8,'1. Raw Votes Log'!E:E,"KOR"),0)</f>
        <v>0</v>
      </c>
      <c r="L8" s="7" t="n">
        <f aca="false">IFERROR(COUNTIFS('1. Raw Votes Log'!B:B,A8,'1. Raw Votes Log'!E:E,"CHE"),0)</f>
        <v>0</v>
      </c>
      <c r="M8" s="7" t="n">
        <f aca="false">IFERROR(COUNTIFS('1. Raw Votes Log'!B:B,A8,'1. Raw Votes Log'!E:E,"SWE"),0)</f>
        <v>0</v>
      </c>
      <c r="N8" s="7" t="n">
        <f aca="false">IFERROR(COUNTIFS('1. Raw Votes Log'!B:B,A8,'1. Raw Votes Log'!E:E,"ITA"),0)</f>
        <v>0</v>
      </c>
      <c r="O8" s="7" t="n">
        <f aca="false">IFERROR(COUNTIFS('1. Raw Votes Log'!B:B,A8,'1. Raw Votes Log'!E:E,"ESP"),0)</f>
        <v>0</v>
      </c>
      <c r="P8" s="7" t="n">
        <f aca="false">IFERROR(COUNTIFS('1. Raw Votes Log'!B:B,A8,'1. Raw Votes Log'!E:E,"IND"),0)</f>
        <v>0</v>
      </c>
      <c r="Q8" s="21" t="n">
        <f aca="false">SUM(B8:P8)</f>
        <v>0</v>
      </c>
      <c r="R8" s="21" t="n">
        <f aca="false">COUNTIF(B8:P8,"&gt;0")</f>
        <v>0</v>
      </c>
    </row>
    <row r="9" customFormat="false" ht="15" hidden="false" customHeight="false" outlineLevel="0" collapsed="false">
      <c r="A9" s="17"/>
      <c r="B9" s="4" t="n">
        <f aca="false">IFERROR(COUNTIFS('1. Raw Votes Log'!B:B,A9,'1. Raw Votes Log'!E:E,"USA"),0)</f>
        <v>0</v>
      </c>
      <c r="C9" s="4" t="n">
        <f aca="false">IFERROR(COUNTIFS('1. Raw Votes Log'!B:B,A9,'1. Raw Votes Log'!E:E,"GBR"),0)</f>
        <v>0</v>
      </c>
      <c r="D9" s="4" t="n">
        <f aca="false">IFERROR(COUNTIFS('1. Raw Votes Log'!B:B,A9,'1. Raw Votes Log'!E:E,"CHN"),0)</f>
        <v>0</v>
      </c>
      <c r="E9" s="4" t="n">
        <f aca="false">IFERROR(COUNTIFS('1. Raw Votes Log'!B:B,A9,'1. Raw Votes Log'!E:E,"DEU"),0)</f>
        <v>0</v>
      </c>
      <c r="F9" s="4" t="n">
        <f aca="false">IFERROR(COUNTIFS('1. Raw Votes Log'!B:B,A9,'1. Raw Votes Log'!E:E,"JPN"),0)</f>
        <v>0</v>
      </c>
      <c r="G9" s="4" t="n">
        <f aca="false">IFERROR(COUNTIFS('1. Raw Votes Log'!B:B,A9,'1. Raw Votes Log'!E:E,"AUS"),0)</f>
        <v>0</v>
      </c>
      <c r="H9" s="4" t="n">
        <f aca="false">IFERROR(COUNTIFS('1. Raw Votes Log'!B:B,A9,'1. Raw Votes Log'!E:E,"FRA"),0)</f>
        <v>0</v>
      </c>
      <c r="I9" s="4" t="n">
        <f aca="false">IFERROR(COUNTIFS('1. Raw Votes Log'!B:B,A9,'1. Raw Votes Log'!E:E,"NLD"),0)</f>
        <v>0</v>
      </c>
      <c r="J9" s="4" t="n">
        <f aca="false">IFERROR(COUNTIFS('1. Raw Votes Log'!B:B,A9,'1. Raw Votes Log'!E:E,"CAN"),0)</f>
        <v>0</v>
      </c>
      <c r="K9" s="4" t="n">
        <f aca="false">IFERROR(COUNTIFS('1. Raw Votes Log'!B:B,A9,'1. Raw Votes Log'!E:E,"KOR"),0)</f>
        <v>0</v>
      </c>
      <c r="L9" s="4" t="n">
        <f aca="false">IFERROR(COUNTIFS('1. Raw Votes Log'!B:B,A9,'1. Raw Votes Log'!E:E,"CHE"),0)</f>
        <v>0</v>
      </c>
      <c r="M9" s="4" t="n">
        <f aca="false">IFERROR(COUNTIFS('1. Raw Votes Log'!B:B,A9,'1. Raw Votes Log'!E:E,"SWE"),0)</f>
        <v>0</v>
      </c>
      <c r="N9" s="4" t="n">
        <f aca="false">IFERROR(COUNTIFS('1. Raw Votes Log'!B:B,A9,'1. Raw Votes Log'!E:E,"ITA"),0)</f>
        <v>0</v>
      </c>
      <c r="O9" s="4" t="n">
        <f aca="false">IFERROR(COUNTIFS('1. Raw Votes Log'!B:B,A9,'1. Raw Votes Log'!E:E,"ESP"),0)</f>
        <v>0</v>
      </c>
      <c r="P9" s="4" t="n">
        <f aca="false">IFERROR(COUNTIFS('1. Raw Votes Log'!B:B,A9,'1. Raw Votes Log'!E:E,"IND"),0)</f>
        <v>0</v>
      </c>
      <c r="Q9" s="22" t="n">
        <f aca="false">SUM(B9:P9)</f>
        <v>0</v>
      </c>
      <c r="R9" s="22" t="n">
        <f aca="false">COUNTIF(B9:P9,"&gt;0")</f>
        <v>0</v>
      </c>
    </row>
    <row r="10" customFormat="false" ht="15" hidden="false" customHeight="false" outlineLevel="0" collapsed="false">
      <c r="A10" s="16"/>
      <c r="B10" s="7" t="n">
        <f aca="false">IFERROR(COUNTIFS('1. Raw Votes Log'!B:B,A10,'1. Raw Votes Log'!E:E,"USA"),0)</f>
        <v>0</v>
      </c>
      <c r="C10" s="7" t="n">
        <f aca="false">IFERROR(COUNTIFS('1. Raw Votes Log'!B:B,A10,'1. Raw Votes Log'!E:E,"GBR"),0)</f>
        <v>0</v>
      </c>
      <c r="D10" s="7" t="n">
        <f aca="false">IFERROR(COUNTIFS('1. Raw Votes Log'!B:B,A10,'1. Raw Votes Log'!E:E,"CHN"),0)</f>
        <v>0</v>
      </c>
      <c r="E10" s="7" t="n">
        <f aca="false">IFERROR(COUNTIFS('1. Raw Votes Log'!B:B,A10,'1. Raw Votes Log'!E:E,"DEU"),0)</f>
        <v>0</v>
      </c>
      <c r="F10" s="7" t="n">
        <f aca="false">IFERROR(COUNTIFS('1. Raw Votes Log'!B:B,A10,'1. Raw Votes Log'!E:E,"JPN"),0)</f>
        <v>0</v>
      </c>
      <c r="G10" s="7" t="n">
        <f aca="false">IFERROR(COUNTIFS('1. Raw Votes Log'!B:B,A10,'1. Raw Votes Log'!E:E,"AUS"),0)</f>
        <v>0</v>
      </c>
      <c r="H10" s="7" t="n">
        <f aca="false">IFERROR(COUNTIFS('1. Raw Votes Log'!B:B,A10,'1. Raw Votes Log'!E:E,"FRA"),0)</f>
        <v>0</v>
      </c>
      <c r="I10" s="7" t="n">
        <f aca="false">IFERROR(COUNTIFS('1. Raw Votes Log'!B:B,A10,'1. Raw Votes Log'!E:E,"NLD"),0)</f>
        <v>0</v>
      </c>
      <c r="J10" s="7" t="n">
        <f aca="false">IFERROR(COUNTIFS('1. Raw Votes Log'!B:B,A10,'1. Raw Votes Log'!E:E,"CAN"),0)</f>
        <v>0</v>
      </c>
      <c r="K10" s="7" t="n">
        <f aca="false">IFERROR(COUNTIFS('1. Raw Votes Log'!B:B,A10,'1. Raw Votes Log'!E:E,"KOR"),0)</f>
        <v>0</v>
      </c>
      <c r="L10" s="7" t="n">
        <f aca="false">IFERROR(COUNTIFS('1. Raw Votes Log'!B:B,A10,'1. Raw Votes Log'!E:E,"CHE"),0)</f>
        <v>0</v>
      </c>
      <c r="M10" s="7" t="n">
        <f aca="false">IFERROR(COUNTIFS('1. Raw Votes Log'!B:B,A10,'1. Raw Votes Log'!E:E,"SWE"),0)</f>
        <v>0</v>
      </c>
      <c r="N10" s="7" t="n">
        <f aca="false">IFERROR(COUNTIFS('1. Raw Votes Log'!B:B,A10,'1. Raw Votes Log'!E:E,"ITA"),0)</f>
        <v>0</v>
      </c>
      <c r="O10" s="7" t="n">
        <f aca="false">IFERROR(COUNTIFS('1. Raw Votes Log'!B:B,A10,'1. Raw Votes Log'!E:E,"ESP"),0)</f>
        <v>0</v>
      </c>
      <c r="P10" s="7" t="n">
        <f aca="false">IFERROR(COUNTIFS('1. Raw Votes Log'!B:B,A10,'1. Raw Votes Log'!E:E,"IND"),0)</f>
        <v>0</v>
      </c>
      <c r="Q10" s="21" t="n">
        <f aca="false">SUM(B10:P10)</f>
        <v>0</v>
      </c>
      <c r="R10" s="21" t="n">
        <f aca="false">COUNTIF(B10:P10,"&gt;0")</f>
        <v>0</v>
      </c>
    </row>
    <row r="11" customFormat="false" ht="15" hidden="false" customHeight="false" outlineLevel="0" collapsed="false">
      <c r="A11" s="17"/>
      <c r="B11" s="4" t="n">
        <f aca="false">IFERROR(COUNTIFS('1. Raw Votes Log'!B:B,A11,'1. Raw Votes Log'!E:E,"USA"),0)</f>
        <v>0</v>
      </c>
      <c r="C11" s="4" t="n">
        <f aca="false">IFERROR(COUNTIFS('1. Raw Votes Log'!B:B,A11,'1. Raw Votes Log'!E:E,"GBR"),0)</f>
        <v>0</v>
      </c>
      <c r="D11" s="4" t="n">
        <f aca="false">IFERROR(COUNTIFS('1. Raw Votes Log'!B:B,A11,'1. Raw Votes Log'!E:E,"CHN"),0)</f>
        <v>0</v>
      </c>
      <c r="E11" s="4" t="n">
        <f aca="false">IFERROR(COUNTIFS('1. Raw Votes Log'!B:B,A11,'1. Raw Votes Log'!E:E,"DEU"),0)</f>
        <v>0</v>
      </c>
      <c r="F11" s="4" t="n">
        <f aca="false">IFERROR(COUNTIFS('1. Raw Votes Log'!B:B,A11,'1. Raw Votes Log'!E:E,"JPN"),0)</f>
        <v>0</v>
      </c>
      <c r="G11" s="4" t="n">
        <f aca="false">IFERROR(COUNTIFS('1. Raw Votes Log'!B:B,A11,'1. Raw Votes Log'!E:E,"AUS"),0)</f>
        <v>0</v>
      </c>
      <c r="H11" s="4" t="n">
        <f aca="false">IFERROR(COUNTIFS('1. Raw Votes Log'!B:B,A11,'1. Raw Votes Log'!E:E,"FRA"),0)</f>
        <v>0</v>
      </c>
      <c r="I11" s="4" t="n">
        <f aca="false">IFERROR(COUNTIFS('1. Raw Votes Log'!B:B,A11,'1. Raw Votes Log'!E:E,"NLD"),0)</f>
        <v>0</v>
      </c>
      <c r="J11" s="4" t="n">
        <f aca="false">IFERROR(COUNTIFS('1. Raw Votes Log'!B:B,A11,'1. Raw Votes Log'!E:E,"CAN"),0)</f>
        <v>0</v>
      </c>
      <c r="K11" s="4" t="n">
        <f aca="false">IFERROR(COUNTIFS('1. Raw Votes Log'!B:B,A11,'1. Raw Votes Log'!E:E,"KOR"),0)</f>
        <v>0</v>
      </c>
      <c r="L11" s="4" t="n">
        <f aca="false">IFERROR(COUNTIFS('1. Raw Votes Log'!B:B,A11,'1. Raw Votes Log'!E:E,"CHE"),0)</f>
        <v>0</v>
      </c>
      <c r="M11" s="4" t="n">
        <f aca="false">IFERROR(COUNTIFS('1. Raw Votes Log'!B:B,A11,'1. Raw Votes Log'!E:E,"SWE"),0)</f>
        <v>0</v>
      </c>
      <c r="N11" s="4" t="n">
        <f aca="false">IFERROR(COUNTIFS('1. Raw Votes Log'!B:B,A11,'1. Raw Votes Log'!E:E,"ITA"),0)</f>
        <v>0</v>
      </c>
      <c r="O11" s="4" t="n">
        <f aca="false">IFERROR(COUNTIFS('1. Raw Votes Log'!B:B,A11,'1. Raw Votes Log'!E:E,"ESP"),0)</f>
        <v>0</v>
      </c>
      <c r="P11" s="4" t="n">
        <f aca="false">IFERROR(COUNTIFS('1. Raw Votes Log'!B:B,A11,'1. Raw Votes Log'!E:E,"IND"),0)</f>
        <v>0</v>
      </c>
      <c r="Q11" s="22" t="n">
        <f aca="false">SUM(B11:P11)</f>
        <v>0</v>
      </c>
      <c r="R11" s="22" t="n">
        <f aca="false">COUNTIF(B11:P11,"&gt;0")</f>
        <v>0</v>
      </c>
    </row>
    <row r="12" customFormat="false" ht="15" hidden="false" customHeight="false" outlineLevel="0" collapsed="false">
      <c r="A12" s="16"/>
      <c r="B12" s="7" t="n">
        <f aca="false">IFERROR(COUNTIFS('1. Raw Votes Log'!B:B,A12,'1. Raw Votes Log'!E:E,"USA"),0)</f>
        <v>0</v>
      </c>
      <c r="C12" s="7" t="n">
        <f aca="false">IFERROR(COUNTIFS('1. Raw Votes Log'!B:B,A12,'1. Raw Votes Log'!E:E,"GBR"),0)</f>
        <v>0</v>
      </c>
      <c r="D12" s="7" t="n">
        <f aca="false">IFERROR(COUNTIFS('1. Raw Votes Log'!B:B,A12,'1. Raw Votes Log'!E:E,"CHN"),0)</f>
        <v>0</v>
      </c>
      <c r="E12" s="7" t="n">
        <f aca="false">IFERROR(COUNTIFS('1. Raw Votes Log'!B:B,A12,'1. Raw Votes Log'!E:E,"DEU"),0)</f>
        <v>0</v>
      </c>
      <c r="F12" s="7" t="n">
        <f aca="false">IFERROR(COUNTIFS('1. Raw Votes Log'!B:B,A12,'1. Raw Votes Log'!E:E,"JPN"),0)</f>
        <v>0</v>
      </c>
      <c r="G12" s="7" t="n">
        <f aca="false">IFERROR(COUNTIFS('1. Raw Votes Log'!B:B,A12,'1. Raw Votes Log'!E:E,"AUS"),0)</f>
        <v>0</v>
      </c>
      <c r="H12" s="7" t="n">
        <f aca="false">IFERROR(COUNTIFS('1. Raw Votes Log'!B:B,A12,'1. Raw Votes Log'!E:E,"FRA"),0)</f>
        <v>0</v>
      </c>
      <c r="I12" s="7" t="n">
        <f aca="false">IFERROR(COUNTIFS('1. Raw Votes Log'!B:B,A12,'1. Raw Votes Log'!E:E,"NLD"),0)</f>
        <v>0</v>
      </c>
      <c r="J12" s="7" t="n">
        <f aca="false">IFERROR(COUNTIFS('1. Raw Votes Log'!B:B,A12,'1. Raw Votes Log'!E:E,"CAN"),0)</f>
        <v>0</v>
      </c>
      <c r="K12" s="7" t="n">
        <f aca="false">IFERROR(COUNTIFS('1. Raw Votes Log'!B:B,A12,'1. Raw Votes Log'!E:E,"KOR"),0)</f>
        <v>0</v>
      </c>
      <c r="L12" s="7" t="n">
        <f aca="false">IFERROR(COUNTIFS('1. Raw Votes Log'!B:B,A12,'1. Raw Votes Log'!E:E,"CHE"),0)</f>
        <v>0</v>
      </c>
      <c r="M12" s="7" t="n">
        <f aca="false">IFERROR(COUNTIFS('1. Raw Votes Log'!B:B,A12,'1. Raw Votes Log'!E:E,"SWE"),0)</f>
        <v>0</v>
      </c>
      <c r="N12" s="7" t="n">
        <f aca="false">IFERROR(COUNTIFS('1. Raw Votes Log'!B:B,A12,'1. Raw Votes Log'!E:E,"ITA"),0)</f>
        <v>0</v>
      </c>
      <c r="O12" s="7" t="n">
        <f aca="false">IFERROR(COUNTIFS('1. Raw Votes Log'!B:B,A12,'1. Raw Votes Log'!E:E,"ESP"),0)</f>
        <v>0</v>
      </c>
      <c r="P12" s="7" t="n">
        <f aca="false">IFERROR(COUNTIFS('1. Raw Votes Log'!B:B,A12,'1. Raw Votes Log'!E:E,"IND"),0)</f>
        <v>0</v>
      </c>
      <c r="Q12" s="21" t="n">
        <f aca="false">SUM(B12:P12)</f>
        <v>0</v>
      </c>
      <c r="R12" s="21" t="n">
        <f aca="false">COUNTIF(B12:P12,"&gt;0")</f>
        <v>0</v>
      </c>
    </row>
    <row r="13" customFormat="false" ht="15" hidden="false" customHeight="false" outlineLevel="0" collapsed="false">
      <c r="A13" s="17"/>
      <c r="B13" s="4" t="n">
        <f aca="false">IFERROR(COUNTIFS('1. Raw Votes Log'!B:B,A13,'1. Raw Votes Log'!E:E,"USA"),0)</f>
        <v>0</v>
      </c>
      <c r="C13" s="4" t="n">
        <f aca="false">IFERROR(COUNTIFS('1. Raw Votes Log'!B:B,A13,'1. Raw Votes Log'!E:E,"GBR"),0)</f>
        <v>0</v>
      </c>
      <c r="D13" s="4" t="n">
        <f aca="false">IFERROR(COUNTIFS('1. Raw Votes Log'!B:B,A13,'1. Raw Votes Log'!E:E,"CHN"),0)</f>
        <v>0</v>
      </c>
      <c r="E13" s="4" t="n">
        <f aca="false">IFERROR(COUNTIFS('1. Raw Votes Log'!B:B,A13,'1. Raw Votes Log'!E:E,"DEU"),0)</f>
        <v>0</v>
      </c>
      <c r="F13" s="4" t="n">
        <f aca="false">IFERROR(COUNTIFS('1. Raw Votes Log'!B:B,A13,'1. Raw Votes Log'!E:E,"JPN"),0)</f>
        <v>0</v>
      </c>
      <c r="G13" s="4" t="n">
        <f aca="false">IFERROR(COUNTIFS('1. Raw Votes Log'!B:B,A13,'1. Raw Votes Log'!E:E,"AUS"),0)</f>
        <v>0</v>
      </c>
      <c r="H13" s="4" t="n">
        <f aca="false">IFERROR(COUNTIFS('1. Raw Votes Log'!B:B,A13,'1. Raw Votes Log'!E:E,"FRA"),0)</f>
        <v>0</v>
      </c>
      <c r="I13" s="4" t="n">
        <f aca="false">IFERROR(COUNTIFS('1. Raw Votes Log'!B:B,A13,'1. Raw Votes Log'!E:E,"NLD"),0)</f>
        <v>0</v>
      </c>
      <c r="J13" s="4" t="n">
        <f aca="false">IFERROR(COUNTIFS('1. Raw Votes Log'!B:B,A13,'1. Raw Votes Log'!E:E,"CAN"),0)</f>
        <v>0</v>
      </c>
      <c r="K13" s="4" t="n">
        <f aca="false">IFERROR(COUNTIFS('1. Raw Votes Log'!B:B,A13,'1. Raw Votes Log'!E:E,"KOR"),0)</f>
        <v>0</v>
      </c>
      <c r="L13" s="4" t="n">
        <f aca="false">IFERROR(COUNTIFS('1. Raw Votes Log'!B:B,A13,'1. Raw Votes Log'!E:E,"CHE"),0)</f>
        <v>0</v>
      </c>
      <c r="M13" s="4" t="n">
        <f aca="false">IFERROR(COUNTIFS('1. Raw Votes Log'!B:B,A13,'1. Raw Votes Log'!E:E,"SWE"),0)</f>
        <v>0</v>
      </c>
      <c r="N13" s="4" t="n">
        <f aca="false">IFERROR(COUNTIFS('1. Raw Votes Log'!B:B,A13,'1. Raw Votes Log'!E:E,"ITA"),0)</f>
        <v>0</v>
      </c>
      <c r="O13" s="4" t="n">
        <f aca="false">IFERROR(COUNTIFS('1. Raw Votes Log'!B:B,A13,'1. Raw Votes Log'!E:E,"ESP"),0)</f>
        <v>0</v>
      </c>
      <c r="P13" s="4" t="n">
        <f aca="false">IFERROR(COUNTIFS('1. Raw Votes Log'!B:B,A13,'1. Raw Votes Log'!E:E,"IND"),0)</f>
        <v>0</v>
      </c>
      <c r="Q13" s="22" t="n">
        <f aca="false">SUM(B13:P13)</f>
        <v>0</v>
      </c>
      <c r="R13" s="22" t="n">
        <f aca="false">COUNTIF(B13:P13,"&gt;0")</f>
        <v>0</v>
      </c>
    </row>
    <row r="14" customFormat="false" ht="15" hidden="false" customHeight="false" outlineLevel="0" collapsed="false">
      <c r="A14" s="16"/>
      <c r="B14" s="7" t="n">
        <f aca="false">IFERROR(COUNTIFS('1. Raw Votes Log'!B:B,A14,'1. Raw Votes Log'!E:E,"USA"),0)</f>
        <v>0</v>
      </c>
      <c r="C14" s="7" t="n">
        <f aca="false">IFERROR(COUNTIFS('1. Raw Votes Log'!B:B,A14,'1. Raw Votes Log'!E:E,"GBR"),0)</f>
        <v>0</v>
      </c>
      <c r="D14" s="7" t="n">
        <f aca="false">IFERROR(COUNTIFS('1. Raw Votes Log'!B:B,A14,'1. Raw Votes Log'!E:E,"CHN"),0)</f>
        <v>0</v>
      </c>
      <c r="E14" s="7" t="n">
        <f aca="false">IFERROR(COUNTIFS('1. Raw Votes Log'!B:B,A14,'1. Raw Votes Log'!E:E,"DEU"),0)</f>
        <v>0</v>
      </c>
      <c r="F14" s="7" t="n">
        <f aca="false">IFERROR(COUNTIFS('1. Raw Votes Log'!B:B,A14,'1. Raw Votes Log'!E:E,"JPN"),0)</f>
        <v>0</v>
      </c>
      <c r="G14" s="7" t="n">
        <f aca="false">IFERROR(COUNTIFS('1. Raw Votes Log'!B:B,A14,'1. Raw Votes Log'!E:E,"AUS"),0)</f>
        <v>0</v>
      </c>
      <c r="H14" s="7" t="n">
        <f aca="false">IFERROR(COUNTIFS('1. Raw Votes Log'!B:B,A14,'1. Raw Votes Log'!E:E,"FRA"),0)</f>
        <v>0</v>
      </c>
      <c r="I14" s="7" t="n">
        <f aca="false">IFERROR(COUNTIFS('1. Raw Votes Log'!B:B,A14,'1. Raw Votes Log'!E:E,"NLD"),0)</f>
        <v>0</v>
      </c>
      <c r="J14" s="7" t="n">
        <f aca="false">IFERROR(COUNTIFS('1. Raw Votes Log'!B:B,A14,'1. Raw Votes Log'!E:E,"CAN"),0)</f>
        <v>0</v>
      </c>
      <c r="K14" s="7" t="n">
        <f aca="false">IFERROR(COUNTIFS('1. Raw Votes Log'!B:B,A14,'1. Raw Votes Log'!E:E,"KOR"),0)</f>
        <v>0</v>
      </c>
      <c r="L14" s="7" t="n">
        <f aca="false">IFERROR(COUNTIFS('1. Raw Votes Log'!B:B,A14,'1. Raw Votes Log'!E:E,"CHE"),0)</f>
        <v>0</v>
      </c>
      <c r="M14" s="7" t="n">
        <f aca="false">IFERROR(COUNTIFS('1. Raw Votes Log'!B:B,A14,'1. Raw Votes Log'!E:E,"SWE"),0)</f>
        <v>0</v>
      </c>
      <c r="N14" s="7" t="n">
        <f aca="false">IFERROR(COUNTIFS('1. Raw Votes Log'!B:B,A14,'1. Raw Votes Log'!E:E,"ITA"),0)</f>
        <v>0</v>
      </c>
      <c r="O14" s="7" t="n">
        <f aca="false">IFERROR(COUNTIFS('1. Raw Votes Log'!B:B,A14,'1. Raw Votes Log'!E:E,"ESP"),0)</f>
        <v>0</v>
      </c>
      <c r="P14" s="7" t="n">
        <f aca="false">IFERROR(COUNTIFS('1. Raw Votes Log'!B:B,A14,'1. Raw Votes Log'!E:E,"IND"),0)</f>
        <v>0</v>
      </c>
      <c r="Q14" s="21" t="n">
        <f aca="false">SUM(B14:P14)</f>
        <v>0</v>
      </c>
      <c r="R14" s="21" t="n">
        <f aca="false">COUNTIF(B14:P14,"&gt;0")</f>
        <v>0</v>
      </c>
    </row>
    <row r="15" customFormat="false" ht="15" hidden="false" customHeight="false" outlineLevel="0" collapsed="false">
      <c r="A15" s="17"/>
      <c r="B15" s="4" t="n">
        <f aca="false">IFERROR(COUNTIFS('1. Raw Votes Log'!B:B,A15,'1. Raw Votes Log'!E:E,"USA"),0)</f>
        <v>0</v>
      </c>
      <c r="C15" s="4" t="n">
        <f aca="false">IFERROR(COUNTIFS('1. Raw Votes Log'!B:B,A15,'1. Raw Votes Log'!E:E,"GBR"),0)</f>
        <v>0</v>
      </c>
      <c r="D15" s="4" t="n">
        <f aca="false">IFERROR(COUNTIFS('1. Raw Votes Log'!B:B,A15,'1. Raw Votes Log'!E:E,"CHN"),0)</f>
        <v>0</v>
      </c>
      <c r="E15" s="4" t="n">
        <f aca="false">IFERROR(COUNTIFS('1. Raw Votes Log'!B:B,A15,'1. Raw Votes Log'!E:E,"DEU"),0)</f>
        <v>0</v>
      </c>
      <c r="F15" s="4" t="n">
        <f aca="false">IFERROR(COUNTIFS('1. Raw Votes Log'!B:B,A15,'1. Raw Votes Log'!E:E,"JPN"),0)</f>
        <v>0</v>
      </c>
      <c r="G15" s="4" t="n">
        <f aca="false">IFERROR(COUNTIFS('1. Raw Votes Log'!B:B,A15,'1. Raw Votes Log'!E:E,"AUS"),0)</f>
        <v>0</v>
      </c>
      <c r="H15" s="4" t="n">
        <f aca="false">IFERROR(COUNTIFS('1. Raw Votes Log'!B:B,A15,'1. Raw Votes Log'!E:E,"FRA"),0)</f>
        <v>0</v>
      </c>
      <c r="I15" s="4" t="n">
        <f aca="false">IFERROR(COUNTIFS('1. Raw Votes Log'!B:B,A15,'1. Raw Votes Log'!E:E,"NLD"),0)</f>
        <v>0</v>
      </c>
      <c r="J15" s="4" t="n">
        <f aca="false">IFERROR(COUNTIFS('1. Raw Votes Log'!B:B,A15,'1. Raw Votes Log'!E:E,"CAN"),0)</f>
        <v>0</v>
      </c>
      <c r="K15" s="4" t="n">
        <f aca="false">IFERROR(COUNTIFS('1. Raw Votes Log'!B:B,A15,'1. Raw Votes Log'!E:E,"KOR"),0)</f>
        <v>0</v>
      </c>
      <c r="L15" s="4" t="n">
        <f aca="false">IFERROR(COUNTIFS('1. Raw Votes Log'!B:B,A15,'1. Raw Votes Log'!E:E,"CHE"),0)</f>
        <v>0</v>
      </c>
      <c r="M15" s="4" t="n">
        <f aca="false">IFERROR(COUNTIFS('1. Raw Votes Log'!B:B,A15,'1. Raw Votes Log'!E:E,"SWE"),0)</f>
        <v>0</v>
      </c>
      <c r="N15" s="4" t="n">
        <f aca="false">IFERROR(COUNTIFS('1. Raw Votes Log'!B:B,A15,'1. Raw Votes Log'!E:E,"ITA"),0)</f>
        <v>0</v>
      </c>
      <c r="O15" s="4" t="n">
        <f aca="false">IFERROR(COUNTIFS('1. Raw Votes Log'!B:B,A15,'1. Raw Votes Log'!E:E,"ESP"),0)</f>
        <v>0</v>
      </c>
      <c r="P15" s="4" t="n">
        <f aca="false">IFERROR(COUNTIFS('1. Raw Votes Log'!B:B,A15,'1. Raw Votes Log'!E:E,"IND"),0)</f>
        <v>0</v>
      </c>
      <c r="Q15" s="22" t="n">
        <f aca="false">SUM(B15:P15)</f>
        <v>0</v>
      </c>
      <c r="R15" s="22" t="n">
        <f aca="false">COUNTIF(B15:P15,"&gt;0")</f>
        <v>0</v>
      </c>
    </row>
    <row r="16" customFormat="false" ht="15" hidden="false" customHeight="false" outlineLevel="0" collapsed="false">
      <c r="A16" s="16"/>
      <c r="B16" s="7" t="n">
        <f aca="false">IFERROR(COUNTIFS('1. Raw Votes Log'!B:B,A16,'1. Raw Votes Log'!E:E,"USA"),0)</f>
        <v>0</v>
      </c>
      <c r="C16" s="7" t="n">
        <f aca="false">IFERROR(COUNTIFS('1. Raw Votes Log'!B:B,A16,'1. Raw Votes Log'!E:E,"GBR"),0)</f>
        <v>0</v>
      </c>
      <c r="D16" s="7" t="n">
        <f aca="false">IFERROR(COUNTIFS('1. Raw Votes Log'!B:B,A16,'1. Raw Votes Log'!E:E,"CHN"),0)</f>
        <v>0</v>
      </c>
      <c r="E16" s="7" t="n">
        <f aca="false">IFERROR(COUNTIFS('1. Raw Votes Log'!B:B,A16,'1. Raw Votes Log'!E:E,"DEU"),0)</f>
        <v>0</v>
      </c>
      <c r="F16" s="7" t="n">
        <f aca="false">IFERROR(COUNTIFS('1. Raw Votes Log'!B:B,A16,'1. Raw Votes Log'!E:E,"JPN"),0)</f>
        <v>0</v>
      </c>
      <c r="G16" s="7" t="n">
        <f aca="false">IFERROR(COUNTIFS('1. Raw Votes Log'!B:B,A16,'1. Raw Votes Log'!E:E,"AUS"),0)</f>
        <v>0</v>
      </c>
      <c r="H16" s="7" t="n">
        <f aca="false">IFERROR(COUNTIFS('1. Raw Votes Log'!B:B,A16,'1. Raw Votes Log'!E:E,"FRA"),0)</f>
        <v>0</v>
      </c>
      <c r="I16" s="7" t="n">
        <f aca="false">IFERROR(COUNTIFS('1. Raw Votes Log'!B:B,A16,'1. Raw Votes Log'!E:E,"NLD"),0)</f>
        <v>0</v>
      </c>
      <c r="J16" s="7" t="n">
        <f aca="false">IFERROR(COUNTIFS('1. Raw Votes Log'!B:B,A16,'1. Raw Votes Log'!E:E,"CAN"),0)</f>
        <v>0</v>
      </c>
      <c r="K16" s="7" t="n">
        <f aca="false">IFERROR(COUNTIFS('1. Raw Votes Log'!B:B,A16,'1. Raw Votes Log'!E:E,"KOR"),0)</f>
        <v>0</v>
      </c>
      <c r="L16" s="7" t="n">
        <f aca="false">IFERROR(COUNTIFS('1. Raw Votes Log'!B:B,A16,'1. Raw Votes Log'!E:E,"CHE"),0)</f>
        <v>0</v>
      </c>
      <c r="M16" s="7" t="n">
        <f aca="false">IFERROR(COUNTIFS('1. Raw Votes Log'!B:B,A16,'1. Raw Votes Log'!E:E,"SWE"),0)</f>
        <v>0</v>
      </c>
      <c r="N16" s="7" t="n">
        <f aca="false">IFERROR(COUNTIFS('1. Raw Votes Log'!B:B,A16,'1. Raw Votes Log'!E:E,"ITA"),0)</f>
        <v>0</v>
      </c>
      <c r="O16" s="7" t="n">
        <f aca="false">IFERROR(COUNTIFS('1. Raw Votes Log'!B:B,A16,'1. Raw Votes Log'!E:E,"ESP"),0)</f>
        <v>0</v>
      </c>
      <c r="P16" s="7" t="n">
        <f aca="false">IFERROR(COUNTIFS('1. Raw Votes Log'!B:B,A16,'1. Raw Votes Log'!E:E,"IND"),0)</f>
        <v>0</v>
      </c>
      <c r="Q16" s="21" t="n">
        <f aca="false">SUM(B16:P16)</f>
        <v>0</v>
      </c>
      <c r="R16" s="21" t="n">
        <f aca="false">COUNTIF(B16:P16,"&gt;0")</f>
        <v>0</v>
      </c>
    </row>
    <row r="17" customFormat="false" ht="15" hidden="false" customHeight="false" outlineLevel="0" collapsed="false">
      <c r="A17" s="17"/>
      <c r="B17" s="4" t="n">
        <f aca="false">IFERROR(COUNTIFS('1. Raw Votes Log'!B:B,A17,'1. Raw Votes Log'!E:E,"USA"),0)</f>
        <v>0</v>
      </c>
      <c r="C17" s="4" t="n">
        <f aca="false">IFERROR(COUNTIFS('1. Raw Votes Log'!B:B,A17,'1. Raw Votes Log'!E:E,"GBR"),0)</f>
        <v>0</v>
      </c>
      <c r="D17" s="4" t="n">
        <f aca="false">IFERROR(COUNTIFS('1. Raw Votes Log'!B:B,A17,'1. Raw Votes Log'!E:E,"CHN"),0)</f>
        <v>0</v>
      </c>
      <c r="E17" s="4" t="n">
        <f aca="false">IFERROR(COUNTIFS('1. Raw Votes Log'!B:B,A17,'1. Raw Votes Log'!E:E,"DEU"),0)</f>
        <v>0</v>
      </c>
      <c r="F17" s="4" t="n">
        <f aca="false">IFERROR(COUNTIFS('1. Raw Votes Log'!B:B,A17,'1. Raw Votes Log'!E:E,"JPN"),0)</f>
        <v>0</v>
      </c>
      <c r="G17" s="4" t="n">
        <f aca="false">IFERROR(COUNTIFS('1. Raw Votes Log'!B:B,A17,'1. Raw Votes Log'!E:E,"AUS"),0)</f>
        <v>0</v>
      </c>
      <c r="H17" s="4" t="n">
        <f aca="false">IFERROR(COUNTIFS('1. Raw Votes Log'!B:B,A17,'1. Raw Votes Log'!E:E,"FRA"),0)</f>
        <v>0</v>
      </c>
      <c r="I17" s="4" t="n">
        <f aca="false">IFERROR(COUNTIFS('1. Raw Votes Log'!B:B,A17,'1. Raw Votes Log'!E:E,"NLD"),0)</f>
        <v>0</v>
      </c>
      <c r="J17" s="4" t="n">
        <f aca="false">IFERROR(COUNTIFS('1. Raw Votes Log'!B:B,A17,'1. Raw Votes Log'!E:E,"CAN"),0)</f>
        <v>0</v>
      </c>
      <c r="K17" s="4" t="n">
        <f aca="false">IFERROR(COUNTIFS('1. Raw Votes Log'!B:B,A17,'1. Raw Votes Log'!E:E,"KOR"),0)</f>
        <v>0</v>
      </c>
      <c r="L17" s="4" t="n">
        <f aca="false">IFERROR(COUNTIFS('1. Raw Votes Log'!B:B,A17,'1. Raw Votes Log'!E:E,"CHE"),0)</f>
        <v>0</v>
      </c>
      <c r="M17" s="4" t="n">
        <f aca="false">IFERROR(COUNTIFS('1. Raw Votes Log'!B:B,A17,'1. Raw Votes Log'!E:E,"SWE"),0)</f>
        <v>0</v>
      </c>
      <c r="N17" s="4" t="n">
        <f aca="false">IFERROR(COUNTIFS('1. Raw Votes Log'!B:B,A17,'1. Raw Votes Log'!E:E,"ITA"),0)</f>
        <v>0</v>
      </c>
      <c r="O17" s="4" t="n">
        <f aca="false">IFERROR(COUNTIFS('1. Raw Votes Log'!B:B,A17,'1. Raw Votes Log'!E:E,"ESP"),0)</f>
        <v>0</v>
      </c>
      <c r="P17" s="4" t="n">
        <f aca="false">IFERROR(COUNTIFS('1. Raw Votes Log'!B:B,A17,'1. Raw Votes Log'!E:E,"IND"),0)</f>
        <v>0</v>
      </c>
      <c r="Q17" s="22" t="n">
        <f aca="false">SUM(B17:P17)</f>
        <v>0</v>
      </c>
      <c r="R17" s="22" t="n">
        <f aca="false">COUNTIF(B17:P17,"&gt;0")</f>
        <v>0</v>
      </c>
    </row>
    <row r="18" customFormat="false" ht="15" hidden="false" customHeight="false" outlineLevel="0" collapsed="false">
      <c r="A18" s="16"/>
      <c r="B18" s="7" t="n">
        <f aca="false">IFERROR(COUNTIFS('1. Raw Votes Log'!B:B,A18,'1. Raw Votes Log'!E:E,"USA"),0)</f>
        <v>0</v>
      </c>
      <c r="C18" s="7" t="n">
        <f aca="false">IFERROR(COUNTIFS('1. Raw Votes Log'!B:B,A18,'1. Raw Votes Log'!E:E,"GBR"),0)</f>
        <v>0</v>
      </c>
      <c r="D18" s="7" t="n">
        <f aca="false">IFERROR(COUNTIFS('1. Raw Votes Log'!B:B,A18,'1. Raw Votes Log'!E:E,"CHN"),0)</f>
        <v>0</v>
      </c>
      <c r="E18" s="7" t="n">
        <f aca="false">IFERROR(COUNTIFS('1. Raw Votes Log'!B:B,A18,'1. Raw Votes Log'!E:E,"DEU"),0)</f>
        <v>0</v>
      </c>
      <c r="F18" s="7" t="n">
        <f aca="false">IFERROR(COUNTIFS('1. Raw Votes Log'!B:B,A18,'1. Raw Votes Log'!E:E,"JPN"),0)</f>
        <v>0</v>
      </c>
      <c r="G18" s="7" t="n">
        <f aca="false">IFERROR(COUNTIFS('1. Raw Votes Log'!B:B,A18,'1. Raw Votes Log'!E:E,"AUS"),0)</f>
        <v>0</v>
      </c>
      <c r="H18" s="7" t="n">
        <f aca="false">IFERROR(COUNTIFS('1. Raw Votes Log'!B:B,A18,'1. Raw Votes Log'!E:E,"FRA"),0)</f>
        <v>0</v>
      </c>
      <c r="I18" s="7" t="n">
        <f aca="false">IFERROR(COUNTIFS('1. Raw Votes Log'!B:B,A18,'1. Raw Votes Log'!E:E,"NLD"),0)</f>
        <v>0</v>
      </c>
      <c r="J18" s="7" t="n">
        <f aca="false">IFERROR(COUNTIFS('1. Raw Votes Log'!B:B,A18,'1. Raw Votes Log'!E:E,"CAN"),0)</f>
        <v>0</v>
      </c>
      <c r="K18" s="7" t="n">
        <f aca="false">IFERROR(COUNTIFS('1. Raw Votes Log'!B:B,A18,'1. Raw Votes Log'!E:E,"KOR"),0)</f>
        <v>0</v>
      </c>
      <c r="L18" s="7" t="n">
        <f aca="false">IFERROR(COUNTIFS('1. Raw Votes Log'!B:B,A18,'1. Raw Votes Log'!E:E,"CHE"),0)</f>
        <v>0</v>
      </c>
      <c r="M18" s="7" t="n">
        <f aca="false">IFERROR(COUNTIFS('1. Raw Votes Log'!B:B,A18,'1. Raw Votes Log'!E:E,"SWE"),0)</f>
        <v>0</v>
      </c>
      <c r="N18" s="7" t="n">
        <f aca="false">IFERROR(COUNTIFS('1. Raw Votes Log'!B:B,A18,'1. Raw Votes Log'!E:E,"ITA"),0)</f>
        <v>0</v>
      </c>
      <c r="O18" s="7" t="n">
        <f aca="false">IFERROR(COUNTIFS('1. Raw Votes Log'!B:B,A18,'1. Raw Votes Log'!E:E,"ESP"),0)</f>
        <v>0</v>
      </c>
      <c r="P18" s="7" t="n">
        <f aca="false">IFERROR(COUNTIFS('1. Raw Votes Log'!B:B,A18,'1. Raw Votes Log'!E:E,"IND"),0)</f>
        <v>0</v>
      </c>
      <c r="Q18" s="21" t="n">
        <f aca="false">SUM(B18:P18)</f>
        <v>0</v>
      </c>
      <c r="R18" s="21" t="n">
        <f aca="false">COUNTIF(B18:P18,"&gt;0")</f>
        <v>0</v>
      </c>
    </row>
    <row r="19" customFormat="false" ht="15" hidden="false" customHeight="false" outlineLevel="0" collapsed="false">
      <c r="A19" s="17"/>
      <c r="B19" s="4" t="n">
        <f aca="false">IFERROR(COUNTIFS('1. Raw Votes Log'!B:B,A19,'1. Raw Votes Log'!E:E,"USA"),0)</f>
        <v>0</v>
      </c>
      <c r="C19" s="4" t="n">
        <f aca="false">IFERROR(COUNTIFS('1. Raw Votes Log'!B:B,A19,'1. Raw Votes Log'!E:E,"GBR"),0)</f>
        <v>0</v>
      </c>
      <c r="D19" s="4" t="n">
        <f aca="false">IFERROR(COUNTIFS('1. Raw Votes Log'!B:B,A19,'1. Raw Votes Log'!E:E,"CHN"),0)</f>
        <v>0</v>
      </c>
      <c r="E19" s="4" t="n">
        <f aca="false">IFERROR(COUNTIFS('1. Raw Votes Log'!B:B,A19,'1. Raw Votes Log'!E:E,"DEU"),0)</f>
        <v>0</v>
      </c>
      <c r="F19" s="4" t="n">
        <f aca="false">IFERROR(COUNTIFS('1. Raw Votes Log'!B:B,A19,'1. Raw Votes Log'!E:E,"JPN"),0)</f>
        <v>0</v>
      </c>
      <c r="G19" s="4" t="n">
        <f aca="false">IFERROR(COUNTIFS('1. Raw Votes Log'!B:B,A19,'1. Raw Votes Log'!E:E,"AUS"),0)</f>
        <v>0</v>
      </c>
      <c r="H19" s="4" t="n">
        <f aca="false">IFERROR(COUNTIFS('1. Raw Votes Log'!B:B,A19,'1. Raw Votes Log'!E:E,"FRA"),0)</f>
        <v>0</v>
      </c>
      <c r="I19" s="4" t="n">
        <f aca="false">IFERROR(COUNTIFS('1. Raw Votes Log'!B:B,A19,'1. Raw Votes Log'!E:E,"NLD"),0)</f>
        <v>0</v>
      </c>
      <c r="J19" s="4" t="n">
        <f aca="false">IFERROR(COUNTIFS('1. Raw Votes Log'!B:B,A19,'1. Raw Votes Log'!E:E,"CAN"),0)</f>
        <v>0</v>
      </c>
      <c r="K19" s="4" t="n">
        <f aca="false">IFERROR(COUNTIFS('1. Raw Votes Log'!B:B,A19,'1. Raw Votes Log'!E:E,"KOR"),0)</f>
        <v>0</v>
      </c>
      <c r="L19" s="4" t="n">
        <f aca="false">IFERROR(COUNTIFS('1. Raw Votes Log'!B:B,A19,'1. Raw Votes Log'!E:E,"CHE"),0)</f>
        <v>0</v>
      </c>
      <c r="M19" s="4" t="n">
        <f aca="false">IFERROR(COUNTIFS('1. Raw Votes Log'!B:B,A19,'1. Raw Votes Log'!E:E,"SWE"),0)</f>
        <v>0</v>
      </c>
      <c r="N19" s="4" t="n">
        <f aca="false">IFERROR(COUNTIFS('1. Raw Votes Log'!B:B,A19,'1. Raw Votes Log'!E:E,"ITA"),0)</f>
        <v>0</v>
      </c>
      <c r="O19" s="4" t="n">
        <f aca="false">IFERROR(COUNTIFS('1. Raw Votes Log'!B:B,A19,'1. Raw Votes Log'!E:E,"ESP"),0)</f>
        <v>0</v>
      </c>
      <c r="P19" s="4" t="n">
        <f aca="false">IFERROR(COUNTIFS('1. Raw Votes Log'!B:B,A19,'1. Raw Votes Log'!E:E,"IND"),0)</f>
        <v>0</v>
      </c>
      <c r="Q19" s="22" t="n">
        <f aca="false">SUM(B19:P19)</f>
        <v>0</v>
      </c>
      <c r="R19" s="22" t="n">
        <f aca="false">COUNTIF(B19:P19,"&gt;0")</f>
        <v>0</v>
      </c>
    </row>
    <row r="20" customFormat="false" ht="15" hidden="false" customHeight="false" outlineLevel="0" collapsed="false">
      <c r="A20" s="16"/>
      <c r="B20" s="7" t="n">
        <f aca="false">IFERROR(COUNTIFS('1. Raw Votes Log'!B:B,A20,'1. Raw Votes Log'!E:E,"USA"),0)</f>
        <v>0</v>
      </c>
      <c r="C20" s="7" t="n">
        <f aca="false">IFERROR(COUNTIFS('1. Raw Votes Log'!B:B,A20,'1. Raw Votes Log'!E:E,"GBR"),0)</f>
        <v>0</v>
      </c>
      <c r="D20" s="7" t="n">
        <f aca="false">IFERROR(COUNTIFS('1. Raw Votes Log'!B:B,A20,'1. Raw Votes Log'!E:E,"CHN"),0)</f>
        <v>0</v>
      </c>
      <c r="E20" s="7" t="n">
        <f aca="false">IFERROR(COUNTIFS('1. Raw Votes Log'!B:B,A20,'1. Raw Votes Log'!E:E,"DEU"),0)</f>
        <v>0</v>
      </c>
      <c r="F20" s="7" t="n">
        <f aca="false">IFERROR(COUNTIFS('1. Raw Votes Log'!B:B,A20,'1. Raw Votes Log'!E:E,"JPN"),0)</f>
        <v>0</v>
      </c>
      <c r="G20" s="7" t="n">
        <f aca="false">IFERROR(COUNTIFS('1. Raw Votes Log'!B:B,A20,'1. Raw Votes Log'!E:E,"AUS"),0)</f>
        <v>0</v>
      </c>
      <c r="H20" s="7" t="n">
        <f aca="false">IFERROR(COUNTIFS('1. Raw Votes Log'!B:B,A20,'1. Raw Votes Log'!E:E,"FRA"),0)</f>
        <v>0</v>
      </c>
      <c r="I20" s="7" t="n">
        <f aca="false">IFERROR(COUNTIFS('1. Raw Votes Log'!B:B,A20,'1. Raw Votes Log'!E:E,"NLD"),0)</f>
        <v>0</v>
      </c>
      <c r="J20" s="7" t="n">
        <f aca="false">IFERROR(COUNTIFS('1. Raw Votes Log'!B:B,A20,'1. Raw Votes Log'!E:E,"CAN"),0)</f>
        <v>0</v>
      </c>
      <c r="K20" s="7" t="n">
        <f aca="false">IFERROR(COUNTIFS('1. Raw Votes Log'!B:B,A20,'1. Raw Votes Log'!E:E,"KOR"),0)</f>
        <v>0</v>
      </c>
      <c r="L20" s="7" t="n">
        <f aca="false">IFERROR(COUNTIFS('1. Raw Votes Log'!B:B,A20,'1. Raw Votes Log'!E:E,"CHE"),0)</f>
        <v>0</v>
      </c>
      <c r="M20" s="7" t="n">
        <f aca="false">IFERROR(COUNTIFS('1. Raw Votes Log'!B:B,A20,'1. Raw Votes Log'!E:E,"SWE"),0)</f>
        <v>0</v>
      </c>
      <c r="N20" s="7" t="n">
        <f aca="false">IFERROR(COUNTIFS('1. Raw Votes Log'!B:B,A20,'1. Raw Votes Log'!E:E,"ITA"),0)</f>
        <v>0</v>
      </c>
      <c r="O20" s="7" t="n">
        <f aca="false">IFERROR(COUNTIFS('1. Raw Votes Log'!B:B,A20,'1. Raw Votes Log'!E:E,"ESP"),0)</f>
        <v>0</v>
      </c>
      <c r="P20" s="7" t="n">
        <f aca="false">IFERROR(COUNTIFS('1. Raw Votes Log'!B:B,A20,'1. Raw Votes Log'!E:E,"IND"),0)</f>
        <v>0</v>
      </c>
      <c r="Q20" s="21" t="n">
        <f aca="false">SUM(B20:P20)</f>
        <v>0</v>
      </c>
      <c r="R20" s="21" t="n">
        <f aca="false">COUNTIF(B20:P20,"&gt;0")</f>
        <v>0</v>
      </c>
    </row>
    <row r="21" customFormat="false" ht="15" hidden="false" customHeight="false" outlineLevel="0" collapsed="false">
      <c r="A21" s="17"/>
      <c r="B21" s="4" t="n">
        <f aca="false">IFERROR(COUNTIFS('1. Raw Votes Log'!B:B,A21,'1. Raw Votes Log'!E:E,"USA"),0)</f>
        <v>0</v>
      </c>
      <c r="C21" s="4" t="n">
        <f aca="false">IFERROR(COUNTIFS('1. Raw Votes Log'!B:B,A21,'1. Raw Votes Log'!E:E,"GBR"),0)</f>
        <v>0</v>
      </c>
      <c r="D21" s="4" t="n">
        <f aca="false">IFERROR(COUNTIFS('1. Raw Votes Log'!B:B,A21,'1. Raw Votes Log'!E:E,"CHN"),0)</f>
        <v>0</v>
      </c>
      <c r="E21" s="4" t="n">
        <f aca="false">IFERROR(COUNTIFS('1. Raw Votes Log'!B:B,A21,'1. Raw Votes Log'!E:E,"DEU"),0)</f>
        <v>0</v>
      </c>
      <c r="F21" s="4" t="n">
        <f aca="false">IFERROR(COUNTIFS('1. Raw Votes Log'!B:B,A21,'1. Raw Votes Log'!E:E,"JPN"),0)</f>
        <v>0</v>
      </c>
      <c r="G21" s="4" t="n">
        <f aca="false">IFERROR(COUNTIFS('1. Raw Votes Log'!B:B,A21,'1. Raw Votes Log'!E:E,"AUS"),0)</f>
        <v>0</v>
      </c>
      <c r="H21" s="4" t="n">
        <f aca="false">IFERROR(COUNTIFS('1. Raw Votes Log'!B:B,A21,'1. Raw Votes Log'!E:E,"FRA"),0)</f>
        <v>0</v>
      </c>
      <c r="I21" s="4" t="n">
        <f aca="false">IFERROR(COUNTIFS('1. Raw Votes Log'!B:B,A21,'1. Raw Votes Log'!E:E,"NLD"),0)</f>
        <v>0</v>
      </c>
      <c r="J21" s="4" t="n">
        <f aca="false">IFERROR(COUNTIFS('1. Raw Votes Log'!B:B,A21,'1. Raw Votes Log'!E:E,"CAN"),0)</f>
        <v>0</v>
      </c>
      <c r="K21" s="4" t="n">
        <f aca="false">IFERROR(COUNTIFS('1. Raw Votes Log'!B:B,A21,'1. Raw Votes Log'!E:E,"KOR"),0)</f>
        <v>0</v>
      </c>
      <c r="L21" s="4" t="n">
        <f aca="false">IFERROR(COUNTIFS('1. Raw Votes Log'!B:B,A21,'1. Raw Votes Log'!E:E,"CHE"),0)</f>
        <v>0</v>
      </c>
      <c r="M21" s="4" t="n">
        <f aca="false">IFERROR(COUNTIFS('1. Raw Votes Log'!B:B,A21,'1. Raw Votes Log'!E:E,"SWE"),0)</f>
        <v>0</v>
      </c>
      <c r="N21" s="4" t="n">
        <f aca="false">IFERROR(COUNTIFS('1. Raw Votes Log'!B:B,A21,'1. Raw Votes Log'!E:E,"ITA"),0)</f>
        <v>0</v>
      </c>
      <c r="O21" s="4" t="n">
        <f aca="false">IFERROR(COUNTIFS('1. Raw Votes Log'!B:B,A21,'1. Raw Votes Log'!E:E,"ESP"),0)</f>
        <v>0</v>
      </c>
      <c r="P21" s="4" t="n">
        <f aca="false">IFERROR(COUNTIFS('1. Raw Votes Log'!B:B,A21,'1. Raw Votes Log'!E:E,"IND"),0)</f>
        <v>0</v>
      </c>
      <c r="Q21" s="22" t="n">
        <f aca="false">SUM(B21:P21)</f>
        <v>0</v>
      </c>
      <c r="R21" s="22" t="n">
        <f aca="false">COUNTIF(B21:P21,"&gt;0")</f>
        <v>0</v>
      </c>
    </row>
    <row r="22" customFormat="false" ht="15" hidden="false" customHeight="false" outlineLevel="0" collapsed="false">
      <c r="A22" s="16"/>
      <c r="B22" s="7" t="n">
        <f aca="false">IFERROR(COUNTIFS('1. Raw Votes Log'!B:B,A22,'1. Raw Votes Log'!E:E,"USA"),0)</f>
        <v>0</v>
      </c>
      <c r="C22" s="7" t="n">
        <f aca="false">IFERROR(COUNTIFS('1. Raw Votes Log'!B:B,A22,'1. Raw Votes Log'!E:E,"GBR"),0)</f>
        <v>0</v>
      </c>
      <c r="D22" s="7" t="n">
        <f aca="false">IFERROR(COUNTIFS('1. Raw Votes Log'!B:B,A22,'1. Raw Votes Log'!E:E,"CHN"),0)</f>
        <v>0</v>
      </c>
      <c r="E22" s="7" t="n">
        <f aca="false">IFERROR(COUNTIFS('1. Raw Votes Log'!B:B,A22,'1. Raw Votes Log'!E:E,"DEU"),0)</f>
        <v>0</v>
      </c>
      <c r="F22" s="7" t="n">
        <f aca="false">IFERROR(COUNTIFS('1. Raw Votes Log'!B:B,A22,'1. Raw Votes Log'!E:E,"JPN"),0)</f>
        <v>0</v>
      </c>
      <c r="G22" s="7" t="n">
        <f aca="false">IFERROR(COUNTIFS('1. Raw Votes Log'!B:B,A22,'1. Raw Votes Log'!E:E,"AUS"),0)</f>
        <v>0</v>
      </c>
      <c r="H22" s="7" t="n">
        <f aca="false">IFERROR(COUNTIFS('1. Raw Votes Log'!B:B,A22,'1. Raw Votes Log'!E:E,"FRA"),0)</f>
        <v>0</v>
      </c>
      <c r="I22" s="7" t="n">
        <f aca="false">IFERROR(COUNTIFS('1. Raw Votes Log'!B:B,A22,'1. Raw Votes Log'!E:E,"NLD"),0)</f>
        <v>0</v>
      </c>
      <c r="J22" s="7" t="n">
        <f aca="false">IFERROR(COUNTIFS('1. Raw Votes Log'!B:B,A22,'1. Raw Votes Log'!E:E,"CAN"),0)</f>
        <v>0</v>
      </c>
      <c r="K22" s="7" t="n">
        <f aca="false">IFERROR(COUNTIFS('1. Raw Votes Log'!B:B,A22,'1. Raw Votes Log'!E:E,"KOR"),0)</f>
        <v>0</v>
      </c>
      <c r="L22" s="7" t="n">
        <f aca="false">IFERROR(COUNTIFS('1. Raw Votes Log'!B:B,A22,'1. Raw Votes Log'!E:E,"CHE"),0)</f>
        <v>0</v>
      </c>
      <c r="M22" s="7" t="n">
        <f aca="false">IFERROR(COUNTIFS('1. Raw Votes Log'!B:B,A22,'1. Raw Votes Log'!E:E,"SWE"),0)</f>
        <v>0</v>
      </c>
      <c r="N22" s="7" t="n">
        <f aca="false">IFERROR(COUNTIFS('1. Raw Votes Log'!B:B,A22,'1. Raw Votes Log'!E:E,"ITA"),0)</f>
        <v>0</v>
      </c>
      <c r="O22" s="7" t="n">
        <f aca="false">IFERROR(COUNTIFS('1. Raw Votes Log'!B:B,A22,'1. Raw Votes Log'!E:E,"ESP"),0)</f>
        <v>0</v>
      </c>
      <c r="P22" s="7" t="n">
        <f aca="false">IFERROR(COUNTIFS('1. Raw Votes Log'!B:B,A22,'1. Raw Votes Log'!E:E,"IND"),0)</f>
        <v>0</v>
      </c>
      <c r="Q22" s="21" t="n">
        <f aca="false">SUM(B22:P22)</f>
        <v>0</v>
      </c>
      <c r="R22" s="21" t="n">
        <f aca="false">COUNTIF(B22:P22,"&gt;0")</f>
        <v>0</v>
      </c>
    </row>
    <row r="23" customFormat="false" ht="15" hidden="false" customHeight="false" outlineLevel="0" collapsed="false">
      <c r="A23" s="17"/>
      <c r="B23" s="4" t="n">
        <f aca="false">IFERROR(COUNTIFS('1. Raw Votes Log'!B:B,A23,'1. Raw Votes Log'!E:E,"USA"),0)</f>
        <v>0</v>
      </c>
      <c r="C23" s="4" t="n">
        <f aca="false">IFERROR(COUNTIFS('1. Raw Votes Log'!B:B,A23,'1. Raw Votes Log'!E:E,"GBR"),0)</f>
        <v>0</v>
      </c>
      <c r="D23" s="4" t="n">
        <f aca="false">IFERROR(COUNTIFS('1. Raw Votes Log'!B:B,A23,'1. Raw Votes Log'!E:E,"CHN"),0)</f>
        <v>0</v>
      </c>
      <c r="E23" s="4" t="n">
        <f aca="false">IFERROR(COUNTIFS('1. Raw Votes Log'!B:B,A23,'1. Raw Votes Log'!E:E,"DEU"),0)</f>
        <v>0</v>
      </c>
      <c r="F23" s="4" t="n">
        <f aca="false">IFERROR(COUNTIFS('1. Raw Votes Log'!B:B,A23,'1. Raw Votes Log'!E:E,"JPN"),0)</f>
        <v>0</v>
      </c>
      <c r="G23" s="4" t="n">
        <f aca="false">IFERROR(COUNTIFS('1. Raw Votes Log'!B:B,A23,'1. Raw Votes Log'!E:E,"AUS"),0)</f>
        <v>0</v>
      </c>
      <c r="H23" s="4" t="n">
        <f aca="false">IFERROR(COUNTIFS('1. Raw Votes Log'!B:B,A23,'1. Raw Votes Log'!E:E,"FRA"),0)</f>
        <v>0</v>
      </c>
      <c r="I23" s="4" t="n">
        <f aca="false">IFERROR(COUNTIFS('1. Raw Votes Log'!B:B,A23,'1. Raw Votes Log'!E:E,"NLD"),0)</f>
        <v>0</v>
      </c>
      <c r="J23" s="4" t="n">
        <f aca="false">IFERROR(COUNTIFS('1. Raw Votes Log'!B:B,A23,'1. Raw Votes Log'!E:E,"CAN"),0)</f>
        <v>0</v>
      </c>
      <c r="K23" s="4" t="n">
        <f aca="false">IFERROR(COUNTIFS('1. Raw Votes Log'!B:B,A23,'1. Raw Votes Log'!E:E,"KOR"),0)</f>
        <v>0</v>
      </c>
      <c r="L23" s="4" t="n">
        <f aca="false">IFERROR(COUNTIFS('1. Raw Votes Log'!B:B,A23,'1. Raw Votes Log'!E:E,"CHE"),0)</f>
        <v>0</v>
      </c>
      <c r="M23" s="4" t="n">
        <f aca="false">IFERROR(COUNTIFS('1. Raw Votes Log'!B:B,A23,'1. Raw Votes Log'!E:E,"SWE"),0)</f>
        <v>0</v>
      </c>
      <c r="N23" s="4" t="n">
        <f aca="false">IFERROR(COUNTIFS('1. Raw Votes Log'!B:B,A23,'1. Raw Votes Log'!E:E,"ITA"),0)</f>
        <v>0</v>
      </c>
      <c r="O23" s="4" t="n">
        <f aca="false">IFERROR(COUNTIFS('1. Raw Votes Log'!B:B,A23,'1. Raw Votes Log'!E:E,"ESP"),0)</f>
        <v>0</v>
      </c>
      <c r="P23" s="4" t="n">
        <f aca="false">IFERROR(COUNTIFS('1. Raw Votes Log'!B:B,A23,'1. Raw Votes Log'!E:E,"IND"),0)</f>
        <v>0</v>
      </c>
      <c r="Q23" s="22" t="n">
        <f aca="false">SUM(B23:P23)</f>
        <v>0</v>
      </c>
      <c r="R23" s="22" t="n">
        <f aca="false">COUNTIF(B23:P23,"&gt;0")</f>
        <v>0</v>
      </c>
    </row>
    <row r="24" customFormat="false" ht="15" hidden="false" customHeight="false" outlineLevel="0" collapsed="false">
      <c r="A24" s="16"/>
      <c r="B24" s="7" t="n">
        <f aca="false">IFERROR(COUNTIFS('1. Raw Votes Log'!B:B,A24,'1. Raw Votes Log'!E:E,"USA"),0)</f>
        <v>0</v>
      </c>
      <c r="C24" s="7" t="n">
        <f aca="false">IFERROR(COUNTIFS('1. Raw Votes Log'!B:B,A24,'1. Raw Votes Log'!E:E,"GBR"),0)</f>
        <v>0</v>
      </c>
      <c r="D24" s="7" t="n">
        <f aca="false">IFERROR(COUNTIFS('1. Raw Votes Log'!B:B,A24,'1. Raw Votes Log'!E:E,"CHN"),0)</f>
        <v>0</v>
      </c>
      <c r="E24" s="7" t="n">
        <f aca="false">IFERROR(COUNTIFS('1. Raw Votes Log'!B:B,A24,'1. Raw Votes Log'!E:E,"DEU"),0)</f>
        <v>0</v>
      </c>
      <c r="F24" s="7" t="n">
        <f aca="false">IFERROR(COUNTIFS('1. Raw Votes Log'!B:B,A24,'1. Raw Votes Log'!E:E,"JPN"),0)</f>
        <v>0</v>
      </c>
      <c r="G24" s="7" t="n">
        <f aca="false">IFERROR(COUNTIFS('1. Raw Votes Log'!B:B,A24,'1. Raw Votes Log'!E:E,"AUS"),0)</f>
        <v>0</v>
      </c>
      <c r="H24" s="7" t="n">
        <f aca="false">IFERROR(COUNTIFS('1. Raw Votes Log'!B:B,A24,'1. Raw Votes Log'!E:E,"FRA"),0)</f>
        <v>0</v>
      </c>
      <c r="I24" s="7" t="n">
        <f aca="false">IFERROR(COUNTIFS('1. Raw Votes Log'!B:B,A24,'1. Raw Votes Log'!E:E,"NLD"),0)</f>
        <v>0</v>
      </c>
      <c r="J24" s="7" t="n">
        <f aca="false">IFERROR(COUNTIFS('1. Raw Votes Log'!B:B,A24,'1. Raw Votes Log'!E:E,"CAN"),0)</f>
        <v>0</v>
      </c>
      <c r="K24" s="7" t="n">
        <f aca="false">IFERROR(COUNTIFS('1. Raw Votes Log'!B:B,A24,'1. Raw Votes Log'!E:E,"KOR"),0)</f>
        <v>0</v>
      </c>
      <c r="L24" s="7" t="n">
        <f aca="false">IFERROR(COUNTIFS('1. Raw Votes Log'!B:B,A24,'1. Raw Votes Log'!E:E,"CHE"),0)</f>
        <v>0</v>
      </c>
      <c r="M24" s="7" t="n">
        <f aca="false">IFERROR(COUNTIFS('1. Raw Votes Log'!B:B,A24,'1. Raw Votes Log'!E:E,"SWE"),0)</f>
        <v>0</v>
      </c>
      <c r="N24" s="7" t="n">
        <f aca="false">IFERROR(COUNTIFS('1. Raw Votes Log'!B:B,A24,'1. Raw Votes Log'!E:E,"ITA"),0)</f>
        <v>0</v>
      </c>
      <c r="O24" s="7" t="n">
        <f aca="false">IFERROR(COUNTIFS('1. Raw Votes Log'!B:B,A24,'1. Raw Votes Log'!E:E,"ESP"),0)</f>
        <v>0</v>
      </c>
      <c r="P24" s="7" t="n">
        <f aca="false">IFERROR(COUNTIFS('1. Raw Votes Log'!B:B,A24,'1. Raw Votes Log'!E:E,"IND"),0)</f>
        <v>0</v>
      </c>
      <c r="Q24" s="21" t="n">
        <f aca="false">SUM(B24:P24)</f>
        <v>0</v>
      </c>
      <c r="R24" s="21" t="n">
        <f aca="false">COUNTIF(B24:P24,"&gt;0")</f>
        <v>0</v>
      </c>
    </row>
    <row r="25" customFormat="false" ht="15" hidden="false" customHeight="false" outlineLevel="0" collapsed="false">
      <c r="A25" s="17"/>
      <c r="B25" s="4" t="n">
        <f aca="false">IFERROR(COUNTIFS('1. Raw Votes Log'!B:B,A25,'1. Raw Votes Log'!E:E,"USA"),0)</f>
        <v>0</v>
      </c>
      <c r="C25" s="4" t="n">
        <f aca="false">IFERROR(COUNTIFS('1. Raw Votes Log'!B:B,A25,'1. Raw Votes Log'!E:E,"GBR"),0)</f>
        <v>0</v>
      </c>
      <c r="D25" s="4" t="n">
        <f aca="false">IFERROR(COUNTIFS('1. Raw Votes Log'!B:B,A25,'1. Raw Votes Log'!E:E,"CHN"),0)</f>
        <v>0</v>
      </c>
      <c r="E25" s="4" t="n">
        <f aca="false">IFERROR(COUNTIFS('1. Raw Votes Log'!B:B,A25,'1. Raw Votes Log'!E:E,"DEU"),0)</f>
        <v>0</v>
      </c>
      <c r="F25" s="4" t="n">
        <f aca="false">IFERROR(COUNTIFS('1. Raw Votes Log'!B:B,A25,'1. Raw Votes Log'!E:E,"JPN"),0)</f>
        <v>0</v>
      </c>
      <c r="G25" s="4" t="n">
        <f aca="false">IFERROR(COUNTIFS('1. Raw Votes Log'!B:B,A25,'1. Raw Votes Log'!E:E,"AUS"),0)</f>
        <v>0</v>
      </c>
      <c r="H25" s="4" t="n">
        <f aca="false">IFERROR(COUNTIFS('1. Raw Votes Log'!B:B,A25,'1. Raw Votes Log'!E:E,"FRA"),0)</f>
        <v>0</v>
      </c>
      <c r="I25" s="4" t="n">
        <f aca="false">IFERROR(COUNTIFS('1. Raw Votes Log'!B:B,A25,'1. Raw Votes Log'!E:E,"NLD"),0)</f>
        <v>0</v>
      </c>
      <c r="J25" s="4" t="n">
        <f aca="false">IFERROR(COUNTIFS('1. Raw Votes Log'!B:B,A25,'1. Raw Votes Log'!E:E,"CAN"),0)</f>
        <v>0</v>
      </c>
      <c r="K25" s="4" t="n">
        <f aca="false">IFERROR(COUNTIFS('1. Raw Votes Log'!B:B,A25,'1. Raw Votes Log'!E:E,"KOR"),0)</f>
        <v>0</v>
      </c>
      <c r="L25" s="4" t="n">
        <f aca="false">IFERROR(COUNTIFS('1. Raw Votes Log'!B:B,A25,'1. Raw Votes Log'!E:E,"CHE"),0)</f>
        <v>0</v>
      </c>
      <c r="M25" s="4" t="n">
        <f aca="false">IFERROR(COUNTIFS('1. Raw Votes Log'!B:B,A25,'1. Raw Votes Log'!E:E,"SWE"),0)</f>
        <v>0</v>
      </c>
      <c r="N25" s="4" t="n">
        <f aca="false">IFERROR(COUNTIFS('1. Raw Votes Log'!B:B,A25,'1. Raw Votes Log'!E:E,"ITA"),0)</f>
        <v>0</v>
      </c>
      <c r="O25" s="4" t="n">
        <f aca="false">IFERROR(COUNTIFS('1. Raw Votes Log'!B:B,A25,'1. Raw Votes Log'!E:E,"ESP"),0)</f>
        <v>0</v>
      </c>
      <c r="P25" s="4" t="n">
        <f aca="false">IFERROR(COUNTIFS('1. Raw Votes Log'!B:B,A25,'1. Raw Votes Log'!E:E,"IND"),0)</f>
        <v>0</v>
      </c>
      <c r="Q25" s="22" t="n">
        <f aca="false">SUM(B25:P25)</f>
        <v>0</v>
      </c>
      <c r="R25" s="22" t="n">
        <f aca="false">COUNTIF(B25:P25,"&gt;0")</f>
        <v>0</v>
      </c>
    </row>
    <row r="26" customFormat="false" ht="15" hidden="false" customHeight="false" outlineLevel="0" collapsed="false">
      <c r="A26" s="16"/>
      <c r="B26" s="7" t="n">
        <f aca="false">IFERROR(COUNTIFS('1. Raw Votes Log'!B:B,A26,'1. Raw Votes Log'!E:E,"USA"),0)</f>
        <v>0</v>
      </c>
      <c r="C26" s="7" t="n">
        <f aca="false">IFERROR(COUNTIFS('1. Raw Votes Log'!B:B,A26,'1. Raw Votes Log'!E:E,"GBR"),0)</f>
        <v>0</v>
      </c>
      <c r="D26" s="7" t="n">
        <f aca="false">IFERROR(COUNTIFS('1. Raw Votes Log'!B:B,A26,'1. Raw Votes Log'!E:E,"CHN"),0)</f>
        <v>0</v>
      </c>
      <c r="E26" s="7" t="n">
        <f aca="false">IFERROR(COUNTIFS('1. Raw Votes Log'!B:B,A26,'1. Raw Votes Log'!E:E,"DEU"),0)</f>
        <v>0</v>
      </c>
      <c r="F26" s="7" t="n">
        <f aca="false">IFERROR(COUNTIFS('1. Raw Votes Log'!B:B,A26,'1. Raw Votes Log'!E:E,"JPN"),0)</f>
        <v>0</v>
      </c>
      <c r="G26" s="7" t="n">
        <f aca="false">IFERROR(COUNTIFS('1. Raw Votes Log'!B:B,A26,'1. Raw Votes Log'!E:E,"AUS"),0)</f>
        <v>0</v>
      </c>
      <c r="H26" s="7" t="n">
        <f aca="false">IFERROR(COUNTIFS('1. Raw Votes Log'!B:B,A26,'1. Raw Votes Log'!E:E,"FRA"),0)</f>
        <v>0</v>
      </c>
      <c r="I26" s="7" t="n">
        <f aca="false">IFERROR(COUNTIFS('1. Raw Votes Log'!B:B,A26,'1. Raw Votes Log'!E:E,"NLD"),0)</f>
        <v>0</v>
      </c>
      <c r="J26" s="7" t="n">
        <f aca="false">IFERROR(COUNTIFS('1. Raw Votes Log'!B:B,A26,'1. Raw Votes Log'!E:E,"CAN"),0)</f>
        <v>0</v>
      </c>
      <c r="K26" s="7" t="n">
        <f aca="false">IFERROR(COUNTIFS('1. Raw Votes Log'!B:B,A26,'1. Raw Votes Log'!E:E,"KOR"),0)</f>
        <v>0</v>
      </c>
      <c r="L26" s="7" t="n">
        <f aca="false">IFERROR(COUNTIFS('1. Raw Votes Log'!B:B,A26,'1. Raw Votes Log'!E:E,"CHE"),0)</f>
        <v>0</v>
      </c>
      <c r="M26" s="7" t="n">
        <f aca="false">IFERROR(COUNTIFS('1. Raw Votes Log'!B:B,A26,'1. Raw Votes Log'!E:E,"SWE"),0)</f>
        <v>0</v>
      </c>
      <c r="N26" s="7" t="n">
        <f aca="false">IFERROR(COUNTIFS('1. Raw Votes Log'!B:B,A26,'1. Raw Votes Log'!E:E,"ITA"),0)</f>
        <v>0</v>
      </c>
      <c r="O26" s="7" t="n">
        <f aca="false">IFERROR(COUNTIFS('1. Raw Votes Log'!B:B,A26,'1. Raw Votes Log'!E:E,"ESP"),0)</f>
        <v>0</v>
      </c>
      <c r="P26" s="7" t="n">
        <f aca="false">IFERROR(COUNTIFS('1. Raw Votes Log'!B:B,A26,'1. Raw Votes Log'!E:E,"IND"),0)</f>
        <v>0</v>
      </c>
      <c r="Q26" s="21" t="n">
        <f aca="false">SUM(B26:P26)</f>
        <v>0</v>
      </c>
      <c r="R26" s="21" t="n">
        <f aca="false">COUNTIF(B26:P26,"&gt;0")</f>
        <v>0</v>
      </c>
    </row>
    <row r="27" customFormat="false" ht="15" hidden="false" customHeight="false" outlineLevel="0" collapsed="false">
      <c r="A27" s="17"/>
      <c r="B27" s="4" t="n">
        <f aca="false">IFERROR(COUNTIFS('1. Raw Votes Log'!B:B,A27,'1. Raw Votes Log'!E:E,"USA"),0)</f>
        <v>0</v>
      </c>
      <c r="C27" s="4" t="n">
        <f aca="false">IFERROR(COUNTIFS('1. Raw Votes Log'!B:B,A27,'1. Raw Votes Log'!E:E,"GBR"),0)</f>
        <v>0</v>
      </c>
      <c r="D27" s="4" t="n">
        <f aca="false">IFERROR(COUNTIFS('1. Raw Votes Log'!B:B,A27,'1. Raw Votes Log'!E:E,"CHN"),0)</f>
        <v>0</v>
      </c>
      <c r="E27" s="4" t="n">
        <f aca="false">IFERROR(COUNTIFS('1. Raw Votes Log'!B:B,A27,'1. Raw Votes Log'!E:E,"DEU"),0)</f>
        <v>0</v>
      </c>
      <c r="F27" s="4" t="n">
        <f aca="false">IFERROR(COUNTIFS('1. Raw Votes Log'!B:B,A27,'1. Raw Votes Log'!E:E,"JPN"),0)</f>
        <v>0</v>
      </c>
      <c r="G27" s="4" t="n">
        <f aca="false">IFERROR(COUNTIFS('1. Raw Votes Log'!B:B,A27,'1. Raw Votes Log'!E:E,"AUS"),0)</f>
        <v>0</v>
      </c>
      <c r="H27" s="4" t="n">
        <f aca="false">IFERROR(COUNTIFS('1. Raw Votes Log'!B:B,A27,'1. Raw Votes Log'!E:E,"FRA"),0)</f>
        <v>0</v>
      </c>
      <c r="I27" s="4" t="n">
        <f aca="false">IFERROR(COUNTIFS('1. Raw Votes Log'!B:B,A27,'1. Raw Votes Log'!E:E,"NLD"),0)</f>
        <v>0</v>
      </c>
      <c r="J27" s="4" t="n">
        <f aca="false">IFERROR(COUNTIFS('1. Raw Votes Log'!B:B,A27,'1. Raw Votes Log'!E:E,"CAN"),0)</f>
        <v>0</v>
      </c>
      <c r="K27" s="4" t="n">
        <f aca="false">IFERROR(COUNTIFS('1. Raw Votes Log'!B:B,A27,'1. Raw Votes Log'!E:E,"KOR"),0)</f>
        <v>0</v>
      </c>
      <c r="L27" s="4" t="n">
        <f aca="false">IFERROR(COUNTIFS('1. Raw Votes Log'!B:B,A27,'1. Raw Votes Log'!E:E,"CHE"),0)</f>
        <v>0</v>
      </c>
      <c r="M27" s="4" t="n">
        <f aca="false">IFERROR(COUNTIFS('1. Raw Votes Log'!B:B,A27,'1. Raw Votes Log'!E:E,"SWE"),0)</f>
        <v>0</v>
      </c>
      <c r="N27" s="4" t="n">
        <f aca="false">IFERROR(COUNTIFS('1. Raw Votes Log'!B:B,A27,'1. Raw Votes Log'!E:E,"ITA"),0)</f>
        <v>0</v>
      </c>
      <c r="O27" s="4" t="n">
        <f aca="false">IFERROR(COUNTIFS('1. Raw Votes Log'!B:B,A27,'1. Raw Votes Log'!E:E,"ESP"),0)</f>
        <v>0</v>
      </c>
      <c r="P27" s="4" t="n">
        <f aca="false">IFERROR(COUNTIFS('1. Raw Votes Log'!B:B,A27,'1. Raw Votes Log'!E:E,"IND"),0)</f>
        <v>0</v>
      </c>
      <c r="Q27" s="22" t="n">
        <f aca="false">SUM(B27:P27)</f>
        <v>0</v>
      </c>
      <c r="R27" s="22" t="n">
        <f aca="false">COUNTIF(B27:P27,"&gt;0")</f>
        <v>0</v>
      </c>
    </row>
    <row r="28" customFormat="false" ht="15" hidden="false" customHeight="false" outlineLevel="0" collapsed="false">
      <c r="A28" s="16"/>
      <c r="B28" s="7" t="n">
        <f aca="false">IFERROR(COUNTIFS('1. Raw Votes Log'!B:B,A28,'1. Raw Votes Log'!E:E,"USA"),0)</f>
        <v>0</v>
      </c>
      <c r="C28" s="7" t="n">
        <f aca="false">IFERROR(COUNTIFS('1. Raw Votes Log'!B:B,A28,'1. Raw Votes Log'!E:E,"GBR"),0)</f>
        <v>0</v>
      </c>
      <c r="D28" s="7" t="n">
        <f aca="false">IFERROR(COUNTIFS('1. Raw Votes Log'!B:B,A28,'1. Raw Votes Log'!E:E,"CHN"),0)</f>
        <v>0</v>
      </c>
      <c r="E28" s="7" t="n">
        <f aca="false">IFERROR(COUNTIFS('1. Raw Votes Log'!B:B,A28,'1. Raw Votes Log'!E:E,"DEU"),0)</f>
        <v>0</v>
      </c>
      <c r="F28" s="7" t="n">
        <f aca="false">IFERROR(COUNTIFS('1. Raw Votes Log'!B:B,A28,'1. Raw Votes Log'!E:E,"JPN"),0)</f>
        <v>0</v>
      </c>
      <c r="G28" s="7" t="n">
        <f aca="false">IFERROR(COUNTIFS('1. Raw Votes Log'!B:B,A28,'1. Raw Votes Log'!E:E,"AUS"),0)</f>
        <v>0</v>
      </c>
      <c r="H28" s="7" t="n">
        <f aca="false">IFERROR(COUNTIFS('1. Raw Votes Log'!B:B,A28,'1. Raw Votes Log'!E:E,"FRA"),0)</f>
        <v>0</v>
      </c>
      <c r="I28" s="7" t="n">
        <f aca="false">IFERROR(COUNTIFS('1. Raw Votes Log'!B:B,A28,'1. Raw Votes Log'!E:E,"NLD"),0)</f>
        <v>0</v>
      </c>
      <c r="J28" s="7" t="n">
        <f aca="false">IFERROR(COUNTIFS('1. Raw Votes Log'!B:B,A28,'1. Raw Votes Log'!E:E,"CAN"),0)</f>
        <v>0</v>
      </c>
      <c r="K28" s="7" t="n">
        <f aca="false">IFERROR(COUNTIFS('1. Raw Votes Log'!B:B,A28,'1. Raw Votes Log'!E:E,"KOR"),0)</f>
        <v>0</v>
      </c>
      <c r="L28" s="7" t="n">
        <f aca="false">IFERROR(COUNTIFS('1. Raw Votes Log'!B:B,A28,'1. Raw Votes Log'!E:E,"CHE"),0)</f>
        <v>0</v>
      </c>
      <c r="M28" s="7" t="n">
        <f aca="false">IFERROR(COUNTIFS('1. Raw Votes Log'!B:B,A28,'1. Raw Votes Log'!E:E,"SWE"),0)</f>
        <v>0</v>
      </c>
      <c r="N28" s="7" t="n">
        <f aca="false">IFERROR(COUNTIFS('1. Raw Votes Log'!B:B,A28,'1. Raw Votes Log'!E:E,"ITA"),0)</f>
        <v>0</v>
      </c>
      <c r="O28" s="7" t="n">
        <f aca="false">IFERROR(COUNTIFS('1. Raw Votes Log'!B:B,A28,'1. Raw Votes Log'!E:E,"ESP"),0)</f>
        <v>0</v>
      </c>
      <c r="P28" s="7" t="n">
        <f aca="false">IFERROR(COUNTIFS('1. Raw Votes Log'!B:B,A28,'1. Raw Votes Log'!E:E,"IND"),0)</f>
        <v>0</v>
      </c>
      <c r="Q28" s="21" t="n">
        <f aca="false">SUM(B28:P28)</f>
        <v>0</v>
      </c>
      <c r="R28" s="21" t="n">
        <f aca="false">COUNTIF(B28:P28,"&gt;0")</f>
        <v>0</v>
      </c>
    </row>
    <row r="29" customFormat="false" ht="15" hidden="false" customHeight="false" outlineLevel="0" collapsed="false">
      <c r="A29" s="17"/>
      <c r="B29" s="4" t="n">
        <f aca="false">IFERROR(COUNTIFS('1. Raw Votes Log'!B:B,A29,'1. Raw Votes Log'!E:E,"USA"),0)</f>
        <v>0</v>
      </c>
      <c r="C29" s="4" t="n">
        <f aca="false">IFERROR(COUNTIFS('1. Raw Votes Log'!B:B,A29,'1. Raw Votes Log'!E:E,"GBR"),0)</f>
        <v>0</v>
      </c>
      <c r="D29" s="4" t="n">
        <f aca="false">IFERROR(COUNTIFS('1. Raw Votes Log'!B:B,A29,'1. Raw Votes Log'!E:E,"CHN"),0)</f>
        <v>0</v>
      </c>
      <c r="E29" s="4" t="n">
        <f aca="false">IFERROR(COUNTIFS('1. Raw Votes Log'!B:B,A29,'1. Raw Votes Log'!E:E,"DEU"),0)</f>
        <v>0</v>
      </c>
      <c r="F29" s="4" t="n">
        <f aca="false">IFERROR(COUNTIFS('1. Raw Votes Log'!B:B,A29,'1. Raw Votes Log'!E:E,"JPN"),0)</f>
        <v>0</v>
      </c>
      <c r="G29" s="4" t="n">
        <f aca="false">IFERROR(COUNTIFS('1. Raw Votes Log'!B:B,A29,'1. Raw Votes Log'!E:E,"AUS"),0)</f>
        <v>0</v>
      </c>
      <c r="H29" s="4" t="n">
        <f aca="false">IFERROR(COUNTIFS('1. Raw Votes Log'!B:B,A29,'1. Raw Votes Log'!E:E,"FRA"),0)</f>
        <v>0</v>
      </c>
      <c r="I29" s="4" t="n">
        <f aca="false">IFERROR(COUNTIFS('1. Raw Votes Log'!B:B,A29,'1. Raw Votes Log'!E:E,"NLD"),0)</f>
        <v>0</v>
      </c>
      <c r="J29" s="4" t="n">
        <f aca="false">IFERROR(COUNTIFS('1. Raw Votes Log'!B:B,A29,'1. Raw Votes Log'!E:E,"CAN"),0)</f>
        <v>0</v>
      </c>
      <c r="K29" s="4" t="n">
        <f aca="false">IFERROR(COUNTIFS('1. Raw Votes Log'!B:B,A29,'1. Raw Votes Log'!E:E,"KOR"),0)</f>
        <v>0</v>
      </c>
      <c r="L29" s="4" t="n">
        <f aca="false">IFERROR(COUNTIFS('1. Raw Votes Log'!B:B,A29,'1. Raw Votes Log'!E:E,"CHE"),0)</f>
        <v>0</v>
      </c>
      <c r="M29" s="4" t="n">
        <f aca="false">IFERROR(COUNTIFS('1. Raw Votes Log'!B:B,A29,'1. Raw Votes Log'!E:E,"SWE"),0)</f>
        <v>0</v>
      </c>
      <c r="N29" s="4" t="n">
        <f aca="false">IFERROR(COUNTIFS('1. Raw Votes Log'!B:B,A29,'1. Raw Votes Log'!E:E,"ITA"),0)</f>
        <v>0</v>
      </c>
      <c r="O29" s="4" t="n">
        <f aca="false">IFERROR(COUNTIFS('1. Raw Votes Log'!B:B,A29,'1. Raw Votes Log'!E:E,"ESP"),0)</f>
        <v>0</v>
      </c>
      <c r="P29" s="4" t="n">
        <f aca="false">IFERROR(COUNTIFS('1. Raw Votes Log'!B:B,A29,'1. Raw Votes Log'!E:E,"IND"),0)</f>
        <v>0</v>
      </c>
      <c r="Q29" s="22" t="n">
        <f aca="false">SUM(B29:P29)</f>
        <v>0</v>
      </c>
      <c r="R29" s="22" t="n">
        <f aca="false">COUNTIF(B29:P29,"&gt;0")</f>
        <v>0</v>
      </c>
    </row>
    <row r="30" customFormat="false" ht="15" hidden="false" customHeight="false" outlineLevel="0" collapsed="false">
      <c r="A30" s="16"/>
      <c r="B30" s="7" t="n">
        <f aca="false">IFERROR(COUNTIFS('1. Raw Votes Log'!B:B,A30,'1. Raw Votes Log'!E:E,"USA"),0)</f>
        <v>0</v>
      </c>
      <c r="C30" s="7" t="n">
        <f aca="false">IFERROR(COUNTIFS('1. Raw Votes Log'!B:B,A30,'1. Raw Votes Log'!E:E,"GBR"),0)</f>
        <v>0</v>
      </c>
      <c r="D30" s="7" t="n">
        <f aca="false">IFERROR(COUNTIFS('1. Raw Votes Log'!B:B,A30,'1. Raw Votes Log'!E:E,"CHN"),0)</f>
        <v>0</v>
      </c>
      <c r="E30" s="7" t="n">
        <f aca="false">IFERROR(COUNTIFS('1. Raw Votes Log'!B:B,A30,'1. Raw Votes Log'!E:E,"DEU"),0)</f>
        <v>0</v>
      </c>
      <c r="F30" s="7" t="n">
        <f aca="false">IFERROR(COUNTIFS('1. Raw Votes Log'!B:B,A30,'1. Raw Votes Log'!E:E,"JPN"),0)</f>
        <v>0</v>
      </c>
      <c r="G30" s="7" t="n">
        <f aca="false">IFERROR(COUNTIFS('1. Raw Votes Log'!B:B,A30,'1. Raw Votes Log'!E:E,"AUS"),0)</f>
        <v>0</v>
      </c>
      <c r="H30" s="7" t="n">
        <f aca="false">IFERROR(COUNTIFS('1. Raw Votes Log'!B:B,A30,'1. Raw Votes Log'!E:E,"FRA"),0)</f>
        <v>0</v>
      </c>
      <c r="I30" s="7" t="n">
        <f aca="false">IFERROR(COUNTIFS('1. Raw Votes Log'!B:B,A30,'1. Raw Votes Log'!E:E,"NLD"),0)</f>
        <v>0</v>
      </c>
      <c r="J30" s="7" t="n">
        <f aca="false">IFERROR(COUNTIFS('1. Raw Votes Log'!B:B,A30,'1. Raw Votes Log'!E:E,"CAN"),0)</f>
        <v>0</v>
      </c>
      <c r="K30" s="7" t="n">
        <f aca="false">IFERROR(COUNTIFS('1. Raw Votes Log'!B:B,A30,'1. Raw Votes Log'!E:E,"KOR"),0)</f>
        <v>0</v>
      </c>
      <c r="L30" s="7" t="n">
        <f aca="false">IFERROR(COUNTIFS('1. Raw Votes Log'!B:B,A30,'1. Raw Votes Log'!E:E,"CHE"),0)</f>
        <v>0</v>
      </c>
      <c r="M30" s="7" t="n">
        <f aca="false">IFERROR(COUNTIFS('1. Raw Votes Log'!B:B,A30,'1. Raw Votes Log'!E:E,"SWE"),0)</f>
        <v>0</v>
      </c>
      <c r="N30" s="7" t="n">
        <f aca="false">IFERROR(COUNTIFS('1. Raw Votes Log'!B:B,A30,'1. Raw Votes Log'!E:E,"ITA"),0)</f>
        <v>0</v>
      </c>
      <c r="O30" s="7" t="n">
        <f aca="false">IFERROR(COUNTIFS('1. Raw Votes Log'!B:B,A30,'1. Raw Votes Log'!E:E,"ESP"),0)</f>
        <v>0</v>
      </c>
      <c r="P30" s="7" t="n">
        <f aca="false">IFERROR(COUNTIFS('1. Raw Votes Log'!B:B,A30,'1. Raw Votes Log'!E:E,"IND"),0)</f>
        <v>0</v>
      </c>
      <c r="Q30" s="21" t="n">
        <f aca="false">SUM(B30:P30)</f>
        <v>0</v>
      </c>
      <c r="R30" s="21" t="n">
        <f aca="false">COUNTIF(B30:P30,"&gt;0")</f>
        <v>0</v>
      </c>
    </row>
    <row r="31" customFormat="false" ht="15" hidden="false" customHeight="false" outlineLevel="0" collapsed="false">
      <c r="A31" s="17"/>
      <c r="B31" s="4" t="n">
        <f aca="false">IFERROR(COUNTIFS('1. Raw Votes Log'!B:B,A31,'1. Raw Votes Log'!E:E,"USA"),0)</f>
        <v>0</v>
      </c>
      <c r="C31" s="4" t="n">
        <f aca="false">IFERROR(COUNTIFS('1. Raw Votes Log'!B:B,A31,'1. Raw Votes Log'!E:E,"GBR"),0)</f>
        <v>0</v>
      </c>
      <c r="D31" s="4" t="n">
        <f aca="false">IFERROR(COUNTIFS('1. Raw Votes Log'!B:B,A31,'1. Raw Votes Log'!E:E,"CHN"),0)</f>
        <v>0</v>
      </c>
      <c r="E31" s="4" t="n">
        <f aca="false">IFERROR(COUNTIFS('1. Raw Votes Log'!B:B,A31,'1. Raw Votes Log'!E:E,"DEU"),0)</f>
        <v>0</v>
      </c>
      <c r="F31" s="4" t="n">
        <f aca="false">IFERROR(COUNTIFS('1. Raw Votes Log'!B:B,A31,'1. Raw Votes Log'!E:E,"JPN"),0)</f>
        <v>0</v>
      </c>
      <c r="G31" s="4" t="n">
        <f aca="false">IFERROR(COUNTIFS('1. Raw Votes Log'!B:B,A31,'1. Raw Votes Log'!E:E,"AUS"),0)</f>
        <v>0</v>
      </c>
      <c r="H31" s="4" t="n">
        <f aca="false">IFERROR(COUNTIFS('1. Raw Votes Log'!B:B,A31,'1. Raw Votes Log'!E:E,"FRA"),0)</f>
        <v>0</v>
      </c>
      <c r="I31" s="4" t="n">
        <f aca="false">IFERROR(COUNTIFS('1. Raw Votes Log'!B:B,A31,'1. Raw Votes Log'!E:E,"NLD"),0)</f>
        <v>0</v>
      </c>
      <c r="J31" s="4" t="n">
        <f aca="false">IFERROR(COUNTIFS('1. Raw Votes Log'!B:B,A31,'1. Raw Votes Log'!E:E,"CAN"),0)</f>
        <v>0</v>
      </c>
      <c r="K31" s="4" t="n">
        <f aca="false">IFERROR(COUNTIFS('1. Raw Votes Log'!B:B,A31,'1. Raw Votes Log'!E:E,"KOR"),0)</f>
        <v>0</v>
      </c>
      <c r="L31" s="4" t="n">
        <f aca="false">IFERROR(COUNTIFS('1. Raw Votes Log'!B:B,A31,'1. Raw Votes Log'!E:E,"CHE"),0)</f>
        <v>0</v>
      </c>
      <c r="M31" s="4" t="n">
        <f aca="false">IFERROR(COUNTIFS('1. Raw Votes Log'!B:B,A31,'1. Raw Votes Log'!E:E,"SWE"),0)</f>
        <v>0</v>
      </c>
      <c r="N31" s="4" t="n">
        <f aca="false">IFERROR(COUNTIFS('1. Raw Votes Log'!B:B,A31,'1. Raw Votes Log'!E:E,"ITA"),0)</f>
        <v>0</v>
      </c>
      <c r="O31" s="4" t="n">
        <f aca="false">IFERROR(COUNTIFS('1. Raw Votes Log'!B:B,A31,'1. Raw Votes Log'!E:E,"ESP"),0)</f>
        <v>0</v>
      </c>
      <c r="P31" s="4" t="n">
        <f aca="false">IFERROR(COUNTIFS('1. Raw Votes Log'!B:B,A31,'1. Raw Votes Log'!E:E,"IND"),0)</f>
        <v>0</v>
      </c>
      <c r="Q31" s="22" t="n">
        <f aca="false">SUM(B31:P31)</f>
        <v>0</v>
      </c>
      <c r="R31" s="22" t="n">
        <f aca="false">COUNTIF(B31:P31,"&gt;0")</f>
        <v>0</v>
      </c>
    </row>
    <row r="32" customFormat="false" ht="15" hidden="false" customHeight="false" outlineLevel="0" collapsed="false">
      <c r="A32" s="16"/>
      <c r="B32" s="7" t="n">
        <f aca="false">IFERROR(COUNTIFS('1. Raw Votes Log'!B:B,A32,'1. Raw Votes Log'!E:E,"USA"),0)</f>
        <v>0</v>
      </c>
      <c r="C32" s="7" t="n">
        <f aca="false">IFERROR(COUNTIFS('1. Raw Votes Log'!B:B,A32,'1. Raw Votes Log'!E:E,"GBR"),0)</f>
        <v>0</v>
      </c>
      <c r="D32" s="7" t="n">
        <f aca="false">IFERROR(COUNTIFS('1. Raw Votes Log'!B:B,A32,'1. Raw Votes Log'!E:E,"CHN"),0)</f>
        <v>0</v>
      </c>
      <c r="E32" s="7" t="n">
        <f aca="false">IFERROR(COUNTIFS('1. Raw Votes Log'!B:B,A32,'1. Raw Votes Log'!E:E,"DEU"),0)</f>
        <v>0</v>
      </c>
      <c r="F32" s="7" t="n">
        <f aca="false">IFERROR(COUNTIFS('1. Raw Votes Log'!B:B,A32,'1. Raw Votes Log'!E:E,"JPN"),0)</f>
        <v>0</v>
      </c>
      <c r="G32" s="7" t="n">
        <f aca="false">IFERROR(COUNTIFS('1. Raw Votes Log'!B:B,A32,'1. Raw Votes Log'!E:E,"AUS"),0)</f>
        <v>0</v>
      </c>
      <c r="H32" s="7" t="n">
        <f aca="false">IFERROR(COUNTIFS('1. Raw Votes Log'!B:B,A32,'1. Raw Votes Log'!E:E,"FRA"),0)</f>
        <v>0</v>
      </c>
      <c r="I32" s="7" t="n">
        <f aca="false">IFERROR(COUNTIFS('1. Raw Votes Log'!B:B,A32,'1. Raw Votes Log'!E:E,"NLD"),0)</f>
        <v>0</v>
      </c>
      <c r="J32" s="7" t="n">
        <f aca="false">IFERROR(COUNTIFS('1. Raw Votes Log'!B:B,A32,'1. Raw Votes Log'!E:E,"CAN"),0)</f>
        <v>0</v>
      </c>
      <c r="K32" s="7" t="n">
        <f aca="false">IFERROR(COUNTIFS('1. Raw Votes Log'!B:B,A32,'1. Raw Votes Log'!E:E,"KOR"),0)</f>
        <v>0</v>
      </c>
      <c r="L32" s="7" t="n">
        <f aca="false">IFERROR(COUNTIFS('1. Raw Votes Log'!B:B,A32,'1. Raw Votes Log'!E:E,"CHE"),0)</f>
        <v>0</v>
      </c>
      <c r="M32" s="7" t="n">
        <f aca="false">IFERROR(COUNTIFS('1. Raw Votes Log'!B:B,A32,'1. Raw Votes Log'!E:E,"SWE"),0)</f>
        <v>0</v>
      </c>
      <c r="N32" s="7" t="n">
        <f aca="false">IFERROR(COUNTIFS('1. Raw Votes Log'!B:B,A32,'1. Raw Votes Log'!E:E,"ITA"),0)</f>
        <v>0</v>
      </c>
      <c r="O32" s="7" t="n">
        <f aca="false">IFERROR(COUNTIFS('1. Raw Votes Log'!B:B,A32,'1. Raw Votes Log'!E:E,"ESP"),0)</f>
        <v>0</v>
      </c>
      <c r="P32" s="7" t="n">
        <f aca="false">IFERROR(COUNTIFS('1. Raw Votes Log'!B:B,A32,'1. Raw Votes Log'!E:E,"IND"),0)</f>
        <v>0</v>
      </c>
      <c r="Q32" s="21" t="n">
        <f aca="false">SUM(B32:P32)</f>
        <v>0</v>
      </c>
      <c r="R32" s="21" t="n">
        <f aca="false">COUNTIF(B32:P32,"&gt;0")</f>
        <v>0</v>
      </c>
    </row>
    <row r="33" customFormat="false" ht="15" hidden="false" customHeight="false" outlineLevel="0" collapsed="false">
      <c r="A33" s="17"/>
      <c r="B33" s="4" t="n">
        <f aca="false">IFERROR(COUNTIFS('1. Raw Votes Log'!B:B,A33,'1. Raw Votes Log'!E:E,"USA"),0)</f>
        <v>0</v>
      </c>
      <c r="C33" s="4" t="n">
        <f aca="false">IFERROR(COUNTIFS('1. Raw Votes Log'!B:B,A33,'1. Raw Votes Log'!E:E,"GBR"),0)</f>
        <v>0</v>
      </c>
      <c r="D33" s="4" t="n">
        <f aca="false">IFERROR(COUNTIFS('1. Raw Votes Log'!B:B,A33,'1. Raw Votes Log'!E:E,"CHN"),0)</f>
        <v>0</v>
      </c>
      <c r="E33" s="4" t="n">
        <f aca="false">IFERROR(COUNTIFS('1. Raw Votes Log'!B:B,A33,'1. Raw Votes Log'!E:E,"DEU"),0)</f>
        <v>0</v>
      </c>
      <c r="F33" s="4" t="n">
        <f aca="false">IFERROR(COUNTIFS('1. Raw Votes Log'!B:B,A33,'1. Raw Votes Log'!E:E,"JPN"),0)</f>
        <v>0</v>
      </c>
      <c r="G33" s="4" t="n">
        <f aca="false">IFERROR(COUNTIFS('1. Raw Votes Log'!B:B,A33,'1. Raw Votes Log'!E:E,"AUS"),0)</f>
        <v>0</v>
      </c>
      <c r="H33" s="4" t="n">
        <f aca="false">IFERROR(COUNTIFS('1. Raw Votes Log'!B:B,A33,'1. Raw Votes Log'!E:E,"FRA"),0)</f>
        <v>0</v>
      </c>
      <c r="I33" s="4" t="n">
        <f aca="false">IFERROR(COUNTIFS('1. Raw Votes Log'!B:B,A33,'1. Raw Votes Log'!E:E,"NLD"),0)</f>
        <v>0</v>
      </c>
      <c r="J33" s="4" t="n">
        <f aca="false">IFERROR(COUNTIFS('1. Raw Votes Log'!B:B,A33,'1. Raw Votes Log'!E:E,"CAN"),0)</f>
        <v>0</v>
      </c>
      <c r="K33" s="4" t="n">
        <f aca="false">IFERROR(COUNTIFS('1. Raw Votes Log'!B:B,A33,'1. Raw Votes Log'!E:E,"KOR"),0)</f>
        <v>0</v>
      </c>
      <c r="L33" s="4" t="n">
        <f aca="false">IFERROR(COUNTIFS('1. Raw Votes Log'!B:B,A33,'1. Raw Votes Log'!E:E,"CHE"),0)</f>
        <v>0</v>
      </c>
      <c r="M33" s="4" t="n">
        <f aca="false">IFERROR(COUNTIFS('1. Raw Votes Log'!B:B,A33,'1. Raw Votes Log'!E:E,"SWE"),0)</f>
        <v>0</v>
      </c>
      <c r="N33" s="4" t="n">
        <f aca="false">IFERROR(COUNTIFS('1. Raw Votes Log'!B:B,A33,'1. Raw Votes Log'!E:E,"ITA"),0)</f>
        <v>0</v>
      </c>
      <c r="O33" s="4" t="n">
        <f aca="false">IFERROR(COUNTIFS('1. Raw Votes Log'!B:B,A33,'1. Raw Votes Log'!E:E,"ESP"),0)</f>
        <v>0</v>
      </c>
      <c r="P33" s="4" t="n">
        <f aca="false">IFERROR(COUNTIFS('1. Raw Votes Log'!B:B,A33,'1. Raw Votes Log'!E:E,"IND"),0)</f>
        <v>0</v>
      </c>
      <c r="Q33" s="22" t="n">
        <f aca="false">SUM(B33:P33)</f>
        <v>0</v>
      </c>
      <c r="R33" s="22" t="n">
        <f aca="false">COUNTIF(B33:P33,"&gt;0")</f>
        <v>0</v>
      </c>
    </row>
    <row r="34" customFormat="false" ht="15" hidden="false" customHeight="false" outlineLevel="0" collapsed="false">
      <c r="A34" s="16"/>
      <c r="B34" s="7" t="n">
        <f aca="false">IFERROR(COUNTIFS('1. Raw Votes Log'!B:B,A34,'1. Raw Votes Log'!E:E,"USA"),0)</f>
        <v>0</v>
      </c>
      <c r="C34" s="7" t="n">
        <f aca="false">IFERROR(COUNTIFS('1. Raw Votes Log'!B:B,A34,'1. Raw Votes Log'!E:E,"GBR"),0)</f>
        <v>0</v>
      </c>
      <c r="D34" s="7" t="n">
        <f aca="false">IFERROR(COUNTIFS('1. Raw Votes Log'!B:B,A34,'1. Raw Votes Log'!E:E,"CHN"),0)</f>
        <v>0</v>
      </c>
      <c r="E34" s="7" t="n">
        <f aca="false">IFERROR(COUNTIFS('1. Raw Votes Log'!B:B,A34,'1. Raw Votes Log'!E:E,"DEU"),0)</f>
        <v>0</v>
      </c>
      <c r="F34" s="7" t="n">
        <f aca="false">IFERROR(COUNTIFS('1. Raw Votes Log'!B:B,A34,'1. Raw Votes Log'!E:E,"JPN"),0)</f>
        <v>0</v>
      </c>
      <c r="G34" s="7" t="n">
        <f aca="false">IFERROR(COUNTIFS('1. Raw Votes Log'!B:B,A34,'1. Raw Votes Log'!E:E,"AUS"),0)</f>
        <v>0</v>
      </c>
      <c r="H34" s="7" t="n">
        <f aca="false">IFERROR(COUNTIFS('1. Raw Votes Log'!B:B,A34,'1. Raw Votes Log'!E:E,"FRA"),0)</f>
        <v>0</v>
      </c>
      <c r="I34" s="7" t="n">
        <f aca="false">IFERROR(COUNTIFS('1. Raw Votes Log'!B:B,A34,'1. Raw Votes Log'!E:E,"NLD"),0)</f>
        <v>0</v>
      </c>
      <c r="J34" s="7" t="n">
        <f aca="false">IFERROR(COUNTIFS('1. Raw Votes Log'!B:B,A34,'1. Raw Votes Log'!E:E,"CAN"),0)</f>
        <v>0</v>
      </c>
      <c r="K34" s="7" t="n">
        <f aca="false">IFERROR(COUNTIFS('1. Raw Votes Log'!B:B,A34,'1. Raw Votes Log'!E:E,"KOR"),0)</f>
        <v>0</v>
      </c>
      <c r="L34" s="7" t="n">
        <f aca="false">IFERROR(COUNTIFS('1. Raw Votes Log'!B:B,A34,'1. Raw Votes Log'!E:E,"CHE"),0)</f>
        <v>0</v>
      </c>
      <c r="M34" s="7" t="n">
        <f aca="false">IFERROR(COUNTIFS('1. Raw Votes Log'!B:B,A34,'1. Raw Votes Log'!E:E,"SWE"),0)</f>
        <v>0</v>
      </c>
      <c r="N34" s="7" t="n">
        <f aca="false">IFERROR(COUNTIFS('1. Raw Votes Log'!B:B,A34,'1. Raw Votes Log'!E:E,"ITA"),0)</f>
        <v>0</v>
      </c>
      <c r="O34" s="7" t="n">
        <f aca="false">IFERROR(COUNTIFS('1. Raw Votes Log'!B:B,A34,'1. Raw Votes Log'!E:E,"ESP"),0)</f>
        <v>0</v>
      </c>
      <c r="P34" s="7" t="n">
        <f aca="false">IFERROR(COUNTIFS('1. Raw Votes Log'!B:B,A34,'1. Raw Votes Log'!E:E,"IND"),0)</f>
        <v>0</v>
      </c>
      <c r="Q34" s="21" t="n">
        <f aca="false">SUM(B34:P34)</f>
        <v>0</v>
      </c>
      <c r="R34" s="21" t="n">
        <f aca="false">COUNTIF(B34:P34,"&gt;0")</f>
        <v>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0"/>
    <col collapsed="false" customWidth="true" hidden="false" outlineLevel="0" max="14" min="13" style="0" width="14"/>
  </cols>
  <sheetData>
    <row r="1" customFormat="false" ht="33.75" hidden="false" customHeight="true" outlineLevel="0" collapsed="false">
      <c r="A1" s="29" t="s">
        <v>371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Format="false" ht="25.5" hidden="false" customHeight="true" outlineLevel="0" collapsed="false">
      <c r="A2" s="30" t="s">
        <v>372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customFormat="false" ht="23.85" hidden="false" customHeight="false" outlineLevel="0" collapsed="false">
      <c r="A4" s="31" t="s">
        <v>373</v>
      </c>
      <c r="B4" s="31" t="s">
        <v>123</v>
      </c>
      <c r="C4" s="31" t="s">
        <v>126</v>
      </c>
      <c r="D4" s="31" t="s">
        <v>129</v>
      </c>
      <c r="E4" s="31" t="s">
        <v>132</v>
      </c>
      <c r="F4" s="31" t="s">
        <v>135</v>
      </c>
      <c r="G4" s="31" t="s">
        <v>138</v>
      </c>
      <c r="H4" s="31" t="s">
        <v>141</v>
      </c>
      <c r="I4" s="31" t="s">
        <v>144</v>
      </c>
      <c r="J4" s="31" t="s">
        <v>147</v>
      </c>
      <c r="K4" s="31" t="s">
        <v>150</v>
      </c>
      <c r="L4" s="31" t="s">
        <v>153</v>
      </c>
      <c r="M4" s="28" t="s">
        <v>369</v>
      </c>
      <c r="N4" s="28" t="s">
        <v>374</v>
      </c>
    </row>
    <row r="5" customFormat="false" ht="15" hidden="false" customHeight="false" outlineLevel="0" collapsed="false">
      <c r="A5" s="17"/>
      <c r="B5" s="4" t="n">
        <f aca="false">IFERROR(COUNTIFS('1. Raw Votes Log'!B:B,A5,'1. Raw Votes Log'!G:G,"AH"),0)</f>
        <v>0</v>
      </c>
      <c r="C5" s="4" t="n">
        <f aca="false">IFERROR(COUNTIFS('1. Raw Votes Log'!B:B,A5,'1. Raw Votes Log'!G:G,"BE"),0)</f>
        <v>0</v>
      </c>
      <c r="D5" s="4" t="n">
        <f aca="false">IFERROR(COUNTIFS('1. Raw Votes Log'!B:B,A5,'1. Raw Votes Log'!G:G,"CH"),0)</f>
        <v>0</v>
      </c>
      <c r="E5" s="4" t="n">
        <f aca="false">IFERROR(COUNTIFS('1. Raw Votes Log'!B:B,A5,'1. Raw Votes Log'!G:G,"CS"),0)</f>
        <v>0</v>
      </c>
      <c r="F5" s="4" t="n">
        <f aca="false">IFERROR(COUNTIFS('1. Raw Votes Log'!B:B,A5,'1. Raw Votes Log'!G:G,"ED"),0)</f>
        <v>0</v>
      </c>
      <c r="G5" s="4" t="n">
        <f aca="false">IFERROR(COUNTIFS('1. Raw Votes Log'!B:B,A5,'1. Raw Votes Log'!G:G,"EN"),0)</f>
        <v>0</v>
      </c>
      <c r="H5" s="4" t="n">
        <f aca="false">IFERROR(COUNTIFS('1. Raw Votes Log'!B:B,A5,'1. Raw Votes Log'!G:G,"LW"),0)</f>
        <v>0</v>
      </c>
      <c r="I5" s="4" t="n">
        <f aca="false">IFERROR(COUNTIFS('1. Raw Votes Log'!B:B,A5,'1. Raw Votes Log'!G:G,"LS"),0)</f>
        <v>0</v>
      </c>
      <c r="J5" s="4" t="n">
        <f aca="false">IFERROR(COUNTIFS('1. Raw Votes Log'!B:B,A5,'1. Raw Votes Log'!G:G,"PS"),0)</f>
        <v>0</v>
      </c>
      <c r="K5" s="4" t="n">
        <f aca="false">IFERROR(COUNTIFS('1. Raw Votes Log'!B:B,A5,'1. Raw Votes Log'!G:G,"PY"),0)</f>
        <v>0</v>
      </c>
      <c r="L5" s="4" t="n">
        <f aca="false">IFERROR(COUNTIFS('1. Raw Votes Log'!B:B,A5,'1. Raw Votes Log'!G:G,"SS"),0)</f>
        <v>0</v>
      </c>
      <c r="M5" s="22" t="n">
        <f aca="false">SUM(B5:L5)</f>
        <v>0</v>
      </c>
      <c r="N5" s="22" t="n">
        <f aca="false">COUNTIF(B5:L5,"&gt;0")</f>
        <v>0</v>
      </c>
    </row>
    <row r="6" customFormat="false" ht="15" hidden="false" customHeight="false" outlineLevel="0" collapsed="false">
      <c r="A6" s="16"/>
      <c r="B6" s="7" t="n">
        <f aca="false">IFERROR(COUNTIFS('1. Raw Votes Log'!B:B,A6,'1. Raw Votes Log'!G:G,"AH"),0)</f>
        <v>0</v>
      </c>
      <c r="C6" s="7" t="n">
        <f aca="false">IFERROR(COUNTIFS('1. Raw Votes Log'!B:B,A6,'1. Raw Votes Log'!G:G,"BE"),0)</f>
        <v>0</v>
      </c>
      <c r="D6" s="7" t="n">
        <f aca="false">IFERROR(COUNTIFS('1. Raw Votes Log'!B:B,A6,'1. Raw Votes Log'!G:G,"CH"),0)</f>
        <v>0</v>
      </c>
      <c r="E6" s="7" t="n">
        <f aca="false">IFERROR(COUNTIFS('1. Raw Votes Log'!B:B,A6,'1. Raw Votes Log'!G:G,"CS"),0)</f>
        <v>0</v>
      </c>
      <c r="F6" s="7" t="n">
        <f aca="false">IFERROR(COUNTIFS('1. Raw Votes Log'!B:B,A6,'1. Raw Votes Log'!G:G,"ED"),0)</f>
        <v>0</v>
      </c>
      <c r="G6" s="7" t="n">
        <f aca="false">IFERROR(COUNTIFS('1. Raw Votes Log'!B:B,A6,'1. Raw Votes Log'!G:G,"EN"),0)</f>
        <v>0</v>
      </c>
      <c r="H6" s="7" t="n">
        <f aca="false">IFERROR(COUNTIFS('1. Raw Votes Log'!B:B,A6,'1. Raw Votes Log'!G:G,"LW"),0)</f>
        <v>0</v>
      </c>
      <c r="I6" s="7" t="n">
        <f aca="false">IFERROR(COUNTIFS('1. Raw Votes Log'!B:B,A6,'1. Raw Votes Log'!G:G,"LS"),0)</f>
        <v>0</v>
      </c>
      <c r="J6" s="7" t="n">
        <f aca="false">IFERROR(COUNTIFS('1. Raw Votes Log'!B:B,A6,'1. Raw Votes Log'!G:G,"PS"),0)</f>
        <v>0</v>
      </c>
      <c r="K6" s="7" t="n">
        <f aca="false">IFERROR(COUNTIFS('1. Raw Votes Log'!B:B,A6,'1. Raw Votes Log'!G:G,"PY"),0)</f>
        <v>0</v>
      </c>
      <c r="L6" s="7" t="n">
        <f aca="false">IFERROR(COUNTIFS('1. Raw Votes Log'!B:B,A6,'1. Raw Votes Log'!G:G,"SS"),0)</f>
        <v>0</v>
      </c>
      <c r="M6" s="21" t="n">
        <f aca="false">SUM(B6:L6)</f>
        <v>0</v>
      </c>
      <c r="N6" s="21" t="n">
        <f aca="false">COUNTIF(B6:L6,"&gt;0")</f>
        <v>0</v>
      </c>
    </row>
    <row r="7" customFormat="false" ht="15" hidden="false" customHeight="false" outlineLevel="0" collapsed="false">
      <c r="A7" s="17"/>
      <c r="B7" s="4" t="n">
        <f aca="false">IFERROR(COUNTIFS('1. Raw Votes Log'!B:B,A7,'1. Raw Votes Log'!G:G,"AH"),0)</f>
        <v>0</v>
      </c>
      <c r="C7" s="4" t="n">
        <f aca="false">IFERROR(COUNTIFS('1. Raw Votes Log'!B:B,A7,'1. Raw Votes Log'!G:G,"BE"),0)</f>
        <v>0</v>
      </c>
      <c r="D7" s="4" t="n">
        <f aca="false">IFERROR(COUNTIFS('1. Raw Votes Log'!B:B,A7,'1. Raw Votes Log'!G:G,"CH"),0)</f>
        <v>0</v>
      </c>
      <c r="E7" s="4" t="n">
        <f aca="false">IFERROR(COUNTIFS('1. Raw Votes Log'!B:B,A7,'1. Raw Votes Log'!G:G,"CS"),0)</f>
        <v>0</v>
      </c>
      <c r="F7" s="4" t="n">
        <f aca="false">IFERROR(COUNTIFS('1. Raw Votes Log'!B:B,A7,'1. Raw Votes Log'!G:G,"ED"),0)</f>
        <v>0</v>
      </c>
      <c r="G7" s="4" t="n">
        <f aca="false">IFERROR(COUNTIFS('1. Raw Votes Log'!B:B,A7,'1. Raw Votes Log'!G:G,"EN"),0)</f>
        <v>0</v>
      </c>
      <c r="H7" s="4" t="n">
        <f aca="false">IFERROR(COUNTIFS('1. Raw Votes Log'!B:B,A7,'1. Raw Votes Log'!G:G,"LW"),0)</f>
        <v>0</v>
      </c>
      <c r="I7" s="4" t="n">
        <f aca="false">IFERROR(COUNTIFS('1. Raw Votes Log'!B:B,A7,'1. Raw Votes Log'!G:G,"LS"),0)</f>
        <v>0</v>
      </c>
      <c r="J7" s="4" t="n">
        <f aca="false">IFERROR(COUNTIFS('1. Raw Votes Log'!B:B,A7,'1. Raw Votes Log'!G:G,"PS"),0)</f>
        <v>0</v>
      </c>
      <c r="K7" s="4" t="n">
        <f aca="false">IFERROR(COUNTIFS('1. Raw Votes Log'!B:B,A7,'1. Raw Votes Log'!G:G,"PY"),0)</f>
        <v>0</v>
      </c>
      <c r="L7" s="4" t="n">
        <f aca="false">IFERROR(COUNTIFS('1. Raw Votes Log'!B:B,A7,'1. Raw Votes Log'!G:G,"SS"),0)</f>
        <v>0</v>
      </c>
      <c r="M7" s="22" t="n">
        <f aca="false">SUM(B7:L7)</f>
        <v>0</v>
      </c>
      <c r="N7" s="22" t="n">
        <f aca="false">COUNTIF(B7:L7,"&gt;0")</f>
        <v>0</v>
      </c>
    </row>
    <row r="8" customFormat="false" ht="15" hidden="false" customHeight="false" outlineLevel="0" collapsed="false">
      <c r="A8" s="16"/>
      <c r="B8" s="7" t="n">
        <f aca="false">IFERROR(COUNTIFS('1. Raw Votes Log'!B:B,A8,'1. Raw Votes Log'!G:G,"AH"),0)</f>
        <v>0</v>
      </c>
      <c r="C8" s="7" t="n">
        <f aca="false">IFERROR(COUNTIFS('1. Raw Votes Log'!B:B,A8,'1. Raw Votes Log'!G:G,"BE"),0)</f>
        <v>0</v>
      </c>
      <c r="D8" s="7" t="n">
        <f aca="false">IFERROR(COUNTIFS('1. Raw Votes Log'!B:B,A8,'1. Raw Votes Log'!G:G,"CH"),0)</f>
        <v>0</v>
      </c>
      <c r="E8" s="7" t="n">
        <f aca="false">IFERROR(COUNTIFS('1. Raw Votes Log'!B:B,A8,'1. Raw Votes Log'!G:G,"CS"),0)</f>
        <v>0</v>
      </c>
      <c r="F8" s="7" t="n">
        <f aca="false">IFERROR(COUNTIFS('1. Raw Votes Log'!B:B,A8,'1. Raw Votes Log'!G:G,"ED"),0)</f>
        <v>0</v>
      </c>
      <c r="G8" s="7" t="n">
        <f aca="false">IFERROR(COUNTIFS('1. Raw Votes Log'!B:B,A8,'1. Raw Votes Log'!G:G,"EN"),0)</f>
        <v>0</v>
      </c>
      <c r="H8" s="7" t="n">
        <f aca="false">IFERROR(COUNTIFS('1. Raw Votes Log'!B:B,A8,'1. Raw Votes Log'!G:G,"LW"),0)</f>
        <v>0</v>
      </c>
      <c r="I8" s="7" t="n">
        <f aca="false">IFERROR(COUNTIFS('1. Raw Votes Log'!B:B,A8,'1. Raw Votes Log'!G:G,"LS"),0)</f>
        <v>0</v>
      </c>
      <c r="J8" s="7" t="n">
        <f aca="false">IFERROR(COUNTIFS('1. Raw Votes Log'!B:B,A8,'1. Raw Votes Log'!G:G,"PS"),0)</f>
        <v>0</v>
      </c>
      <c r="K8" s="7" t="n">
        <f aca="false">IFERROR(COUNTIFS('1. Raw Votes Log'!B:B,A8,'1. Raw Votes Log'!G:G,"PY"),0)</f>
        <v>0</v>
      </c>
      <c r="L8" s="7" t="n">
        <f aca="false">IFERROR(COUNTIFS('1. Raw Votes Log'!B:B,A8,'1. Raw Votes Log'!G:G,"SS"),0)</f>
        <v>0</v>
      </c>
      <c r="M8" s="21" t="n">
        <f aca="false">SUM(B8:L8)</f>
        <v>0</v>
      </c>
      <c r="N8" s="21" t="n">
        <f aca="false">COUNTIF(B8:L8,"&gt;0")</f>
        <v>0</v>
      </c>
    </row>
    <row r="9" customFormat="false" ht="15" hidden="false" customHeight="false" outlineLevel="0" collapsed="false">
      <c r="A9" s="17"/>
      <c r="B9" s="4" t="n">
        <f aca="false">IFERROR(COUNTIFS('1. Raw Votes Log'!B:B,A9,'1. Raw Votes Log'!G:G,"AH"),0)</f>
        <v>0</v>
      </c>
      <c r="C9" s="4" t="n">
        <f aca="false">IFERROR(COUNTIFS('1. Raw Votes Log'!B:B,A9,'1. Raw Votes Log'!G:G,"BE"),0)</f>
        <v>0</v>
      </c>
      <c r="D9" s="4" t="n">
        <f aca="false">IFERROR(COUNTIFS('1. Raw Votes Log'!B:B,A9,'1. Raw Votes Log'!G:G,"CH"),0)</f>
        <v>0</v>
      </c>
      <c r="E9" s="4" t="n">
        <f aca="false">IFERROR(COUNTIFS('1. Raw Votes Log'!B:B,A9,'1. Raw Votes Log'!G:G,"CS"),0)</f>
        <v>0</v>
      </c>
      <c r="F9" s="4" t="n">
        <f aca="false">IFERROR(COUNTIFS('1. Raw Votes Log'!B:B,A9,'1. Raw Votes Log'!G:G,"ED"),0)</f>
        <v>0</v>
      </c>
      <c r="G9" s="4" t="n">
        <f aca="false">IFERROR(COUNTIFS('1. Raw Votes Log'!B:B,A9,'1. Raw Votes Log'!G:G,"EN"),0)</f>
        <v>0</v>
      </c>
      <c r="H9" s="4" t="n">
        <f aca="false">IFERROR(COUNTIFS('1. Raw Votes Log'!B:B,A9,'1. Raw Votes Log'!G:G,"LW"),0)</f>
        <v>0</v>
      </c>
      <c r="I9" s="4" t="n">
        <f aca="false">IFERROR(COUNTIFS('1. Raw Votes Log'!B:B,A9,'1. Raw Votes Log'!G:G,"LS"),0)</f>
        <v>0</v>
      </c>
      <c r="J9" s="4" t="n">
        <f aca="false">IFERROR(COUNTIFS('1. Raw Votes Log'!B:B,A9,'1. Raw Votes Log'!G:G,"PS"),0)</f>
        <v>0</v>
      </c>
      <c r="K9" s="4" t="n">
        <f aca="false">IFERROR(COUNTIFS('1. Raw Votes Log'!B:B,A9,'1. Raw Votes Log'!G:G,"PY"),0)</f>
        <v>0</v>
      </c>
      <c r="L9" s="4" t="n">
        <f aca="false">IFERROR(COUNTIFS('1. Raw Votes Log'!B:B,A9,'1. Raw Votes Log'!G:G,"SS"),0)</f>
        <v>0</v>
      </c>
      <c r="M9" s="22" t="n">
        <f aca="false">SUM(B9:L9)</f>
        <v>0</v>
      </c>
      <c r="N9" s="22" t="n">
        <f aca="false">COUNTIF(B9:L9,"&gt;0")</f>
        <v>0</v>
      </c>
    </row>
    <row r="10" customFormat="false" ht="15" hidden="false" customHeight="false" outlineLevel="0" collapsed="false">
      <c r="A10" s="16"/>
      <c r="B10" s="7" t="n">
        <f aca="false">IFERROR(COUNTIFS('1. Raw Votes Log'!B:B,A10,'1. Raw Votes Log'!G:G,"AH"),0)</f>
        <v>0</v>
      </c>
      <c r="C10" s="7" t="n">
        <f aca="false">IFERROR(COUNTIFS('1. Raw Votes Log'!B:B,A10,'1. Raw Votes Log'!G:G,"BE"),0)</f>
        <v>0</v>
      </c>
      <c r="D10" s="7" t="n">
        <f aca="false">IFERROR(COUNTIFS('1. Raw Votes Log'!B:B,A10,'1. Raw Votes Log'!G:G,"CH"),0)</f>
        <v>0</v>
      </c>
      <c r="E10" s="7" t="n">
        <f aca="false">IFERROR(COUNTIFS('1. Raw Votes Log'!B:B,A10,'1. Raw Votes Log'!G:G,"CS"),0)</f>
        <v>0</v>
      </c>
      <c r="F10" s="7" t="n">
        <f aca="false">IFERROR(COUNTIFS('1. Raw Votes Log'!B:B,A10,'1. Raw Votes Log'!G:G,"ED"),0)</f>
        <v>0</v>
      </c>
      <c r="G10" s="7" t="n">
        <f aca="false">IFERROR(COUNTIFS('1. Raw Votes Log'!B:B,A10,'1. Raw Votes Log'!G:G,"EN"),0)</f>
        <v>0</v>
      </c>
      <c r="H10" s="7" t="n">
        <f aca="false">IFERROR(COUNTIFS('1. Raw Votes Log'!B:B,A10,'1. Raw Votes Log'!G:G,"LW"),0)</f>
        <v>0</v>
      </c>
      <c r="I10" s="7" t="n">
        <f aca="false">IFERROR(COUNTIFS('1. Raw Votes Log'!B:B,A10,'1. Raw Votes Log'!G:G,"LS"),0)</f>
        <v>0</v>
      </c>
      <c r="J10" s="7" t="n">
        <f aca="false">IFERROR(COUNTIFS('1. Raw Votes Log'!B:B,A10,'1. Raw Votes Log'!G:G,"PS"),0)</f>
        <v>0</v>
      </c>
      <c r="K10" s="7" t="n">
        <f aca="false">IFERROR(COUNTIFS('1. Raw Votes Log'!B:B,A10,'1. Raw Votes Log'!G:G,"PY"),0)</f>
        <v>0</v>
      </c>
      <c r="L10" s="7" t="n">
        <f aca="false">IFERROR(COUNTIFS('1. Raw Votes Log'!B:B,A10,'1. Raw Votes Log'!G:G,"SS"),0)</f>
        <v>0</v>
      </c>
      <c r="M10" s="21" t="n">
        <f aca="false">SUM(B10:L10)</f>
        <v>0</v>
      </c>
      <c r="N10" s="21" t="n">
        <f aca="false">COUNTIF(B10:L10,"&gt;0")</f>
        <v>0</v>
      </c>
    </row>
    <row r="11" customFormat="false" ht="15" hidden="false" customHeight="false" outlineLevel="0" collapsed="false">
      <c r="A11" s="17"/>
      <c r="B11" s="4" t="n">
        <f aca="false">IFERROR(COUNTIFS('1. Raw Votes Log'!B:B,A11,'1. Raw Votes Log'!G:G,"AH"),0)</f>
        <v>0</v>
      </c>
      <c r="C11" s="4" t="n">
        <f aca="false">IFERROR(COUNTIFS('1. Raw Votes Log'!B:B,A11,'1. Raw Votes Log'!G:G,"BE"),0)</f>
        <v>0</v>
      </c>
      <c r="D11" s="4" t="n">
        <f aca="false">IFERROR(COUNTIFS('1. Raw Votes Log'!B:B,A11,'1. Raw Votes Log'!G:G,"CH"),0)</f>
        <v>0</v>
      </c>
      <c r="E11" s="4" t="n">
        <f aca="false">IFERROR(COUNTIFS('1. Raw Votes Log'!B:B,A11,'1. Raw Votes Log'!G:G,"CS"),0)</f>
        <v>0</v>
      </c>
      <c r="F11" s="4" t="n">
        <f aca="false">IFERROR(COUNTIFS('1. Raw Votes Log'!B:B,A11,'1. Raw Votes Log'!G:G,"ED"),0)</f>
        <v>0</v>
      </c>
      <c r="G11" s="4" t="n">
        <f aca="false">IFERROR(COUNTIFS('1. Raw Votes Log'!B:B,A11,'1. Raw Votes Log'!G:G,"EN"),0)</f>
        <v>0</v>
      </c>
      <c r="H11" s="4" t="n">
        <f aca="false">IFERROR(COUNTIFS('1. Raw Votes Log'!B:B,A11,'1. Raw Votes Log'!G:G,"LW"),0)</f>
        <v>0</v>
      </c>
      <c r="I11" s="4" t="n">
        <f aca="false">IFERROR(COUNTIFS('1. Raw Votes Log'!B:B,A11,'1. Raw Votes Log'!G:G,"LS"),0)</f>
        <v>0</v>
      </c>
      <c r="J11" s="4" t="n">
        <f aca="false">IFERROR(COUNTIFS('1. Raw Votes Log'!B:B,A11,'1. Raw Votes Log'!G:G,"PS"),0)</f>
        <v>0</v>
      </c>
      <c r="K11" s="4" t="n">
        <f aca="false">IFERROR(COUNTIFS('1. Raw Votes Log'!B:B,A11,'1. Raw Votes Log'!G:G,"PY"),0)</f>
        <v>0</v>
      </c>
      <c r="L11" s="4" t="n">
        <f aca="false">IFERROR(COUNTIFS('1. Raw Votes Log'!B:B,A11,'1. Raw Votes Log'!G:G,"SS"),0)</f>
        <v>0</v>
      </c>
      <c r="M11" s="22" t="n">
        <f aca="false">SUM(B11:L11)</f>
        <v>0</v>
      </c>
      <c r="N11" s="22" t="n">
        <f aca="false">COUNTIF(B11:L11,"&gt;0")</f>
        <v>0</v>
      </c>
    </row>
    <row r="12" customFormat="false" ht="15" hidden="false" customHeight="false" outlineLevel="0" collapsed="false">
      <c r="A12" s="16"/>
      <c r="B12" s="7" t="n">
        <f aca="false">IFERROR(COUNTIFS('1. Raw Votes Log'!B:B,A12,'1. Raw Votes Log'!G:G,"AH"),0)</f>
        <v>0</v>
      </c>
      <c r="C12" s="7" t="n">
        <f aca="false">IFERROR(COUNTIFS('1. Raw Votes Log'!B:B,A12,'1. Raw Votes Log'!G:G,"BE"),0)</f>
        <v>0</v>
      </c>
      <c r="D12" s="7" t="n">
        <f aca="false">IFERROR(COUNTIFS('1. Raw Votes Log'!B:B,A12,'1. Raw Votes Log'!G:G,"CH"),0)</f>
        <v>0</v>
      </c>
      <c r="E12" s="7" t="n">
        <f aca="false">IFERROR(COUNTIFS('1. Raw Votes Log'!B:B,A12,'1. Raw Votes Log'!G:G,"CS"),0)</f>
        <v>0</v>
      </c>
      <c r="F12" s="7" t="n">
        <f aca="false">IFERROR(COUNTIFS('1. Raw Votes Log'!B:B,A12,'1. Raw Votes Log'!G:G,"ED"),0)</f>
        <v>0</v>
      </c>
      <c r="G12" s="7" t="n">
        <f aca="false">IFERROR(COUNTIFS('1. Raw Votes Log'!B:B,A12,'1. Raw Votes Log'!G:G,"EN"),0)</f>
        <v>0</v>
      </c>
      <c r="H12" s="7" t="n">
        <f aca="false">IFERROR(COUNTIFS('1. Raw Votes Log'!B:B,A12,'1. Raw Votes Log'!G:G,"LW"),0)</f>
        <v>0</v>
      </c>
      <c r="I12" s="7" t="n">
        <f aca="false">IFERROR(COUNTIFS('1. Raw Votes Log'!B:B,A12,'1. Raw Votes Log'!G:G,"LS"),0)</f>
        <v>0</v>
      </c>
      <c r="J12" s="7" t="n">
        <f aca="false">IFERROR(COUNTIFS('1. Raw Votes Log'!B:B,A12,'1. Raw Votes Log'!G:G,"PS"),0)</f>
        <v>0</v>
      </c>
      <c r="K12" s="7" t="n">
        <f aca="false">IFERROR(COUNTIFS('1. Raw Votes Log'!B:B,A12,'1. Raw Votes Log'!G:G,"PY"),0)</f>
        <v>0</v>
      </c>
      <c r="L12" s="7" t="n">
        <f aca="false">IFERROR(COUNTIFS('1. Raw Votes Log'!B:B,A12,'1. Raw Votes Log'!G:G,"SS"),0)</f>
        <v>0</v>
      </c>
      <c r="M12" s="21" t="n">
        <f aca="false">SUM(B12:L12)</f>
        <v>0</v>
      </c>
      <c r="N12" s="21" t="n">
        <f aca="false">COUNTIF(B12:L12,"&gt;0")</f>
        <v>0</v>
      </c>
    </row>
    <row r="13" customFormat="false" ht="15" hidden="false" customHeight="false" outlineLevel="0" collapsed="false">
      <c r="A13" s="17"/>
      <c r="B13" s="4" t="n">
        <f aca="false">IFERROR(COUNTIFS('1. Raw Votes Log'!B:B,A13,'1. Raw Votes Log'!G:G,"AH"),0)</f>
        <v>0</v>
      </c>
      <c r="C13" s="4" t="n">
        <f aca="false">IFERROR(COUNTIFS('1. Raw Votes Log'!B:B,A13,'1. Raw Votes Log'!G:G,"BE"),0)</f>
        <v>0</v>
      </c>
      <c r="D13" s="4" t="n">
        <f aca="false">IFERROR(COUNTIFS('1. Raw Votes Log'!B:B,A13,'1. Raw Votes Log'!G:G,"CH"),0)</f>
        <v>0</v>
      </c>
      <c r="E13" s="4" t="n">
        <f aca="false">IFERROR(COUNTIFS('1. Raw Votes Log'!B:B,A13,'1. Raw Votes Log'!G:G,"CS"),0)</f>
        <v>0</v>
      </c>
      <c r="F13" s="4" t="n">
        <f aca="false">IFERROR(COUNTIFS('1. Raw Votes Log'!B:B,A13,'1. Raw Votes Log'!G:G,"ED"),0)</f>
        <v>0</v>
      </c>
      <c r="G13" s="4" t="n">
        <f aca="false">IFERROR(COUNTIFS('1. Raw Votes Log'!B:B,A13,'1. Raw Votes Log'!G:G,"EN"),0)</f>
        <v>0</v>
      </c>
      <c r="H13" s="4" t="n">
        <f aca="false">IFERROR(COUNTIFS('1. Raw Votes Log'!B:B,A13,'1. Raw Votes Log'!G:G,"LW"),0)</f>
        <v>0</v>
      </c>
      <c r="I13" s="4" t="n">
        <f aca="false">IFERROR(COUNTIFS('1. Raw Votes Log'!B:B,A13,'1. Raw Votes Log'!G:G,"LS"),0)</f>
        <v>0</v>
      </c>
      <c r="J13" s="4" t="n">
        <f aca="false">IFERROR(COUNTIFS('1. Raw Votes Log'!B:B,A13,'1. Raw Votes Log'!G:G,"PS"),0)</f>
        <v>0</v>
      </c>
      <c r="K13" s="4" t="n">
        <f aca="false">IFERROR(COUNTIFS('1. Raw Votes Log'!B:B,A13,'1. Raw Votes Log'!G:G,"PY"),0)</f>
        <v>0</v>
      </c>
      <c r="L13" s="4" t="n">
        <f aca="false">IFERROR(COUNTIFS('1. Raw Votes Log'!B:B,A13,'1. Raw Votes Log'!G:G,"SS"),0)</f>
        <v>0</v>
      </c>
      <c r="M13" s="22" t="n">
        <f aca="false">SUM(B13:L13)</f>
        <v>0</v>
      </c>
      <c r="N13" s="22" t="n">
        <f aca="false">COUNTIF(B13:L13,"&gt;0")</f>
        <v>0</v>
      </c>
    </row>
    <row r="14" customFormat="false" ht="15" hidden="false" customHeight="false" outlineLevel="0" collapsed="false">
      <c r="A14" s="16"/>
      <c r="B14" s="7" t="n">
        <f aca="false">IFERROR(COUNTIFS('1. Raw Votes Log'!B:B,A14,'1. Raw Votes Log'!G:G,"AH"),0)</f>
        <v>0</v>
      </c>
      <c r="C14" s="7" t="n">
        <f aca="false">IFERROR(COUNTIFS('1. Raw Votes Log'!B:B,A14,'1. Raw Votes Log'!G:G,"BE"),0)</f>
        <v>0</v>
      </c>
      <c r="D14" s="7" t="n">
        <f aca="false">IFERROR(COUNTIFS('1. Raw Votes Log'!B:B,A14,'1. Raw Votes Log'!G:G,"CH"),0)</f>
        <v>0</v>
      </c>
      <c r="E14" s="7" t="n">
        <f aca="false">IFERROR(COUNTIFS('1. Raw Votes Log'!B:B,A14,'1. Raw Votes Log'!G:G,"CS"),0)</f>
        <v>0</v>
      </c>
      <c r="F14" s="7" t="n">
        <f aca="false">IFERROR(COUNTIFS('1. Raw Votes Log'!B:B,A14,'1. Raw Votes Log'!G:G,"ED"),0)</f>
        <v>0</v>
      </c>
      <c r="G14" s="7" t="n">
        <f aca="false">IFERROR(COUNTIFS('1. Raw Votes Log'!B:B,A14,'1. Raw Votes Log'!G:G,"EN"),0)</f>
        <v>0</v>
      </c>
      <c r="H14" s="7" t="n">
        <f aca="false">IFERROR(COUNTIFS('1. Raw Votes Log'!B:B,A14,'1. Raw Votes Log'!G:G,"LW"),0)</f>
        <v>0</v>
      </c>
      <c r="I14" s="7" t="n">
        <f aca="false">IFERROR(COUNTIFS('1. Raw Votes Log'!B:B,A14,'1. Raw Votes Log'!G:G,"LS"),0)</f>
        <v>0</v>
      </c>
      <c r="J14" s="7" t="n">
        <f aca="false">IFERROR(COUNTIFS('1. Raw Votes Log'!B:B,A14,'1. Raw Votes Log'!G:G,"PS"),0)</f>
        <v>0</v>
      </c>
      <c r="K14" s="7" t="n">
        <f aca="false">IFERROR(COUNTIFS('1. Raw Votes Log'!B:B,A14,'1. Raw Votes Log'!G:G,"PY"),0)</f>
        <v>0</v>
      </c>
      <c r="L14" s="7" t="n">
        <f aca="false">IFERROR(COUNTIFS('1. Raw Votes Log'!B:B,A14,'1. Raw Votes Log'!G:G,"SS"),0)</f>
        <v>0</v>
      </c>
      <c r="M14" s="21" t="n">
        <f aca="false">SUM(B14:L14)</f>
        <v>0</v>
      </c>
      <c r="N14" s="21" t="n">
        <f aca="false">COUNTIF(B14:L14,"&gt;0")</f>
        <v>0</v>
      </c>
    </row>
    <row r="15" customFormat="false" ht="15" hidden="false" customHeight="false" outlineLevel="0" collapsed="false">
      <c r="A15" s="17"/>
      <c r="B15" s="4" t="n">
        <f aca="false">IFERROR(COUNTIFS('1. Raw Votes Log'!B:B,A15,'1. Raw Votes Log'!G:G,"AH"),0)</f>
        <v>0</v>
      </c>
      <c r="C15" s="4" t="n">
        <f aca="false">IFERROR(COUNTIFS('1. Raw Votes Log'!B:B,A15,'1. Raw Votes Log'!G:G,"BE"),0)</f>
        <v>0</v>
      </c>
      <c r="D15" s="4" t="n">
        <f aca="false">IFERROR(COUNTIFS('1. Raw Votes Log'!B:B,A15,'1. Raw Votes Log'!G:G,"CH"),0)</f>
        <v>0</v>
      </c>
      <c r="E15" s="4" t="n">
        <f aca="false">IFERROR(COUNTIFS('1. Raw Votes Log'!B:B,A15,'1. Raw Votes Log'!G:G,"CS"),0)</f>
        <v>0</v>
      </c>
      <c r="F15" s="4" t="n">
        <f aca="false">IFERROR(COUNTIFS('1. Raw Votes Log'!B:B,A15,'1. Raw Votes Log'!G:G,"ED"),0)</f>
        <v>0</v>
      </c>
      <c r="G15" s="4" t="n">
        <f aca="false">IFERROR(COUNTIFS('1. Raw Votes Log'!B:B,A15,'1. Raw Votes Log'!G:G,"EN"),0)</f>
        <v>0</v>
      </c>
      <c r="H15" s="4" t="n">
        <f aca="false">IFERROR(COUNTIFS('1. Raw Votes Log'!B:B,A15,'1. Raw Votes Log'!G:G,"LW"),0)</f>
        <v>0</v>
      </c>
      <c r="I15" s="4" t="n">
        <f aca="false">IFERROR(COUNTIFS('1. Raw Votes Log'!B:B,A15,'1. Raw Votes Log'!G:G,"LS"),0)</f>
        <v>0</v>
      </c>
      <c r="J15" s="4" t="n">
        <f aca="false">IFERROR(COUNTIFS('1. Raw Votes Log'!B:B,A15,'1. Raw Votes Log'!G:G,"PS"),0)</f>
        <v>0</v>
      </c>
      <c r="K15" s="4" t="n">
        <f aca="false">IFERROR(COUNTIFS('1. Raw Votes Log'!B:B,A15,'1. Raw Votes Log'!G:G,"PY"),0)</f>
        <v>0</v>
      </c>
      <c r="L15" s="4" t="n">
        <f aca="false">IFERROR(COUNTIFS('1. Raw Votes Log'!B:B,A15,'1. Raw Votes Log'!G:G,"SS"),0)</f>
        <v>0</v>
      </c>
      <c r="M15" s="22" t="n">
        <f aca="false">SUM(B15:L15)</f>
        <v>0</v>
      </c>
      <c r="N15" s="22" t="n">
        <f aca="false">COUNTIF(B15:L15,"&gt;0")</f>
        <v>0</v>
      </c>
    </row>
    <row r="16" customFormat="false" ht="15" hidden="false" customHeight="false" outlineLevel="0" collapsed="false">
      <c r="A16" s="16"/>
      <c r="B16" s="7" t="n">
        <f aca="false">IFERROR(COUNTIFS('1. Raw Votes Log'!B:B,A16,'1. Raw Votes Log'!G:G,"AH"),0)</f>
        <v>0</v>
      </c>
      <c r="C16" s="7" t="n">
        <f aca="false">IFERROR(COUNTIFS('1. Raw Votes Log'!B:B,A16,'1. Raw Votes Log'!G:G,"BE"),0)</f>
        <v>0</v>
      </c>
      <c r="D16" s="7" t="n">
        <f aca="false">IFERROR(COUNTIFS('1. Raw Votes Log'!B:B,A16,'1. Raw Votes Log'!G:G,"CH"),0)</f>
        <v>0</v>
      </c>
      <c r="E16" s="7" t="n">
        <f aca="false">IFERROR(COUNTIFS('1. Raw Votes Log'!B:B,A16,'1. Raw Votes Log'!G:G,"CS"),0)</f>
        <v>0</v>
      </c>
      <c r="F16" s="7" t="n">
        <f aca="false">IFERROR(COUNTIFS('1. Raw Votes Log'!B:B,A16,'1. Raw Votes Log'!G:G,"ED"),0)</f>
        <v>0</v>
      </c>
      <c r="G16" s="7" t="n">
        <f aca="false">IFERROR(COUNTIFS('1. Raw Votes Log'!B:B,A16,'1. Raw Votes Log'!G:G,"EN"),0)</f>
        <v>0</v>
      </c>
      <c r="H16" s="7" t="n">
        <f aca="false">IFERROR(COUNTIFS('1. Raw Votes Log'!B:B,A16,'1. Raw Votes Log'!G:G,"LW"),0)</f>
        <v>0</v>
      </c>
      <c r="I16" s="7" t="n">
        <f aca="false">IFERROR(COUNTIFS('1. Raw Votes Log'!B:B,A16,'1. Raw Votes Log'!G:G,"LS"),0)</f>
        <v>0</v>
      </c>
      <c r="J16" s="7" t="n">
        <f aca="false">IFERROR(COUNTIFS('1. Raw Votes Log'!B:B,A16,'1. Raw Votes Log'!G:G,"PS"),0)</f>
        <v>0</v>
      </c>
      <c r="K16" s="7" t="n">
        <f aca="false">IFERROR(COUNTIFS('1. Raw Votes Log'!B:B,A16,'1. Raw Votes Log'!G:G,"PY"),0)</f>
        <v>0</v>
      </c>
      <c r="L16" s="7" t="n">
        <f aca="false">IFERROR(COUNTIFS('1. Raw Votes Log'!B:B,A16,'1. Raw Votes Log'!G:G,"SS"),0)</f>
        <v>0</v>
      </c>
      <c r="M16" s="21" t="n">
        <f aca="false">SUM(B16:L16)</f>
        <v>0</v>
      </c>
      <c r="N16" s="21" t="n">
        <f aca="false">COUNTIF(B16:L16,"&gt;0")</f>
        <v>0</v>
      </c>
    </row>
    <row r="17" customFormat="false" ht="15" hidden="false" customHeight="false" outlineLevel="0" collapsed="false">
      <c r="A17" s="17"/>
      <c r="B17" s="4" t="n">
        <f aca="false">IFERROR(COUNTIFS('1. Raw Votes Log'!B:B,A17,'1. Raw Votes Log'!G:G,"AH"),0)</f>
        <v>0</v>
      </c>
      <c r="C17" s="4" t="n">
        <f aca="false">IFERROR(COUNTIFS('1. Raw Votes Log'!B:B,A17,'1. Raw Votes Log'!G:G,"BE"),0)</f>
        <v>0</v>
      </c>
      <c r="D17" s="4" t="n">
        <f aca="false">IFERROR(COUNTIFS('1. Raw Votes Log'!B:B,A17,'1. Raw Votes Log'!G:G,"CH"),0)</f>
        <v>0</v>
      </c>
      <c r="E17" s="4" t="n">
        <f aca="false">IFERROR(COUNTIFS('1. Raw Votes Log'!B:B,A17,'1. Raw Votes Log'!G:G,"CS"),0)</f>
        <v>0</v>
      </c>
      <c r="F17" s="4" t="n">
        <f aca="false">IFERROR(COUNTIFS('1. Raw Votes Log'!B:B,A17,'1. Raw Votes Log'!G:G,"ED"),0)</f>
        <v>0</v>
      </c>
      <c r="G17" s="4" t="n">
        <f aca="false">IFERROR(COUNTIFS('1. Raw Votes Log'!B:B,A17,'1. Raw Votes Log'!G:G,"EN"),0)</f>
        <v>0</v>
      </c>
      <c r="H17" s="4" t="n">
        <f aca="false">IFERROR(COUNTIFS('1. Raw Votes Log'!B:B,A17,'1. Raw Votes Log'!G:G,"LW"),0)</f>
        <v>0</v>
      </c>
      <c r="I17" s="4" t="n">
        <f aca="false">IFERROR(COUNTIFS('1. Raw Votes Log'!B:B,A17,'1. Raw Votes Log'!G:G,"LS"),0)</f>
        <v>0</v>
      </c>
      <c r="J17" s="4" t="n">
        <f aca="false">IFERROR(COUNTIFS('1. Raw Votes Log'!B:B,A17,'1. Raw Votes Log'!G:G,"PS"),0)</f>
        <v>0</v>
      </c>
      <c r="K17" s="4" t="n">
        <f aca="false">IFERROR(COUNTIFS('1. Raw Votes Log'!B:B,A17,'1. Raw Votes Log'!G:G,"PY"),0)</f>
        <v>0</v>
      </c>
      <c r="L17" s="4" t="n">
        <f aca="false">IFERROR(COUNTIFS('1. Raw Votes Log'!B:B,A17,'1. Raw Votes Log'!G:G,"SS"),0)</f>
        <v>0</v>
      </c>
      <c r="M17" s="22" t="n">
        <f aca="false">SUM(B17:L17)</f>
        <v>0</v>
      </c>
      <c r="N17" s="22" t="n">
        <f aca="false">COUNTIF(B17:L17,"&gt;0")</f>
        <v>0</v>
      </c>
    </row>
    <row r="18" customFormat="false" ht="15" hidden="false" customHeight="false" outlineLevel="0" collapsed="false">
      <c r="A18" s="16"/>
      <c r="B18" s="7" t="n">
        <f aca="false">IFERROR(COUNTIFS('1. Raw Votes Log'!B:B,A18,'1. Raw Votes Log'!G:G,"AH"),0)</f>
        <v>0</v>
      </c>
      <c r="C18" s="7" t="n">
        <f aca="false">IFERROR(COUNTIFS('1. Raw Votes Log'!B:B,A18,'1. Raw Votes Log'!G:G,"BE"),0)</f>
        <v>0</v>
      </c>
      <c r="D18" s="7" t="n">
        <f aca="false">IFERROR(COUNTIFS('1. Raw Votes Log'!B:B,A18,'1. Raw Votes Log'!G:G,"CH"),0)</f>
        <v>0</v>
      </c>
      <c r="E18" s="7" t="n">
        <f aca="false">IFERROR(COUNTIFS('1. Raw Votes Log'!B:B,A18,'1. Raw Votes Log'!G:G,"CS"),0)</f>
        <v>0</v>
      </c>
      <c r="F18" s="7" t="n">
        <f aca="false">IFERROR(COUNTIFS('1. Raw Votes Log'!B:B,A18,'1. Raw Votes Log'!G:G,"ED"),0)</f>
        <v>0</v>
      </c>
      <c r="G18" s="7" t="n">
        <f aca="false">IFERROR(COUNTIFS('1. Raw Votes Log'!B:B,A18,'1. Raw Votes Log'!G:G,"EN"),0)</f>
        <v>0</v>
      </c>
      <c r="H18" s="7" t="n">
        <f aca="false">IFERROR(COUNTIFS('1. Raw Votes Log'!B:B,A18,'1. Raw Votes Log'!G:G,"LW"),0)</f>
        <v>0</v>
      </c>
      <c r="I18" s="7" t="n">
        <f aca="false">IFERROR(COUNTIFS('1. Raw Votes Log'!B:B,A18,'1. Raw Votes Log'!G:G,"LS"),0)</f>
        <v>0</v>
      </c>
      <c r="J18" s="7" t="n">
        <f aca="false">IFERROR(COUNTIFS('1. Raw Votes Log'!B:B,A18,'1. Raw Votes Log'!G:G,"PS"),0)</f>
        <v>0</v>
      </c>
      <c r="K18" s="7" t="n">
        <f aca="false">IFERROR(COUNTIFS('1. Raw Votes Log'!B:B,A18,'1. Raw Votes Log'!G:G,"PY"),0)</f>
        <v>0</v>
      </c>
      <c r="L18" s="7" t="n">
        <f aca="false">IFERROR(COUNTIFS('1. Raw Votes Log'!B:B,A18,'1. Raw Votes Log'!G:G,"SS"),0)</f>
        <v>0</v>
      </c>
      <c r="M18" s="21" t="n">
        <f aca="false">SUM(B18:L18)</f>
        <v>0</v>
      </c>
      <c r="N18" s="21" t="n">
        <f aca="false">COUNTIF(B18:L18,"&gt;0")</f>
        <v>0</v>
      </c>
    </row>
    <row r="19" customFormat="false" ht="15" hidden="false" customHeight="false" outlineLevel="0" collapsed="false">
      <c r="A19" s="17"/>
      <c r="B19" s="4" t="n">
        <f aca="false">IFERROR(COUNTIFS('1. Raw Votes Log'!B:B,A19,'1. Raw Votes Log'!G:G,"AH"),0)</f>
        <v>0</v>
      </c>
      <c r="C19" s="4" t="n">
        <f aca="false">IFERROR(COUNTIFS('1. Raw Votes Log'!B:B,A19,'1. Raw Votes Log'!G:G,"BE"),0)</f>
        <v>0</v>
      </c>
      <c r="D19" s="4" t="n">
        <f aca="false">IFERROR(COUNTIFS('1. Raw Votes Log'!B:B,A19,'1. Raw Votes Log'!G:G,"CH"),0)</f>
        <v>0</v>
      </c>
      <c r="E19" s="4" t="n">
        <f aca="false">IFERROR(COUNTIFS('1. Raw Votes Log'!B:B,A19,'1. Raw Votes Log'!G:G,"CS"),0)</f>
        <v>0</v>
      </c>
      <c r="F19" s="4" t="n">
        <f aca="false">IFERROR(COUNTIFS('1. Raw Votes Log'!B:B,A19,'1. Raw Votes Log'!G:G,"ED"),0)</f>
        <v>0</v>
      </c>
      <c r="G19" s="4" t="n">
        <f aca="false">IFERROR(COUNTIFS('1. Raw Votes Log'!B:B,A19,'1. Raw Votes Log'!G:G,"EN"),0)</f>
        <v>0</v>
      </c>
      <c r="H19" s="4" t="n">
        <f aca="false">IFERROR(COUNTIFS('1. Raw Votes Log'!B:B,A19,'1. Raw Votes Log'!G:G,"LW"),0)</f>
        <v>0</v>
      </c>
      <c r="I19" s="4" t="n">
        <f aca="false">IFERROR(COUNTIFS('1. Raw Votes Log'!B:B,A19,'1. Raw Votes Log'!G:G,"LS"),0)</f>
        <v>0</v>
      </c>
      <c r="J19" s="4" t="n">
        <f aca="false">IFERROR(COUNTIFS('1. Raw Votes Log'!B:B,A19,'1. Raw Votes Log'!G:G,"PS"),0)</f>
        <v>0</v>
      </c>
      <c r="K19" s="4" t="n">
        <f aca="false">IFERROR(COUNTIFS('1. Raw Votes Log'!B:B,A19,'1. Raw Votes Log'!G:G,"PY"),0)</f>
        <v>0</v>
      </c>
      <c r="L19" s="4" t="n">
        <f aca="false">IFERROR(COUNTIFS('1. Raw Votes Log'!B:B,A19,'1. Raw Votes Log'!G:G,"SS"),0)</f>
        <v>0</v>
      </c>
      <c r="M19" s="22" t="n">
        <f aca="false">SUM(B19:L19)</f>
        <v>0</v>
      </c>
      <c r="N19" s="22" t="n">
        <f aca="false">COUNTIF(B19:L19,"&gt;0")</f>
        <v>0</v>
      </c>
    </row>
    <row r="20" customFormat="false" ht="15" hidden="false" customHeight="false" outlineLevel="0" collapsed="false">
      <c r="A20" s="16"/>
      <c r="B20" s="7" t="n">
        <f aca="false">IFERROR(COUNTIFS('1. Raw Votes Log'!B:B,A20,'1. Raw Votes Log'!G:G,"AH"),0)</f>
        <v>0</v>
      </c>
      <c r="C20" s="7" t="n">
        <f aca="false">IFERROR(COUNTIFS('1. Raw Votes Log'!B:B,A20,'1. Raw Votes Log'!G:G,"BE"),0)</f>
        <v>0</v>
      </c>
      <c r="D20" s="7" t="n">
        <f aca="false">IFERROR(COUNTIFS('1. Raw Votes Log'!B:B,A20,'1. Raw Votes Log'!G:G,"CH"),0)</f>
        <v>0</v>
      </c>
      <c r="E20" s="7" t="n">
        <f aca="false">IFERROR(COUNTIFS('1. Raw Votes Log'!B:B,A20,'1. Raw Votes Log'!G:G,"CS"),0)</f>
        <v>0</v>
      </c>
      <c r="F20" s="7" t="n">
        <f aca="false">IFERROR(COUNTIFS('1. Raw Votes Log'!B:B,A20,'1. Raw Votes Log'!G:G,"ED"),0)</f>
        <v>0</v>
      </c>
      <c r="G20" s="7" t="n">
        <f aca="false">IFERROR(COUNTIFS('1. Raw Votes Log'!B:B,A20,'1. Raw Votes Log'!G:G,"EN"),0)</f>
        <v>0</v>
      </c>
      <c r="H20" s="7" t="n">
        <f aca="false">IFERROR(COUNTIFS('1. Raw Votes Log'!B:B,A20,'1. Raw Votes Log'!G:G,"LW"),0)</f>
        <v>0</v>
      </c>
      <c r="I20" s="7" t="n">
        <f aca="false">IFERROR(COUNTIFS('1. Raw Votes Log'!B:B,A20,'1. Raw Votes Log'!G:G,"LS"),0)</f>
        <v>0</v>
      </c>
      <c r="J20" s="7" t="n">
        <f aca="false">IFERROR(COUNTIFS('1. Raw Votes Log'!B:B,A20,'1. Raw Votes Log'!G:G,"PS"),0)</f>
        <v>0</v>
      </c>
      <c r="K20" s="7" t="n">
        <f aca="false">IFERROR(COUNTIFS('1. Raw Votes Log'!B:B,A20,'1. Raw Votes Log'!G:G,"PY"),0)</f>
        <v>0</v>
      </c>
      <c r="L20" s="7" t="n">
        <f aca="false">IFERROR(COUNTIFS('1. Raw Votes Log'!B:B,A20,'1. Raw Votes Log'!G:G,"SS"),0)</f>
        <v>0</v>
      </c>
      <c r="M20" s="21" t="n">
        <f aca="false">SUM(B20:L20)</f>
        <v>0</v>
      </c>
      <c r="N20" s="21" t="n">
        <f aca="false">COUNTIF(B20:L20,"&gt;0")</f>
        <v>0</v>
      </c>
    </row>
    <row r="21" customFormat="false" ht="15" hidden="false" customHeight="false" outlineLevel="0" collapsed="false">
      <c r="A21" s="17"/>
      <c r="B21" s="4" t="n">
        <f aca="false">IFERROR(COUNTIFS('1. Raw Votes Log'!B:B,A21,'1. Raw Votes Log'!G:G,"AH"),0)</f>
        <v>0</v>
      </c>
      <c r="C21" s="4" t="n">
        <f aca="false">IFERROR(COUNTIFS('1. Raw Votes Log'!B:B,A21,'1. Raw Votes Log'!G:G,"BE"),0)</f>
        <v>0</v>
      </c>
      <c r="D21" s="4" t="n">
        <f aca="false">IFERROR(COUNTIFS('1. Raw Votes Log'!B:B,A21,'1. Raw Votes Log'!G:G,"CH"),0)</f>
        <v>0</v>
      </c>
      <c r="E21" s="4" t="n">
        <f aca="false">IFERROR(COUNTIFS('1. Raw Votes Log'!B:B,A21,'1. Raw Votes Log'!G:G,"CS"),0)</f>
        <v>0</v>
      </c>
      <c r="F21" s="4" t="n">
        <f aca="false">IFERROR(COUNTIFS('1. Raw Votes Log'!B:B,A21,'1. Raw Votes Log'!G:G,"ED"),0)</f>
        <v>0</v>
      </c>
      <c r="G21" s="4" t="n">
        <f aca="false">IFERROR(COUNTIFS('1. Raw Votes Log'!B:B,A21,'1. Raw Votes Log'!G:G,"EN"),0)</f>
        <v>0</v>
      </c>
      <c r="H21" s="4" t="n">
        <f aca="false">IFERROR(COUNTIFS('1. Raw Votes Log'!B:B,A21,'1. Raw Votes Log'!G:G,"LW"),0)</f>
        <v>0</v>
      </c>
      <c r="I21" s="4" t="n">
        <f aca="false">IFERROR(COUNTIFS('1. Raw Votes Log'!B:B,A21,'1. Raw Votes Log'!G:G,"LS"),0)</f>
        <v>0</v>
      </c>
      <c r="J21" s="4" t="n">
        <f aca="false">IFERROR(COUNTIFS('1. Raw Votes Log'!B:B,A21,'1. Raw Votes Log'!G:G,"PS"),0)</f>
        <v>0</v>
      </c>
      <c r="K21" s="4" t="n">
        <f aca="false">IFERROR(COUNTIFS('1. Raw Votes Log'!B:B,A21,'1. Raw Votes Log'!G:G,"PY"),0)</f>
        <v>0</v>
      </c>
      <c r="L21" s="4" t="n">
        <f aca="false">IFERROR(COUNTIFS('1. Raw Votes Log'!B:B,A21,'1. Raw Votes Log'!G:G,"SS"),0)</f>
        <v>0</v>
      </c>
      <c r="M21" s="22" t="n">
        <f aca="false">SUM(B21:L21)</f>
        <v>0</v>
      </c>
      <c r="N21" s="22" t="n">
        <f aca="false">COUNTIF(B21:L21,"&gt;0")</f>
        <v>0</v>
      </c>
    </row>
    <row r="22" customFormat="false" ht="15" hidden="false" customHeight="false" outlineLevel="0" collapsed="false">
      <c r="A22" s="16"/>
      <c r="B22" s="7" t="n">
        <f aca="false">IFERROR(COUNTIFS('1. Raw Votes Log'!B:B,A22,'1. Raw Votes Log'!G:G,"AH"),0)</f>
        <v>0</v>
      </c>
      <c r="C22" s="7" t="n">
        <f aca="false">IFERROR(COUNTIFS('1. Raw Votes Log'!B:B,A22,'1. Raw Votes Log'!G:G,"BE"),0)</f>
        <v>0</v>
      </c>
      <c r="D22" s="7" t="n">
        <f aca="false">IFERROR(COUNTIFS('1. Raw Votes Log'!B:B,A22,'1. Raw Votes Log'!G:G,"CH"),0)</f>
        <v>0</v>
      </c>
      <c r="E22" s="7" t="n">
        <f aca="false">IFERROR(COUNTIFS('1. Raw Votes Log'!B:B,A22,'1. Raw Votes Log'!G:G,"CS"),0)</f>
        <v>0</v>
      </c>
      <c r="F22" s="7" t="n">
        <f aca="false">IFERROR(COUNTIFS('1. Raw Votes Log'!B:B,A22,'1. Raw Votes Log'!G:G,"ED"),0)</f>
        <v>0</v>
      </c>
      <c r="G22" s="7" t="n">
        <f aca="false">IFERROR(COUNTIFS('1. Raw Votes Log'!B:B,A22,'1. Raw Votes Log'!G:G,"EN"),0)</f>
        <v>0</v>
      </c>
      <c r="H22" s="7" t="n">
        <f aca="false">IFERROR(COUNTIFS('1. Raw Votes Log'!B:B,A22,'1. Raw Votes Log'!G:G,"LW"),0)</f>
        <v>0</v>
      </c>
      <c r="I22" s="7" t="n">
        <f aca="false">IFERROR(COUNTIFS('1. Raw Votes Log'!B:B,A22,'1. Raw Votes Log'!G:G,"LS"),0)</f>
        <v>0</v>
      </c>
      <c r="J22" s="7" t="n">
        <f aca="false">IFERROR(COUNTIFS('1. Raw Votes Log'!B:B,A22,'1. Raw Votes Log'!G:G,"PS"),0)</f>
        <v>0</v>
      </c>
      <c r="K22" s="7" t="n">
        <f aca="false">IFERROR(COUNTIFS('1. Raw Votes Log'!B:B,A22,'1. Raw Votes Log'!G:G,"PY"),0)</f>
        <v>0</v>
      </c>
      <c r="L22" s="7" t="n">
        <f aca="false">IFERROR(COUNTIFS('1. Raw Votes Log'!B:B,A22,'1. Raw Votes Log'!G:G,"SS"),0)</f>
        <v>0</v>
      </c>
      <c r="M22" s="21" t="n">
        <f aca="false">SUM(B22:L22)</f>
        <v>0</v>
      </c>
      <c r="N22" s="21" t="n">
        <f aca="false">COUNTIF(B22:L22,"&gt;0")</f>
        <v>0</v>
      </c>
    </row>
    <row r="23" customFormat="false" ht="15" hidden="false" customHeight="false" outlineLevel="0" collapsed="false">
      <c r="A23" s="17"/>
      <c r="B23" s="4" t="n">
        <f aca="false">IFERROR(COUNTIFS('1. Raw Votes Log'!B:B,A23,'1. Raw Votes Log'!G:G,"AH"),0)</f>
        <v>0</v>
      </c>
      <c r="C23" s="4" t="n">
        <f aca="false">IFERROR(COUNTIFS('1. Raw Votes Log'!B:B,A23,'1. Raw Votes Log'!G:G,"BE"),0)</f>
        <v>0</v>
      </c>
      <c r="D23" s="4" t="n">
        <f aca="false">IFERROR(COUNTIFS('1. Raw Votes Log'!B:B,A23,'1. Raw Votes Log'!G:G,"CH"),0)</f>
        <v>0</v>
      </c>
      <c r="E23" s="4" t="n">
        <f aca="false">IFERROR(COUNTIFS('1. Raw Votes Log'!B:B,A23,'1. Raw Votes Log'!G:G,"CS"),0)</f>
        <v>0</v>
      </c>
      <c r="F23" s="4" t="n">
        <f aca="false">IFERROR(COUNTIFS('1. Raw Votes Log'!B:B,A23,'1. Raw Votes Log'!G:G,"ED"),0)</f>
        <v>0</v>
      </c>
      <c r="G23" s="4" t="n">
        <f aca="false">IFERROR(COUNTIFS('1. Raw Votes Log'!B:B,A23,'1. Raw Votes Log'!G:G,"EN"),0)</f>
        <v>0</v>
      </c>
      <c r="H23" s="4" t="n">
        <f aca="false">IFERROR(COUNTIFS('1. Raw Votes Log'!B:B,A23,'1. Raw Votes Log'!G:G,"LW"),0)</f>
        <v>0</v>
      </c>
      <c r="I23" s="4" t="n">
        <f aca="false">IFERROR(COUNTIFS('1. Raw Votes Log'!B:B,A23,'1. Raw Votes Log'!G:G,"LS"),0)</f>
        <v>0</v>
      </c>
      <c r="J23" s="4" t="n">
        <f aca="false">IFERROR(COUNTIFS('1. Raw Votes Log'!B:B,A23,'1. Raw Votes Log'!G:G,"PS"),0)</f>
        <v>0</v>
      </c>
      <c r="K23" s="4" t="n">
        <f aca="false">IFERROR(COUNTIFS('1. Raw Votes Log'!B:B,A23,'1. Raw Votes Log'!G:G,"PY"),0)</f>
        <v>0</v>
      </c>
      <c r="L23" s="4" t="n">
        <f aca="false">IFERROR(COUNTIFS('1. Raw Votes Log'!B:B,A23,'1. Raw Votes Log'!G:G,"SS"),0)</f>
        <v>0</v>
      </c>
      <c r="M23" s="22" t="n">
        <f aca="false">SUM(B23:L23)</f>
        <v>0</v>
      </c>
      <c r="N23" s="22" t="n">
        <f aca="false">COUNTIF(B23:L23,"&gt;0")</f>
        <v>0</v>
      </c>
    </row>
    <row r="24" customFormat="false" ht="15" hidden="false" customHeight="false" outlineLevel="0" collapsed="false">
      <c r="A24" s="16"/>
      <c r="B24" s="7" t="n">
        <f aca="false">IFERROR(COUNTIFS('1. Raw Votes Log'!B:B,A24,'1. Raw Votes Log'!G:G,"AH"),0)</f>
        <v>0</v>
      </c>
      <c r="C24" s="7" t="n">
        <f aca="false">IFERROR(COUNTIFS('1. Raw Votes Log'!B:B,A24,'1. Raw Votes Log'!G:G,"BE"),0)</f>
        <v>0</v>
      </c>
      <c r="D24" s="7" t="n">
        <f aca="false">IFERROR(COUNTIFS('1. Raw Votes Log'!B:B,A24,'1. Raw Votes Log'!G:G,"CH"),0)</f>
        <v>0</v>
      </c>
      <c r="E24" s="7" t="n">
        <f aca="false">IFERROR(COUNTIFS('1. Raw Votes Log'!B:B,A24,'1. Raw Votes Log'!G:G,"CS"),0)</f>
        <v>0</v>
      </c>
      <c r="F24" s="7" t="n">
        <f aca="false">IFERROR(COUNTIFS('1. Raw Votes Log'!B:B,A24,'1. Raw Votes Log'!G:G,"ED"),0)</f>
        <v>0</v>
      </c>
      <c r="G24" s="7" t="n">
        <f aca="false">IFERROR(COUNTIFS('1. Raw Votes Log'!B:B,A24,'1. Raw Votes Log'!G:G,"EN"),0)</f>
        <v>0</v>
      </c>
      <c r="H24" s="7" t="n">
        <f aca="false">IFERROR(COUNTIFS('1. Raw Votes Log'!B:B,A24,'1. Raw Votes Log'!G:G,"LW"),0)</f>
        <v>0</v>
      </c>
      <c r="I24" s="7" t="n">
        <f aca="false">IFERROR(COUNTIFS('1. Raw Votes Log'!B:B,A24,'1. Raw Votes Log'!G:G,"LS"),0)</f>
        <v>0</v>
      </c>
      <c r="J24" s="7" t="n">
        <f aca="false">IFERROR(COUNTIFS('1. Raw Votes Log'!B:B,A24,'1. Raw Votes Log'!G:G,"PS"),0)</f>
        <v>0</v>
      </c>
      <c r="K24" s="7" t="n">
        <f aca="false">IFERROR(COUNTIFS('1. Raw Votes Log'!B:B,A24,'1. Raw Votes Log'!G:G,"PY"),0)</f>
        <v>0</v>
      </c>
      <c r="L24" s="7" t="n">
        <f aca="false">IFERROR(COUNTIFS('1. Raw Votes Log'!B:B,A24,'1. Raw Votes Log'!G:G,"SS"),0)</f>
        <v>0</v>
      </c>
      <c r="M24" s="21" t="n">
        <f aca="false">SUM(B24:L24)</f>
        <v>0</v>
      </c>
      <c r="N24" s="21" t="n">
        <f aca="false">COUNTIF(B24:L24,"&gt;0")</f>
        <v>0</v>
      </c>
    </row>
    <row r="25" customFormat="false" ht="15" hidden="false" customHeight="false" outlineLevel="0" collapsed="false">
      <c r="A25" s="17"/>
      <c r="B25" s="4" t="n">
        <f aca="false">IFERROR(COUNTIFS('1. Raw Votes Log'!B:B,A25,'1. Raw Votes Log'!G:G,"AH"),0)</f>
        <v>0</v>
      </c>
      <c r="C25" s="4" t="n">
        <f aca="false">IFERROR(COUNTIFS('1. Raw Votes Log'!B:B,A25,'1. Raw Votes Log'!G:G,"BE"),0)</f>
        <v>0</v>
      </c>
      <c r="D25" s="4" t="n">
        <f aca="false">IFERROR(COUNTIFS('1. Raw Votes Log'!B:B,A25,'1. Raw Votes Log'!G:G,"CH"),0)</f>
        <v>0</v>
      </c>
      <c r="E25" s="4" t="n">
        <f aca="false">IFERROR(COUNTIFS('1. Raw Votes Log'!B:B,A25,'1. Raw Votes Log'!G:G,"CS"),0)</f>
        <v>0</v>
      </c>
      <c r="F25" s="4" t="n">
        <f aca="false">IFERROR(COUNTIFS('1. Raw Votes Log'!B:B,A25,'1. Raw Votes Log'!G:G,"ED"),0)</f>
        <v>0</v>
      </c>
      <c r="G25" s="4" t="n">
        <f aca="false">IFERROR(COUNTIFS('1. Raw Votes Log'!B:B,A25,'1. Raw Votes Log'!G:G,"EN"),0)</f>
        <v>0</v>
      </c>
      <c r="H25" s="4" t="n">
        <f aca="false">IFERROR(COUNTIFS('1. Raw Votes Log'!B:B,A25,'1. Raw Votes Log'!G:G,"LW"),0)</f>
        <v>0</v>
      </c>
      <c r="I25" s="4" t="n">
        <f aca="false">IFERROR(COUNTIFS('1. Raw Votes Log'!B:B,A25,'1. Raw Votes Log'!G:G,"LS"),0)</f>
        <v>0</v>
      </c>
      <c r="J25" s="4" t="n">
        <f aca="false">IFERROR(COUNTIFS('1. Raw Votes Log'!B:B,A25,'1. Raw Votes Log'!G:G,"PS"),0)</f>
        <v>0</v>
      </c>
      <c r="K25" s="4" t="n">
        <f aca="false">IFERROR(COUNTIFS('1. Raw Votes Log'!B:B,A25,'1. Raw Votes Log'!G:G,"PY"),0)</f>
        <v>0</v>
      </c>
      <c r="L25" s="4" t="n">
        <f aca="false">IFERROR(COUNTIFS('1. Raw Votes Log'!B:B,A25,'1. Raw Votes Log'!G:G,"SS"),0)</f>
        <v>0</v>
      </c>
      <c r="M25" s="22" t="n">
        <f aca="false">SUM(B25:L25)</f>
        <v>0</v>
      </c>
      <c r="N25" s="22" t="n">
        <f aca="false">COUNTIF(B25:L25,"&gt;0")</f>
        <v>0</v>
      </c>
    </row>
    <row r="26" customFormat="false" ht="15" hidden="false" customHeight="false" outlineLevel="0" collapsed="false">
      <c r="A26" s="16"/>
      <c r="B26" s="7" t="n">
        <f aca="false">IFERROR(COUNTIFS('1. Raw Votes Log'!B:B,A26,'1. Raw Votes Log'!G:G,"AH"),0)</f>
        <v>0</v>
      </c>
      <c r="C26" s="7" t="n">
        <f aca="false">IFERROR(COUNTIFS('1. Raw Votes Log'!B:B,A26,'1. Raw Votes Log'!G:G,"BE"),0)</f>
        <v>0</v>
      </c>
      <c r="D26" s="7" t="n">
        <f aca="false">IFERROR(COUNTIFS('1. Raw Votes Log'!B:B,A26,'1. Raw Votes Log'!G:G,"CH"),0)</f>
        <v>0</v>
      </c>
      <c r="E26" s="7" t="n">
        <f aca="false">IFERROR(COUNTIFS('1. Raw Votes Log'!B:B,A26,'1. Raw Votes Log'!G:G,"CS"),0)</f>
        <v>0</v>
      </c>
      <c r="F26" s="7" t="n">
        <f aca="false">IFERROR(COUNTIFS('1. Raw Votes Log'!B:B,A26,'1. Raw Votes Log'!G:G,"ED"),0)</f>
        <v>0</v>
      </c>
      <c r="G26" s="7" t="n">
        <f aca="false">IFERROR(COUNTIFS('1. Raw Votes Log'!B:B,A26,'1. Raw Votes Log'!G:G,"EN"),0)</f>
        <v>0</v>
      </c>
      <c r="H26" s="7" t="n">
        <f aca="false">IFERROR(COUNTIFS('1. Raw Votes Log'!B:B,A26,'1. Raw Votes Log'!G:G,"LW"),0)</f>
        <v>0</v>
      </c>
      <c r="I26" s="7" t="n">
        <f aca="false">IFERROR(COUNTIFS('1. Raw Votes Log'!B:B,A26,'1. Raw Votes Log'!G:G,"LS"),0)</f>
        <v>0</v>
      </c>
      <c r="J26" s="7" t="n">
        <f aca="false">IFERROR(COUNTIFS('1. Raw Votes Log'!B:B,A26,'1. Raw Votes Log'!G:G,"PS"),0)</f>
        <v>0</v>
      </c>
      <c r="K26" s="7" t="n">
        <f aca="false">IFERROR(COUNTIFS('1. Raw Votes Log'!B:B,A26,'1. Raw Votes Log'!G:G,"PY"),0)</f>
        <v>0</v>
      </c>
      <c r="L26" s="7" t="n">
        <f aca="false">IFERROR(COUNTIFS('1. Raw Votes Log'!B:B,A26,'1. Raw Votes Log'!G:G,"SS"),0)</f>
        <v>0</v>
      </c>
      <c r="M26" s="21" t="n">
        <f aca="false">SUM(B26:L26)</f>
        <v>0</v>
      </c>
      <c r="N26" s="21" t="n">
        <f aca="false">COUNTIF(B26:L26,"&gt;0")</f>
        <v>0</v>
      </c>
    </row>
    <row r="27" customFormat="false" ht="15" hidden="false" customHeight="false" outlineLevel="0" collapsed="false">
      <c r="A27" s="17"/>
      <c r="B27" s="4" t="n">
        <f aca="false">IFERROR(COUNTIFS('1. Raw Votes Log'!B:B,A27,'1. Raw Votes Log'!G:G,"AH"),0)</f>
        <v>0</v>
      </c>
      <c r="C27" s="4" t="n">
        <f aca="false">IFERROR(COUNTIFS('1. Raw Votes Log'!B:B,A27,'1. Raw Votes Log'!G:G,"BE"),0)</f>
        <v>0</v>
      </c>
      <c r="D27" s="4" t="n">
        <f aca="false">IFERROR(COUNTIFS('1. Raw Votes Log'!B:B,A27,'1. Raw Votes Log'!G:G,"CH"),0)</f>
        <v>0</v>
      </c>
      <c r="E27" s="4" t="n">
        <f aca="false">IFERROR(COUNTIFS('1. Raw Votes Log'!B:B,A27,'1. Raw Votes Log'!G:G,"CS"),0)</f>
        <v>0</v>
      </c>
      <c r="F27" s="4" t="n">
        <f aca="false">IFERROR(COUNTIFS('1. Raw Votes Log'!B:B,A27,'1. Raw Votes Log'!G:G,"ED"),0)</f>
        <v>0</v>
      </c>
      <c r="G27" s="4" t="n">
        <f aca="false">IFERROR(COUNTIFS('1. Raw Votes Log'!B:B,A27,'1. Raw Votes Log'!G:G,"EN"),0)</f>
        <v>0</v>
      </c>
      <c r="H27" s="4" t="n">
        <f aca="false">IFERROR(COUNTIFS('1. Raw Votes Log'!B:B,A27,'1. Raw Votes Log'!G:G,"LW"),0)</f>
        <v>0</v>
      </c>
      <c r="I27" s="4" t="n">
        <f aca="false">IFERROR(COUNTIFS('1. Raw Votes Log'!B:B,A27,'1. Raw Votes Log'!G:G,"LS"),0)</f>
        <v>0</v>
      </c>
      <c r="J27" s="4" t="n">
        <f aca="false">IFERROR(COUNTIFS('1. Raw Votes Log'!B:B,A27,'1. Raw Votes Log'!G:G,"PS"),0)</f>
        <v>0</v>
      </c>
      <c r="K27" s="4" t="n">
        <f aca="false">IFERROR(COUNTIFS('1. Raw Votes Log'!B:B,A27,'1. Raw Votes Log'!G:G,"PY"),0)</f>
        <v>0</v>
      </c>
      <c r="L27" s="4" t="n">
        <f aca="false">IFERROR(COUNTIFS('1. Raw Votes Log'!B:B,A27,'1. Raw Votes Log'!G:G,"SS"),0)</f>
        <v>0</v>
      </c>
      <c r="M27" s="22" t="n">
        <f aca="false">SUM(B27:L27)</f>
        <v>0</v>
      </c>
      <c r="N27" s="22" t="n">
        <f aca="false">COUNTIF(B27:L27,"&gt;0")</f>
        <v>0</v>
      </c>
    </row>
    <row r="28" customFormat="false" ht="15" hidden="false" customHeight="false" outlineLevel="0" collapsed="false">
      <c r="A28" s="16"/>
      <c r="B28" s="7" t="n">
        <f aca="false">IFERROR(COUNTIFS('1. Raw Votes Log'!B:B,A28,'1. Raw Votes Log'!G:G,"AH"),0)</f>
        <v>0</v>
      </c>
      <c r="C28" s="7" t="n">
        <f aca="false">IFERROR(COUNTIFS('1. Raw Votes Log'!B:B,A28,'1. Raw Votes Log'!G:G,"BE"),0)</f>
        <v>0</v>
      </c>
      <c r="D28" s="7" t="n">
        <f aca="false">IFERROR(COUNTIFS('1. Raw Votes Log'!B:B,A28,'1. Raw Votes Log'!G:G,"CH"),0)</f>
        <v>0</v>
      </c>
      <c r="E28" s="7" t="n">
        <f aca="false">IFERROR(COUNTIFS('1. Raw Votes Log'!B:B,A28,'1. Raw Votes Log'!G:G,"CS"),0)</f>
        <v>0</v>
      </c>
      <c r="F28" s="7" t="n">
        <f aca="false">IFERROR(COUNTIFS('1. Raw Votes Log'!B:B,A28,'1. Raw Votes Log'!G:G,"ED"),0)</f>
        <v>0</v>
      </c>
      <c r="G28" s="7" t="n">
        <f aca="false">IFERROR(COUNTIFS('1. Raw Votes Log'!B:B,A28,'1. Raw Votes Log'!G:G,"EN"),0)</f>
        <v>0</v>
      </c>
      <c r="H28" s="7" t="n">
        <f aca="false">IFERROR(COUNTIFS('1. Raw Votes Log'!B:B,A28,'1. Raw Votes Log'!G:G,"LW"),0)</f>
        <v>0</v>
      </c>
      <c r="I28" s="7" t="n">
        <f aca="false">IFERROR(COUNTIFS('1. Raw Votes Log'!B:B,A28,'1. Raw Votes Log'!G:G,"LS"),0)</f>
        <v>0</v>
      </c>
      <c r="J28" s="7" t="n">
        <f aca="false">IFERROR(COUNTIFS('1. Raw Votes Log'!B:B,A28,'1. Raw Votes Log'!G:G,"PS"),0)</f>
        <v>0</v>
      </c>
      <c r="K28" s="7" t="n">
        <f aca="false">IFERROR(COUNTIFS('1. Raw Votes Log'!B:B,A28,'1. Raw Votes Log'!G:G,"PY"),0)</f>
        <v>0</v>
      </c>
      <c r="L28" s="7" t="n">
        <f aca="false">IFERROR(COUNTIFS('1. Raw Votes Log'!B:B,A28,'1. Raw Votes Log'!G:G,"SS"),0)</f>
        <v>0</v>
      </c>
      <c r="M28" s="21" t="n">
        <f aca="false">SUM(B28:L28)</f>
        <v>0</v>
      </c>
      <c r="N28" s="21" t="n">
        <f aca="false">COUNTIF(B28:L28,"&gt;0")</f>
        <v>0</v>
      </c>
    </row>
    <row r="29" customFormat="false" ht="15" hidden="false" customHeight="false" outlineLevel="0" collapsed="false">
      <c r="A29" s="17"/>
      <c r="B29" s="4" t="n">
        <f aca="false">IFERROR(COUNTIFS('1. Raw Votes Log'!B:B,A29,'1. Raw Votes Log'!G:G,"AH"),0)</f>
        <v>0</v>
      </c>
      <c r="C29" s="4" t="n">
        <f aca="false">IFERROR(COUNTIFS('1. Raw Votes Log'!B:B,A29,'1. Raw Votes Log'!G:G,"BE"),0)</f>
        <v>0</v>
      </c>
      <c r="D29" s="4" t="n">
        <f aca="false">IFERROR(COUNTIFS('1. Raw Votes Log'!B:B,A29,'1. Raw Votes Log'!G:G,"CH"),0)</f>
        <v>0</v>
      </c>
      <c r="E29" s="4" t="n">
        <f aca="false">IFERROR(COUNTIFS('1. Raw Votes Log'!B:B,A29,'1. Raw Votes Log'!G:G,"CS"),0)</f>
        <v>0</v>
      </c>
      <c r="F29" s="4" t="n">
        <f aca="false">IFERROR(COUNTIFS('1. Raw Votes Log'!B:B,A29,'1. Raw Votes Log'!G:G,"ED"),0)</f>
        <v>0</v>
      </c>
      <c r="G29" s="4" t="n">
        <f aca="false">IFERROR(COUNTIFS('1. Raw Votes Log'!B:B,A29,'1. Raw Votes Log'!G:G,"EN"),0)</f>
        <v>0</v>
      </c>
      <c r="H29" s="4" t="n">
        <f aca="false">IFERROR(COUNTIFS('1. Raw Votes Log'!B:B,A29,'1. Raw Votes Log'!G:G,"LW"),0)</f>
        <v>0</v>
      </c>
      <c r="I29" s="4" t="n">
        <f aca="false">IFERROR(COUNTIFS('1. Raw Votes Log'!B:B,A29,'1. Raw Votes Log'!G:G,"LS"),0)</f>
        <v>0</v>
      </c>
      <c r="J29" s="4" t="n">
        <f aca="false">IFERROR(COUNTIFS('1. Raw Votes Log'!B:B,A29,'1. Raw Votes Log'!G:G,"PS"),0)</f>
        <v>0</v>
      </c>
      <c r="K29" s="4" t="n">
        <f aca="false">IFERROR(COUNTIFS('1. Raw Votes Log'!B:B,A29,'1. Raw Votes Log'!G:G,"PY"),0)</f>
        <v>0</v>
      </c>
      <c r="L29" s="4" t="n">
        <f aca="false">IFERROR(COUNTIFS('1. Raw Votes Log'!B:B,A29,'1. Raw Votes Log'!G:G,"SS"),0)</f>
        <v>0</v>
      </c>
      <c r="M29" s="22" t="n">
        <f aca="false">SUM(B29:L29)</f>
        <v>0</v>
      </c>
      <c r="N29" s="22" t="n">
        <f aca="false">COUNTIF(B29:L29,"&gt;0")</f>
        <v>0</v>
      </c>
    </row>
    <row r="30" customFormat="false" ht="15" hidden="false" customHeight="false" outlineLevel="0" collapsed="false">
      <c r="A30" s="16"/>
      <c r="B30" s="7" t="n">
        <f aca="false">IFERROR(COUNTIFS('1. Raw Votes Log'!B:B,A30,'1. Raw Votes Log'!G:G,"AH"),0)</f>
        <v>0</v>
      </c>
      <c r="C30" s="7" t="n">
        <f aca="false">IFERROR(COUNTIFS('1. Raw Votes Log'!B:B,A30,'1. Raw Votes Log'!G:G,"BE"),0)</f>
        <v>0</v>
      </c>
      <c r="D30" s="7" t="n">
        <f aca="false">IFERROR(COUNTIFS('1. Raw Votes Log'!B:B,A30,'1. Raw Votes Log'!G:G,"CH"),0)</f>
        <v>0</v>
      </c>
      <c r="E30" s="7" t="n">
        <f aca="false">IFERROR(COUNTIFS('1. Raw Votes Log'!B:B,A30,'1. Raw Votes Log'!G:G,"CS"),0)</f>
        <v>0</v>
      </c>
      <c r="F30" s="7" t="n">
        <f aca="false">IFERROR(COUNTIFS('1. Raw Votes Log'!B:B,A30,'1. Raw Votes Log'!G:G,"ED"),0)</f>
        <v>0</v>
      </c>
      <c r="G30" s="7" t="n">
        <f aca="false">IFERROR(COUNTIFS('1. Raw Votes Log'!B:B,A30,'1. Raw Votes Log'!G:G,"EN"),0)</f>
        <v>0</v>
      </c>
      <c r="H30" s="7" t="n">
        <f aca="false">IFERROR(COUNTIFS('1. Raw Votes Log'!B:B,A30,'1. Raw Votes Log'!G:G,"LW"),0)</f>
        <v>0</v>
      </c>
      <c r="I30" s="7" t="n">
        <f aca="false">IFERROR(COUNTIFS('1. Raw Votes Log'!B:B,A30,'1. Raw Votes Log'!G:G,"LS"),0)</f>
        <v>0</v>
      </c>
      <c r="J30" s="7" t="n">
        <f aca="false">IFERROR(COUNTIFS('1. Raw Votes Log'!B:B,A30,'1. Raw Votes Log'!G:G,"PS"),0)</f>
        <v>0</v>
      </c>
      <c r="K30" s="7" t="n">
        <f aca="false">IFERROR(COUNTIFS('1. Raw Votes Log'!B:B,A30,'1. Raw Votes Log'!G:G,"PY"),0)</f>
        <v>0</v>
      </c>
      <c r="L30" s="7" t="n">
        <f aca="false">IFERROR(COUNTIFS('1. Raw Votes Log'!B:B,A30,'1. Raw Votes Log'!G:G,"SS"),0)</f>
        <v>0</v>
      </c>
      <c r="M30" s="21" t="n">
        <f aca="false">SUM(B30:L30)</f>
        <v>0</v>
      </c>
      <c r="N30" s="21" t="n">
        <f aca="false">COUNTIF(B30:L30,"&gt;0")</f>
        <v>0</v>
      </c>
    </row>
    <row r="31" customFormat="false" ht="15" hidden="false" customHeight="false" outlineLevel="0" collapsed="false">
      <c r="A31" s="17"/>
      <c r="B31" s="4" t="n">
        <f aca="false">IFERROR(COUNTIFS('1. Raw Votes Log'!B:B,A31,'1. Raw Votes Log'!G:G,"AH"),0)</f>
        <v>0</v>
      </c>
      <c r="C31" s="4" t="n">
        <f aca="false">IFERROR(COUNTIFS('1. Raw Votes Log'!B:B,A31,'1. Raw Votes Log'!G:G,"BE"),0)</f>
        <v>0</v>
      </c>
      <c r="D31" s="4" t="n">
        <f aca="false">IFERROR(COUNTIFS('1. Raw Votes Log'!B:B,A31,'1. Raw Votes Log'!G:G,"CH"),0)</f>
        <v>0</v>
      </c>
      <c r="E31" s="4" t="n">
        <f aca="false">IFERROR(COUNTIFS('1. Raw Votes Log'!B:B,A31,'1. Raw Votes Log'!G:G,"CS"),0)</f>
        <v>0</v>
      </c>
      <c r="F31" s="4" t="n">
        <f aca="false">IFERROR(COUNTIFS('1. Raw Votes Log'!B:B,A31,'1. Raw Votes Log'!G:G,"ED"),0)</f>
        <v>0</v>
      </c>
      <c r="G31" s="4" t="n">
        <f aca="false">IFERROR(COUNTIFS('1. Raw Votes Log'!B:B,A31,'1. Raw Votes Log'!G:G,"EN"),0)</f>
        <v>0</v>
      </c>
      <c r="H31" s="4" t="n">
        <f aca="false">IFERROR(COUNTIFS('1. Raw Votes Log'!B:B,A31,'1. Raw Votes Log'!G:G,"LW"),0)</f>
        <v>0</v>
      </c>
      <c r="I31" s="4" t="n">
        <f aca="false">IFERROR(COUNTIFS('1. Raw Votes Log'!B:B,A31,'1. Raw Votes Log'!G:G,"LS"),0)</f>
        <v>0</v>
      </c>
      <c r="J31" s="4" t="n">
        <f aca="false">IFERROR(COUNTIFS('1. Raw Votes Log'!B:B,A31,'1. Raw Votes Log'!G:G,"PS"),0)</f>
        <v>0</v>
      </c>
      <c r="K31" s="4" t="n">
        <f aca="false">IFERROR(COUNTIFS('1. Raw Votes Log'!B:B,A31,'1. Raw Votes Log'!G:G,"PY"),0)</f>
        <v>0</v>
      </c>
      <c r="L31" s="4" t="n">
        <f aca="false">IFERROR(COUNTIFS('1. Raw Votes Log'!B:B,A31,'1. Raw Votes Log'!G:G,"SS"),0)</f>
        <v>0</v>
      </c>
      <c r="M31" s="22" t="n">
        <f aca="false">SUM(B31:L31)</f>
        <v>0</v>
      </c>
      <c r="N31" s="22" t="n">
        <f aca="false">COUNTIF(B31:L31,"&gt;0")</f>
        <v>0</v>
      </c>
    </row>
    <row r="32" customFormat="false" ht="15" hidden="false" customHeight="false" outlineLevel="0" collapsed="false">
      <c r="A32" s="16"/>
      <c r="B32" s="7" t="n">
        <f aca="false">IFERROR(COUNTIFS('1. Raw Votes Log'!B:B,A32,'1. Raw Votes Log'!G:G,"AH"),0)</f>
        <v>0</v>
      </c>
      <c r="C32" s="7" t="n">
        <f aca="false">IFERROR(COUNTIFS('1. Raw Votes Log'!B:B,A32,'1. Raw Votes Log'!G:G,"BE"),0)</f>
        <v>0</v>
      </c>
      <c r="D32" s="7" t="n">
        <f aca="false">IFERROR(COUNTIFS('1. Raw Votes Log'!B:B,A32,'1. Raw Votes Log'!G:G,"CH"),0)</f>
        <v>0</v>
      </c>
      <c r="E32" s="7" t="n">
        <f aca="false">IFERROR(COUNTIFS('1. Raw Votes Log'!B:B,A32,'1. Raw Votes Log'!G:G,"CS"),0)</f>
        <v>0</v>
      </c>
      <c r="F32" s="7" t="n">
        <f aca="false">IFERROR(COUNTIFS('1. Raw Votes Log'!B:B,A32,'1. Raw Votes Log'!G:G,"ED"),0)</f>
        <v>0</v>
      </c>
      <c r="G32" s="7" t="n">
        <f aca="false">IFERROR(COUNTIFS('1. Raw Votes Log'!B:B,A32,'1. Raw Votes Log'!G:G,"EN"),0)</f>
        <v>0</v>
      </c>
      <c r="H32" s="7" t="n">
        <f aca="false">IFERROR(COUNTIFS('1. Raw Votes Log'!B:B,A32,'1. Raw Votes Log'!G:G,"LW"),0)</f>
        <v>0</v>
      </c>
      <c r="I32" s="7" t="n">
        <f aca="false">IFERROR(COUNTIFS('1. Raw Votes Log'!B:B,A32,'1. Raw Votes Log'!G:G,"LS"),0)</f>
        <v>0</v>
      </c>
      <c r="J32" s="7" t="n">
        <f aca="false">IFERROR(COUNTIFS('1. Raw Votes Log'!B:B,A32,'1. Raw Votes Log'!G:G,"PS"),0)</f>
        <v>0</v>
      </c>
      <c r="K32" s="7" t="n">
        <f aca="false">IFERROR(COUNTIFS('1. Raw Votes Log'!B:B,A32,'1. Raw Votes Log'!G:G,"PY"),0)</f>
        <v>0</v>
      </c>
      <c r="L32" s="7" t="n">
        <f aca="false">IFERROR(COUNTIFS('1. Raw Votes Log'!B:B,A32,'1. Raw Votes Log'!G:G,"SS"),0)</f>
        <v>0</v>
      </c>
      <c r="M32" s="21" t="n">
        <f aca="false">SUM(B32:L32)</f>
        <v>0</v>
      </c>
      <c r="N32" s="21" t="n">
        <f aca="false">COUNTIF(B32:L32,"&gt;0")</f>
        <v>0</v>
      </c>
    </row>
    <row r="33" customFormat="false" ht="15" hidden="false" customHeight="false" outlineLevel="0" collapsed="false">
      <c r="A33" s="17"/>
      <c r="B33" s="4" t="n">
        <f aca="false">IFERROR(COUNTIFS('1. Raw Votes Log'!B:B,A33,'1. Raw Votes Log'!G:G,"AH"),0)</f>
        <v>0</v>
      </c>
      <c r="C33" s="4" t="n">
        <f aca="false">IFERROR(COUNTIFS('1. Raw Votes Log'!B:B,A33,'1. Raw Votes Log'!G:G,"BE"),0)</f>
        <v>0</v>
      </c>
      <c r="D33" s="4" t="n">
        <f aca="false">IFERROR(COUNTIFS('1. Raw Votes Log'!B:B,A33,'1. Raw Votes Log'!G:G,"CH"),0)</f>
        <v>0</v>
      </c>
      <c r="E33" s="4" t="n">
        <f aca="false">IFERROR(COUNTIFS('1. Raw Votes Log'!B:B,A33,'1. Raw Votes Log'!G:G,"CS"),0)</f>
        <v>0</v>
      </c>
      <c r="F33" s="4" t="n">
        <f aca="false">IFERROR(COUNTIFS('1. Raw Votes Log'!B:B,A33,'1. Raw Votes Log'!G:G,"ED"),0)</f>
        <v>0</v>
      </c>
      <c r="G33" s="4" t="n">
        <f aca="false">IFERROR(COUNTIFS('1. Raw Votes Log'!B:B,A33,'1. Raw Votes Log'!G:G,"EN"),0)</f>
        <v>0</v>
      </c>
      <c r="H33" s="4" t="n">
        <f aca="false">IFERROR(COUNTIFS('1. Raw Votes Log'!B:B,A33,'1. Raw Votes Log'!G:G,"LW"),0)</f>
        <v>0</v>
      </c>
      <c r="I33" s="4" t="n">
        <f aca="false">IFERROR(COUNTIFS('1. Raw Votes Log'!B:B,A33,'1. Raw Votes Log'!G:G,"LS"),0)</f>
        <v>0</v>
      </c>
      <c r="J33" s="4" t="n">
        <f aca="false">IFERROR(COUNTIFS('1. Raw Votes Log'!B:B,A33,'1. Raw Votes Log'!G:G,"PS"),0)</f>
        <v>0</v>
      </c>
      <c r="K33" s="4" t="n">
        <f aca="false">IFERROR(COUNTIFS('1. Raw Votes Log'!B:B,A33,'1. Raw Votes Log'!G:G,"PY"),0)</f>
        <v>0</v>
      </c>
      <c r="L33" s="4" t="n">
        <f aca="false">IFERROR(COUNTIFS('1. Raw Votes Log'!B:B,A33,'1. Raw Votes Log'!G:G,"SS"),0)</f>
        <v>0</v>
      </c>
      <c r="M33" s="22" t="n">
        <f aca="false">SUM(B33:L33)</f>
        <v>0</v>
      </c>
      <c r="N33" s="22" t="n">
        <f aca="false">COUNTIF(B33:L33,"&gt;0")</f>
        <v>0</v>
      </c>
    </row>
    <row r="34" customFormat="false" ht="15" hidden="false" customHeight="false" outlineLevel="0" collapsed="false">
      <c r="A34" s="16"/>
      <c r="B34" s="7" t="n">
        <f aca="false">IFERROR(COUNTIFS('1. Raw Votes Log'!B:B,A34,'1. Raw Votes Log'!G:G,"AH"),0)</f>
        <v>0</v>
      </c>
      <c r="C34" s="7" t="n">
        <f aca="false">IFERROR(COUNTIFS('1. Raw Votes Log'!B:B,A34,'1. Raw Votes Log'!G:G,"BE"),0)</f>
        <v>0</v>
      </c>
      <c r="D34" s="7" t="n">
        <f aca="false">IFERROR(COUNTIFS('1. Raw Votes Log'!B:B,A34,'1. Raw Votes Log'!G:G,"CH"),0)</f>
        <v>0</v>
      </c>
      <c r="E34" s="7" t="n">
        <f aca="false">IFERROR(COUNTIFS('1. Raw Votes Log'!B:B,A34,'1. Raw Votes Log'!G:G,"CS"),0)</f>
        <v>0</v>
      </c>
      <c r="F34" s="7" t="n">
        <f aca="false">IFERROR(COUNTIFS('1. Raw Votes Log'!B:B,A34,'1. Raw Votes Log'!G:G,"ED"),0)</f>
        <v>0</v>
      </c>
      <c r="G34" s="7" t="n">
        <f aca="false">IFERROR(COUNTIFS('1. Raw Votes Log'!B:B,A34,'1. Raw Votes Log'!G:G,"EN"),0)</f>
        <v>0</v>
      </c>
      <c r="H34" s="7" t="n">
        <f aca="false">IFERROR(COUNTIFS('1. Raw Votes Log'!B:B,A34,'1. Raw Votes Log'!G:G,"LW"),0)</f>
        <v>0</v>
      </c>
      <c r="I34" s="7" t="n">
        <f aca="false">IFERROR(COUNTIFS('1. Raw Votes Log'!B:B,A34,'1. Raw Votes Log'!G:G,"LS"),0)</f>
        <v>0</v>
      </c>
      <c r="J34" s="7" t="n">
        <f aca="false">IFERROR(COUNTIFS('1. Raw Votes Log'!B:B,A34,'1. Raw Votes Log'!G:G,"PS"),0)</f>
        <v>0</v>
      </c>
      <c r="K34" s="7" t="n">
        <f aca="false">IFERROR(COUNTIFS('1. Raw Votes Log'!B:B,A34,'1. Raw Votes Log'!G:G,"PY"),0)</f>
        <v>0</v>
      </c>
      <c r="L34" s="7" t="n">
        <f aca="false">IFERROR(COUNTIFS('1. Raw Votes Log'!B:B,A34,'1. Raw Votes Log'!G:G,"SS"),0)</f>
        <v>0</v>
      </c>
      <c r="M34" s="21" t="n">
        <f aca="false">SUM(B34:L34)</f>
        <v>0</v>
      </c>
      <c r="N34" s="21" t="n">
        <f aca="false">COUNTIF(B34:L34,"&gt;0")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33.75" hidden="false" customHeight="true" outlineLevel="0" collapsed="false">
      <c r="A1" s="32" t="s">
        <v>375</v>
      </c>
      <c r="B1" s="32"/>
      <c r="C1" s="32"/>
      <c r="D1" s="32"/>
      <c r="E1" s="32"/>
      <c r="F1" s="32"/>
      <c r="G1" s="32"/>
    </row>
    <row r="2" customFormat="false" ht="25.5" hidden="false" customHeight="true" outlineLevel="0" collapsed="false">
      <c r="A2" s="33" t="s">
        <v>376</v>
      </c>
      <c r="B2" s="33"/>
      <c r="C2" s="33"/>
      <c r="D2" s="33"/>
      <c r="E2" s="33"/>
      <c r="F2" s="33"/>
      <c r="G2" s="33"/>
    </row>
    <row r="3" customFormat="false" ht="23.85" hidden="false" customHeight="false" outlineLevel="0" collapsed="false">
      <c r="A3" s="34" t="s">
        <v>377</v>
      </c>
      <c r="B3" s="34" t="s">
        <v>157</v>
      </c>
      <c r="C3" s="34" t="s">
        <v>378</v>
      </c>
      <c r="D3" s="34" t="s">
        <v>162</v>
      </c>
      <c r="E3" s="34" t="s">
        <v>379</v>
      </c>
      <c r="F3" s="34" t="s">
        <v>380</v>
      </c>
      <c r="G3" s="34" t="s">
        <v>381</v>
      </c>
    </row>
    <row r="4" customFormat="false" ht="15" hidden="false" customHeight="false" outlineLevel="0" collapsed="false">
      <c r="A4" s="7" t="n">
        <v>1</v>
      </c>
      <c r="B4" s="16"/>
      <c r="C4" s="16"/>
      <c r="D4" s="16"/>
      <c r="E4" s="7" t="str">
        <f aca="false">IF(AND(C4&lt;&gt;"",D4&lt;&gt;""),C4&amp;"-"&amp;D4,"")</f>
        <v/>
      </c>
      <c r="F4" s="7" t="n">
        <f aca="false">IFERROR(COUNTIFS('1. Raw Votes Log'!B:B,B4,'1. Raw Votes Log'!E:E,C4,'1. Raw Votes Log'!G:G,D4),0)</f>
        <v>0</v>
      </c>
      <c r="G4" s="35" t="n">
        <f aca="false">IFERROR(F4/COUNTIF('1. Raw Votes Log'!B:B,B4)*100,0)</f>
        <v>0</v>
      </c>
    </row>
    <row r="5" customFormat="false" ht="15" hidden="false" customHeight="false" outlineLevel="0" collapsed="false">
      <c r="A5" s="4" t="n">
        <v>2</v>
      </c>
      <c r="B5" s="17"/>
      <c r="C5" s="17"/>
      <c r="D5" s="17"/>
      <c r="E5" s="4" t="str">
        <f aca="false">IF(AND(C5&lt;&gt;"",D5&lt;&gt;""),C5&amp;"-"&amp;D5,"")</f>
        <v/>
      </c>
      <c r="F5" s="4" t="n">
        <f aca="false">IFERROR(COUNTIFS('1. Raw Votes Log'!B:B,B5,'1. Raw Votes Log'!E:E,C5,'1. Raw Votes Log'!G:G,D5),0)</f>
        <v>0</v>
      </c>
      <c r="G5" s="36" t="n">
        <f aca="false">IFERROR(F5/COUNTIF('1. Raw Votes Log'!B:B,B5)*100,0)</f>
        <v>0</v>
      </c>
    </row>
    <row r="6" customFormat="false" ht="15" hidden="false" customHeight="false" outlineLevel="0" collapsed="false">
      <c r="A6" s="7" t="n">
        <v>3</v>
      </c>
      <c r="B6" s="16"/>
      <c r="C6" s="16"/>
      <c r="D6" s="16"/>
      <c r="E6" s="7" t="str">
        <f aca="false">IF(AND(C6&lt;&gt;"",D6&lt;&gt;""),C6&amp;"-"&amp;D6,"")</f>
        <v/>
      </c>
      <c r="F6" s="7" t="n">
        <f aca="false">IFERROR(COUNTIFS('1. Raw Votes Log'!B:B,B6,'1. Raw Votes Log'!E:E,C6,'1. Raw Votes Log'!G:G,D6),0)</f>
        <v>0</v>
      </c>
      <c r="G6" s="35" t="n">
        <f aca="false">IFERROR(F6/COUNTIF('1. Raw Votes Log'!B:B,B6)*100,0)</f>
        <v>0</v>
      </c>
    </row>
    <row r="7" customFormat="false" ht="15" hidden="false" customHeight="false" outlineLevel="0" collapsed="false">
      <c r="A7" s="4" t="n">
        <v>4</v>
      </c>
      <c r="B7" s="17"/>
      <c r="C7" s="17"/>
      <c r="D7" s="17"/>
      <c r="E7" s="4" t="str">
        <f aca="false">IF(AND(C7&lt;&gt;"",D7&lt;&gt;""),C7&amp;"-"&amp;D7,"")</f>
        <v/>
      </c>
      <c r="F7" s="4" t="n">
        <f aca="false">IFERROR(COUNTIFS('1. Raw Votes Log'!B:B,B7,'1. Raw Votes Log'!E:E,C7,'1. Raw Votes Log'!G:G,D7),0)</f>
        <v>0</v>
      </c>
      <c r="G7" s="36" t="n">
        <f aca="false">IFERROR(F7/COUNTIF('1. Raw Votes Log'!B:B,B7)*100,0)</f>
        <v>0</v>
      </c>
    </row>
    <row r="8" customFormat="false" ht="15" hidden="false" customHeight="false" outlineLevel="0" collapsed="false">
      <c r="A8" s="7" t="n">
        <v>5</v>
      </c>
      <c r="B8" s="16"/>
      <c r="C8" s="16"/>
      <c r="D8" s="16"/>
      <c r="E8" s="7" t="str">
        <f aca="false">IF(AND(C8&lt;&gt;"",D8&lt;&gt;""),C8&amp;"-"&amp;D8,"")</f>
        <v/>
      </c>
      <c r="F8" s="7" t="n">
        <f aca="false">IFERROR(COUNTIFS('1. Raw Votes Log'!B:B,B8,'1. Raw Votes Log'!E:E,C8,'1. Raw Votes Log'!G:G,D8),0)</f>
        <v>0</v>
      </c>
      <c r="G8" s="35" t="n">
        <f aca="false">IFERROR(F8/COUNTIF('1. Raw Votes Log'!B:B,B8)*100,0)</f>
        <v>0</v>
      </c>
    </row>
    <row r="9" customFormat="false" ht="15" hidden="false" customHeight="false" outlineLevel="0" collapsed="false">
      <c r="A9" s="4" t="n">
        <v>6</v>
      </c>
      <c r="B9" s="17"/>
      <c r="C9" s="17"/>
      <c r="D9" s="17"/>
      <c r="E9" s="4" t="str">
        <f aca="false">IF(AND(C9&lt;&gt;"",D9&lt;&gt;""),C9&amp;"-"&amp;D9,"")</f>
        <v/>
      </c>
      <c r="F9" s="4" t="n">
        <f aca="false">IFERROR(COUNTIFS('1. Raw Votes Log'!B:B,B9,'1. Raw Votes Log'!E:E,C9,'1. Raw Votes Log'!G:G,D9),0)</f>
        <v>0</v>
      </c>
      <c r="G9" s="36" t="n">
        <f aca="false">IFERROR(F9/COUNTIF('1. Raw Votes Log'!B:B,B9)*100,0)</f>
        <v>0</v>
      </c>
    </row>
    <row r="10" customFormat="false" ht="15" hidden="false" customHeight="false" outlineLevel="0" collapsed="false">
      <c r="A10" s="7" t="n">
        <v>7</v>
      </c>
      <c r="B10" s="16"/>
      <c r="C10" s="16"/>
      <c r="D10" s="16"/>
      <c r="E10" s="7" t="str">
        <f aca="false">IF(AND(C10&lt;&gt;"",D10&lt;&gt;""),C10&amp;"-"&amp;D10,"")</f>
        <v/>
      </c>
      <c r="F10" s="7" t="n">
        <f aca="false">IFERROR(COUNTIFS('1. Raw Votes Log'!B:B,B10,'1. Raw Votes Log'!E:E,C10,'1. Raw Votes Log'!G:G,D10),0)</f>
        <v>0</v>
      </c>
      <c r="G10" s="35" t="n">
        <f aca="false">IFERROR(F10/COUNTIF('1. Raw Votes Log'!B:B,B10)*100,0)</f>
        <v>0</v>
      </c>
    </row>
    <row r="11" customFormat="false" ht="15" hidden="false" customHeight="false" outlineLevel="0" collapsed="false">
      <c r="A11" s="4" t="n">
        <v>8</v>
      </c>
      <c r="B11" s="17"/>
      <c r="C11" s="17"/>
      <c r="D11" s="17"/>
      <c r="E11" s="4" t="str">
        <f aca="false">IF(AND(C11&lt;&gt;"",D11&lt;&gt;""),C11&amp;"-"&amp;D11,"")</f>
        <v/>
      </c>
      <c r="F11" s="4" t="n">
        <f aca="false">IFERROR(COUNTIFS('1. Raw Votes Log'!B:B,B11,'1. Raw Votes Log'!E:E,C11,'1. Raw Votes Log'!G:G,D11),0)</f>
        <v>0</v>
      </c>
      <c r="G11" s="36" t="n">
        <f aca="false">IFERROR(F11/COUNTIF('1. Raw Votes Log'!B:B,B11)*100,0)</f>
        <v>0</v>
      </c>
    </row>
    <row r="12" customFormat="false" ht="15" hidden="false" customHeight="false" outlineLevel="0" collapsed="false">
      <c r="A12" s="7" t="n">
        <v>9</v>
      </c>
      <c r="B12" s="16"/>
      <c r="C12" s="16"/>
      <c r="D12" s="16"/>
      <c r="E12" s="7" t="str">
        <f aca="false">IF(AND(C12&lt;&gt;"",D12&lt;&gt;""),C12&amp;"-"&amp;D12,"")</f>
        <v/>
      </c>
      <c r="F12" s="7" t="n">
        <f aca="false">IFERROR(COUNTIFS('1. Raw Votes Log'!B:B,B12,'1. Raw Votes Log'!E:E,C12,'1. Raw Votes Log'!G:G,D12),0)</f>
        <v>0</v>
      </c>
      <c r="G12" s="35" t="n">
        <f aca="false">IFERROR(F12/COUNTIF('1. Raw Votes Log'!B:B,B12)*100,0)</f>
        <v>0</v>
      </c>
    </row>
    <row r="13" customFormat="false" ht="15" hidden="false" customHeight="false" outlineLevel="0" collapsed="false">
      <c r="A13" s="4" t="n">
        <v>10</v>
      </c>
      <c r="B13" s="17"/>
      <c r="C13" s="17"/>
      <c r="D13" s="17"/>
      <c r="E13" s="4" t="str">
        <f aca="false">IF(AND(C13&lt;&gt;"",D13&lt;&gt;""),C13&amp;"-"&amp;D13,"")</f>
        <v/>
      </c>
      <c r="F13" s="4" t="n">
        <f aca="false">IFERROR(COUNTIFS('1. Raw Votes Log'!B:B,B13,'1. Raw Votes Log'!E:E,C13,'1. Raw Votes Log'!G:G,D13),0)</f>
        <v>0</v>
      </c>
      <c r="G13" s="36" t="n">
        <f aca="false">IFERROR(F13/COUNTIF('1. Raw Votes Log'!B:B,B13)*100,0)</f>
        <v>0</v>
      </c>
    </row>
    <row r="14" customFormat="false" ht="15" hidden="false" customHeight="false" outlineLevel="0" collapsed="false">
      <c r="A14" s="7" t="n">
        <v>11</v>
      </c>
      <c r="B14" s="16"/>
      <c r="C14" s="16"/>
      <c r="D14" s="16"/>
      <c r="E14" s="7" t="str">
        <f aca="false">IF(AND(C14&lt;&gt;"",D14&lt;&gt;""),C14&amp;"-"&amp;D14,"")</f>
        <v/>
      </c>
      <c r="F14" s="7" t="n">
        <f aca="false">IFERROR(COUNTIFS('1. Raw Votes Log'!B:B,B14,'1. Raw Votes Log'!E:E,C14,'1. Raw Votes Log'!G:G,D14),0)</f>
        <v>0</v>
      </c>
      <c r="G14" s="35" t="n">
        <f aca="false">IFERROR(F14/COUNTIF('1. Raw Votes Log'!B:B,B14)*100,0)</f>
        <v>0</v>
      </c>
    </row>
    <row r="15" customFormat="false" ht="15" hidden="false" customHeight="false" outlineLevel="0" collapsed="false">
      <c r="A15" s="4" t="n">
        <v>12</v>
      </c>
      <c r="B15" s="17"/>
      <c r="C15" s="17"/>
      <c r="D15" s="17"/>
      <c r="E15" s="4" t="str">
        <f aca="false">IF(AND(C15&lt;&gt;"",D15&lt;&gt;""),C15&amp;"-"&amp;D15,"")</f>
        <v/>
      </c>
      <c r="F15" s="4" t="n">
        <f aca="false">IFERROR(COUNTIFS('1. Raw Votes Log'!B:B,B15,'1. Raw Votes Log'!E:E,C15,'1. Raw Votes Log'!G:G,D15),0)</f>
        <v>0</v>
      </c>
      <c r="G15" s="36" t="n">
        <f aca="false">IFERROR(F15/COUNTIF('1. Raw Votes Log'!B:B,B15)*100,0)</f>
        <v>0</v>
      </c>
    </row>
    <row r="16" customFormat="false" ht="15" hidden="false" customHeight="false" outlineLevel="0" collapsed="false">
      <c r="A16" s="7" t="n">
        <v>13</v>
      </c>
      <c r="B16" s="16"/>
      <c r="C16" s="16"/>
      <c r="D16" s="16"/>
      <c r="E16" s="7" t="str">
        <f aca="false">IF(AND(C16&lt;&gt;"",D16&lt;&gt;""),C16&amp;"-"&amp;D16,"")</f>
        <v/>
      </c>
      <c r="F16" s="7" t="n">
        <f aca="false">IFERROR(COUNTIFS('1. Raw Votes Log'!B:B,B16,'1. Raw Votes Log'!E:E,C16,'1. Raw Votes Log'!G:G,D16),0)</f>
        <v>0</v>
      </c>
      <c r="G16" s="35" t="n">
        <f aca="false">IFERROR(F16/COUNTIF('1. Raw Votes Log'!B:B,B16)*100,0)</f>
        <v>0</v>
      </c>
    </row>
    <row r="17" customFormat="false" ht="15" hidden="false" customHeight="false" outlineLevel="0" collapsed="false">
      <c r="A17" s="4" t="n">
        <v>14</v>
      </c>
      <c r="B17" s="17"/>
      <c r="C17" s="17"/>
      <c r="D17" s="17"/>
      <c r="E17" s="4" t="str">
        <f aca="false">IF(AND(C17&lt;&gt;"",D17&lt;&gt;""),C17&amp;"-"&amp;D17,"")</f>
        <v/>
      </c>
      <c r="F17" s="4" t="n">
        <f aca="false">IFERROR(COUNTIFS('1. Raw Votes Log'!B:B,B17,'1. Raw Votes Log'!E:E,C17,'1. Raw Votes Log'!G:G,D17),0)</f>
        <v>0</v>
      </c>
      <c r="G17" s="36" t="n">
        <f aca="false">IFERROR(F17/COUNTIF('1. Raw Votes Log'!B:B,B17)*100,0)</f>
        <v>0</v>
      </c>
    </row>
    <row r="18" customFormat="false" ht="15" hidden="false" customHeight="false" outlineLevel="0" collapsed="false">
      <c r="A18" s="7" t="n">
        <v>15</v>
      </c>
      <c r="B18" s="16"/>
      <c r="C18" s="16"/>
      <c r="D18" s="16"/>
      <c r="E18" s="7" t="str">
        <f aca="false">IF(AND(C18&lt;&gt;"",D18&lt;&gt;""),C18&amp;"-"&amp;D18,"")</f>
        <v/>
      </c>
      <c r="F18" s="7" t="n">
        <f aca="false">IFERROR(COUNTIFS('1. Raw Votes Log'!B:B,B18,'1. Raw Votes Log'!E:E,C18,'1. Raw Votes Log'!G:G,D18),0)</f>
        <v>0</v>
      </c>
      <c r="G18" s="35" t="n">
        <f aca="false">IFERROR(F18/COUNTIF('1. Raw Votes Log'!B:B,B18)*100,0)</f>
        <v>0</v>
      </c>
    </row>
    <row r="19" customFormat="false" ht="15" hidden="false" customHeight="false" outlineLevel="0" collapsed="false">
      <c r="A19" s="4" t="n">
        <v>16</v>
      </c>
      <c r="B19" s="17"/>
      <c r="C19" s="17"/>
      <c r="D19" s="17"/>
      <c r="E19" s="4" t="str">
        <f aca="false">IF(AND(C19&lt;&gt;"",D19&lt;&gt;""),C19&amp;"-"&amp;D19,"")</f>
        <v/>
      </c>
      <c r="F19" s="4" t="n">
        <f aca="false">IFERROR(COUNTIFS('1. Raw Votes Log'!B:B,B19,'1. Raw Votes Log'!E:E,C19,'1. Raw Votes Log'!G:G,D19),0)</f>
        <v>0</v>
      </c>
      <c r="G19" s="36" t="n">
        <f aca="false">IFERROR(F19/COUNTIF('1. Raw Votes Log'!B:B,B19)*100,0)</f>
        <v>0</v>
      </c>
    </row>
    <row r="20" customFormat="false" ht="15" hidden="false" customHeight="false" outlineLevel="0" collapsed="false">
      <c r="A20" s="7" t="n">
        <v>17</v>
      </c>
      <c r="B20" s="16"/>
      <c r="C20" s="16"/>
      <c r="D20" s="16"/>
      <c r="E20" s="7" t="str">
        <f aca="false">IF(AND(C20&lt;&gt;"",D20&lt;&gt;""),C20&amp;"-"&amp;D20,"")</f>
        <v/>
      </c>
      <c r="F20" s="7" t="n">
        <f aca="false">IFERROR(COUNTIFS('1. Raw Votes Log'!B:B,B20,'1. Raw Votes Log'!E:E,C20,'1. Raw Votes Log'!G:G,D20),0)</f>
        <v>0</v>
      </c>
      <c r="G20" s="35" t="n">
        <f aca="false">IFERROR(F20/COUNTIF('1. Raw Votes Log'!B:B,B20)*100,0)</f>
        <v>0</v>
      </c>
    </row>
    <row r="21" customFormat="false" ht="15" hidden="false" customHeight="false" outlineLevel="0" collapsed="false">
      <c r="A21" s="4" t="n">
        <v>18</v>
      </c>
      <c r="B21" s="17"/>
      <c r="C21" s="17"/>
      <c r="D21" s="17"/>
      <c r="E21" s="4" t="str">
        <f aca="false">IF(AND(C21&lt;&gt;"",D21&lt;&gt;""),C21&amp;"-"&amp;D21,"")</f>
        <v/>
      </c>
      <c r="F21" s="4" t="n">
        <f aca="false">IFERROR(COUNTIFS('1. Raw Votes Log'!B:B,B21,'1. Raw Votes Log'!E:E,C21,'1. Raw Votes Log'!G:G,D21),0)</f>
        <v>0</v>
      </c>
      <c r="G21" s="36" t="n">
        <f aca="false">IFERROR(F21/COUNTIF('1. Raw Votes Log'!B:B,B21)*100,0)</f>
        <v>0</v>
      </c>
    </row>
    <row r="22" customFormat="false" ht="15" hidden="false" customHeight="false" outlineLevel="0" collapsed="false">
      <c r="A22" s="7" t="n">
        <v>19</v>
      </c>
      <c r="B22" s="16"/>
      <c r="C22" s="16"/>
      <c r="D22" s="16"/>
      <c r="E22" s="7" t="str">
        <f aca="false">IF(AND(C22&lt;&gt;"",D22&lt;&gt;""),C22&amp;"-"&amp;D22,"")</f>
        <v/>
      </c>
      <c r="F22" s="7" t="n">
        <f aca="false">IFERROR(COUNTIFS('1. Raw Votes Log'!B:B,B22,'1. Raw Votes Log'!E:E,C22,'1. Raw Votes Log'!G:G,D22),0)</f>
        <v>0</v>
      </c>
      <c r="G22" s="35" t="n">
        <f aca="false">IFERROR(F22/COUNTIF('1. Raw Votes Log'!B:B,B22)*100,0)</f>
        <v>0</v>
      </c>
    </row>
    <row r="23" customFormat="false" ht="15" hidden="false" customHeight="false" outlineLevel="0" collapsed="false">
      <c r="A23" s="4" t="n">
        <v>20</v>
      </c>
      <c r="B23" s="17"/>
      <c r="C23" s="17"/>
      <c r="D23" s="17"/>
      <c r="E23" s="4" t="str">
        <f aca="false">IF(AND(C23&lt;&gt;"",D23&lt;&gt;""),C23&amp;"-"&amp;D23,"")</f>
        <v/>
      </c>
      <c r="F23" s="4" t="n">
        <f aca="false">IFERROR(COUNTIFS('1. Raw Votes Log'!B:B,B23,'1. Raw Votes Log'!E:E,C23,'1. Raw Votes Log'!G:G,D23),0)</f>
        <v>0</v>
      </c>
      <c r="G23" s="36" t="n">
        <f aca="false">IFERROR(F23/COUNTIF('1. Raw Votes Log'!B:B,B23)*100,0)</f>
        <v>0</v>
      </c>
    </row>
    <row r="24" customFormat="false" ht="15" hidden="false" customHeight="false" outlineLevel="0" collapsed="false">
      <c r="A24" s="7" t="n">
        <v>21</v>
      </c>
      <c r="B24" s="16"/>
      <c r="C24" s="16"/>
      <c r="D24" s="16"/>
      <c r="E24" s="7" t="str">
        <f aca="false">IF(AND(C24&lt;&gt;"",D24&lt;&gt;""),C24&amp;"-"&amp;D24,"")</f>
        <v/>
      </c>
      <c r="F24" s="7" t="n">
        <f aca="false">IFERROR(COUNTIFS('1. Raw Votes Log'!B:B,B24,'1. Raw Votes Log'!E:E,C24,'1. Raw Votes Log'!G:G,D24),0)</f>
        <v>0</v>
      </c>
      <c r="G24" s="35" t="n">
        <f aca="false">IFERROR(F24/COUNTIF('1. Raw Votes Log'!B:B,B24)*100,0)</f>
        <v>0</v>
      </c>
    </row>
    <row r="25" customFormat="false" ht="15" hidden="false" customHeight="false" outlineLevel="0" collapsed="false">
      <c r="A25" s="4" t="n">
        <v>22</v>
      </c>
      <c r="B25" s="17"/>
      <c r="C25" s="17"/>
      <c r="D25" s="17"/>
      <c r="E25" s="4" t="str">
        <f aca="false">IF(AND(C25&lt;&gt;"",D25&lt;&gt;""),C25&amp;"-"&amp;D25,"")</f>
        <v/>
      </c>
      <c r="F25" s="4" t="n">
        <f aca="false">IFERROR(COUNTIFS('1. Raw Votes Log'!B:B,B25,'1. Raw Votes Log'!E:E,C25,'1. Raw Votes Log'!G:G,D25),0)</f>
        <v>0</v>
      </c>
      <c r="G25" s="36" t="n">
        <f aca="false">IFERROR(F25/COUNTIF('1. Raw Votes Log'!B:B,B25)*100,0)</f>
        <v>0</v>
      </c>
    </row>
    <row r="26" customFormat="false" ht="15" hidden="false" customHeight="false" outlineLevel="0" collapsed="false">
      <c r="A26" s="7" t="n">
        <v>23</v>
      </c>
      <c r="B26" s="16"/>
      <c r="C26" s="16"/>
      <c r="D26" s="16"/>
      <c r="E26" s="7" t="str">
        <f aca="false">IF(AND(C26&lt;&gt;"",D26&lt;&gt;""),C26&amp;"-"&amp;D26,"")</f>
        <v/>
      </c>
      <c r="F26" s="7" t="n">
        <f aca="false">IFERROR(COUNTIFS('1. Raw Votes Log'!B:B,B26,'1. Raw Votes Log'!E:E,C26,'1. Raw Votes Log'!G:G,D26),0)</f>
        <v>0</v>
      </c>
      <c r="G26" s="35" t="n">
        <f aca="false">IFERROR(F26/COUNTIF('1. Raw Votes Log'!B:B,B26)*100,0)</f>
        <v>0</v>
      </c>
    </row>
    <row r="27" customFormat="false" ht="15" hidden="false" customHeight="false" outlineLevel="0" collapsed="false">
      <c r="A27" s="4" t="n">
        <v>24</v>
      </c>
      <c r="B27" s="17"/>
      <c r="C27" s="17"/>
      <c r="D27" s="17"/>
      <c r="E27" s="4" t="str">
        <f aca="false">IF(AND(C27&lt;&gt;"",D27&lt;&gt;""),C27&amp;"-"&amp;D27,"")</f>
        <v/>
      </c>
      <c r="F27" s="4" t="n">
        <f aca="false">IFERROR(COUNTIFS('1. Raw Votes Log'!B:B,B27,'1. Raw Votes Log'!E:E,C27,'1. Raw Votes Log'!G:G,D27),0)</f>
        <v>0</v>
      </c>
      <c r="G27" s="36" t="n">
        <f aca="false">IFERROR(F27/COUNTIF('1. Raw Votes Log'!B:B,B27)*100,0)</f>
        <v>0</v>
      </c>
    </row>
    <row r="28" customFormat="false" ht="15" hidden="false" customHeight="false" outlineLevel="0" collapsed="false">
      <c r="A28" s="7" t="n">
        <v>25</v>
      </c>
      <c r="B28" s="16"/>
      <c r="C28" s="16"/>
      <c r="D28" s="16"/>
      <c r="E28" s="7" t="str">
        <f aca="false">IF(AND(C28&lt;&gt;"",D28&lt;&gt;""),C28&amp;"-"&amp;D28,"")</f>
        <v/>
      </c>
      <c r="F28" s="7" t="n">
        <f aca="false">IFERROR(COUNTIFS('1. Raw Votes Log'!B:B,B28,'1. Raw Votes Log'!E:E,C28,'1. Raw Votes Log'!G:G,D28),0)</f>
        <v>0</v>
      </c>
      <c r="G28" s="35" t="n">
        <f aca="false">IFERROR(F28/COUNTIF('1. Raw Votes Log'!B:B,B28)*100,0)</f>
        <v>0</v>
      </c>
    </row>
    <row r="29" customFormat="false" ht="15" hidden="false" customHeight="false" outlineLevel="0" collapsed="false">
      <c r="A29" s="4" t="n">
        <v>26</v>
      </c>
      <c r="B29" s="17"/>
      <c r="C29" s="17"/>
      <c r="D29" s="17"/>
      <c r="E29" s="4" t="str">
        <f aca="false">IF(AND(C29&lt;&gt;"",D29&lt;&gt;""),C29&amp;"-"&amp;D29,"")</f>
        <v/>
      </c>
      <c r="F29" s="4" t="n">
        <f aca="false">IFERROR(COUNTIFS('1. Raw Votes Log'!B:B,B29,'1. Raw Votes Log'!E:E,C29,'1. Raw Votes Log'!G:G,D29),0)</f>
        <v>0</v>
      </c>
      <c r="G29" s="36" t="n">
        <f aca="false">IFERROR(F29/COUNTIF('1. Raw Votes Log'!B:B,B29)*100,0)</f>
        <v>0</v>
      </c>
    </row>
    <row r="30" customFormat="false" ht="15" hidden="false" customHeight="false" outlineLevel="0" collapsed="false">
      <c r="A30" s="7" t="n">
        <v>27</v>
      </c>
      <c r="B30" s="16"/>
      <c r="C30" s="16"/>
      <c r="D30" s="16"/>
      <c r="E30" s="7" t="str">
        <f aca="false">IF(AND(C30&lt;&gt;"",D30&lt;&gt;""),C30&amp;"-"&amp;D30,"")</f>
        <v/>
      </c>
      <c r="F30" s="7" t="n">
        <f aca="false">IFERROR(COUNTIFS('1. Raw Votes Log'!B:B,B30,'1. Raw Votes Log'!E:E,C30,'1. Raw Votes Log'!G:G,D30),0)</f>
        <v>0</v>
      </c>
      <c r="G30" s="35" t="n">
        <f aca="false">IFERROR(F30/COUNTIF('1. Raw Votes Log'!B:B,B30)*100,0)</f>
        <v>0</v>
      </c>
    </row>
    <row r="31" customFormat="false" ht="15" hidden="false" customHeight="false" outlineLevel="0" collapsed="false">
      <c r="A31" s="4" t="n">
        <v>28</v>
      </c>
      <c r="B31" s="17"/>
      <c r="C31" s="17"/>
      <c r="D31" s="17"/>
      <c r="E31" s="4" t="str">
        <f aca="false">IF(AND(C31&lt;&gt;"",D31&lt;&gt;""),C31&amp;"-"&amp;D31,"")</f>
        <v/>
      </c>
      <c r="F31" s="4" t="n">
        <f aca="false">IFERROR(COUNTIFS('1. Raw Votes Log'!B:B,B31,'1. Raw Votes Log'!E:E,C31,'1. Raw Votes Log'!G:G,D31),0)</f>
        <v>0</v>
      </c>
      <c r="G31" s="36" t="n">
        <f aca="false">IFERROR(F31/COUNTIF('1. Raw Votes Log'!B:B,B31)*100,0)</f>
        <v>0</v>
      </c>
    </row>
    <row r="32" customFormat="false" ht="15" hidden="false" customHeight="false" outlineLevel="0" collapsed="false">
      <c r="A32" s="7" t="n">
        <v>29</v>
      </c>
      <c r="B32" s="16"/>
      <c r="C32" s="16"/>
      <c r="D32" s="16"/>
      <c r="E32" s="7" t="str">
        <f aca="false">IF(AND(C32&lt;&gt;"",D32&lt;&gt;""),C32&amp;"-"&amp;D32,"")</f>
        <v/>
      </c>
      <c r="F32" s="7" t="n">
        <f aca="false">IFERROR(COUNTIFS('1. Raw Votes Log'!B:B,B32,'1. Raw Votes Log'!E:E,C32,'1. Raw Votes Log'!G:G,D32),0)</f>
        <v>0</v>
      </c>
      <c r="G32" s="35" t="n">
        <f aca="false">IFERROR(F32/COUNTIF('1. Raw Votes Log'!B:B,B32)*100,0)</f>
        <v>0</v>
      </c>
    </row>
    <row r="33" customFormat="false" ht="15" hidden="false" customHeight="false" outlineLevel="0" collapsed="false">
      <c r="A33" s="4" t="n">
        <v>30</v>
      </c>
      <c r="B33" s="17"/>
      <c r="C33" s="17"/>
      <c r="D33" s="17"/>
      <c r="E33" s="4" t="str">
        <f aca="false">IF(AND(C33&lt;&gt;"",D33&lt;&gt;""),C33&amp;"-"&amp;D33,"")</f>
        <v/>
      </c>
      <c r="F33" s="4" t="n">
        <f aca="false">IFERROR(COUNTIFS('1. Raw Votes Log'!B:B,B33,'1. Raw Votes Log'!E:E,C33,'1. Raw Votes Log'!G:G,D33),0)</f>
        <v>0</v>
      </c>
      <c r="G33" s="36" t="n">
        <f aca="false">IFERROR(F33/COUNTIF('1. Raw Votes Log'!B:B,B33)*100,0)</f>
        <v>0</v>
      </c>
    </row>
    <row r="34" customFormat="false" ht="15" hidden="false" customHeight="false" outlineLevel="0" collapsed="false">
      <c r="A34" s="7" t="n">
        <v>31</v>
      </c>
      <c r="B34" s="16"/>
      <c r="C34" s="16"/>
      <c r="D34" s="16"/>
      <c r="E34" s="7" t="str">
        <f aca="false">IF(AND(C34&lt;&gt;"",D34&lt;&gt;""),C34&amp;"-"&amp;D34,"")</f>
        <v/>
      </c>
      <c r="F34" s="7" t="n">
        <f aca="false">IFERROR(COUNTIFS('1. Raw Votes Log'!B:B,B34,'1. Raw Votes Log'!E:E,C34,'1. Raw Votes Log'!G:G,D34),0)</f>
        <v>0</v>
      </c>
      <c r="G34" s="35" t="n">
        <f aca="false">IFERROR(F34/COUNTIF('1. Raw Votes Log'!B:B,B34)*100,0)</f>
        <v>0</v>
      </c>
    </row>
    <row r="35" customFormat="false" ht="15" hidden="false" customHeight="false" outlineLevel="0" collapsed="false">
      <c r="A35" s="4" t="n">
        <v>32</v>
      </c>
      <c r="B35" s="17"/>
      <c r="C35" s="17"/>
      <c r="D35" s="17"/>
      <c r="E35" s="4" t="str">
        <f aca="false">IF(AND(C35&lt;&gt;"",D35&lt;&gt;""),C35&amp;"-"&amp;D35,"")</f>
        <v/>
      </c>
      <c r="F35" s="4" t="n">
        <f aca="false">IFERROR(COUNTIFS('1. Raw Votes Log'!B:B,B35,'1. Raw Votes Log'!E:E,C35,'1. Raw Votes Log'!G:G,D35),0)</f>
        <v>0</v>
      </c>
      <c r="G35" s="36" t="n">
        <f aca="false">IFERROR(F35/COUNTIF('1. Raw Votes Log'!B:B,B35)*100,0)</f>
        <v>0</v>
      </c>
    </row>
    <row r="36" customFormat="false" ht="15" hidden="false" customHeight="false" outlineLevel="0" collapsed="false">
      <c r="A36" s="7" t="n">
        <v>33</v>
      </c>
      <c r="B36" s="16"/>
      <c r="C36" s="16"/>
      <c r="D36" s="16"/>
      <c r="E36" s="7" t="str">
        <f aca="false">IF(AND(C36&lt;&gt;"",D36&lt;&gt;""),C36&amp;"-"&amp;D36,"")</f>
        <v/>
      </c>
      <c r="F36" s="7" t="n">
        <f aca="false">IFERROR(COUNTIFS('1. Raw Votes Log'!B:B,B36,'1. Raw Votes Log'!E:E,C36,'1. Raw Votes Log'!G:G,D36),0)</f>
        <v>0</v>
      </c>
      <c r="G36" s="35" t="n">
        <f aca="false">IFERROR(F36/COUNTIF('1. Raw Votes Log'!B:B,B36)*100,0)</f>
        <v>0</v>
      </c>
    </row>
    <row r="37" customFormat="false" ht="15" hidden="false" customHeight="false" outlineLevel="0" collapsed="false">
      <c r="A37" s="4" t="n">
        <v>34</v>
      </c>
      <c r="B37" s="17"/>
      <c r="C37" s="17"/>
      <c r="D37" s="17"/>
      <c r="E37" s="4" t="str">
        <f aca="false">IF(AND(C37&lt;&gt;"",D37&lt;&gt;""),C37&amp;"-"&amp;D37,"")</f>
        <v/>
      </c>
      <c r="F37" s="4" t="n">
        <f aca="false">IFERROR(COUNTIFS('1. Raw Votes Log'!B:B,B37,'1. Raw Votes Log'!E:E,C37,'1. Raw Votes Log'!G:G,D37),0)</f>
        <v>0</v>
      </c>
      <c r="G37" s="36" t="n">
        <f aca="false">IFERROR(F37/COUNTIF('1. Raw Votes Log'!B:B,B37)*100,0)</f>
        <v>0</v>
      </c>
    </row>
    <row r="38" customFormat="false" ht="15" hidden="false" customHeight="false" outlineLevel="0" collapsed="false">
      <c r="A38" s="7" t="n">
        <v>35</v>
      </c>
      <c r="B38" s="16"/>
      <c r="C38" s="16"/>
      <c r="D38" s="16"/>
      <c r="E38" s="7" t="str">
        <f aca="false">IF(AND(C38&lt;&gt;"",D38&lt;&gt;""),C38&amp;"-"&amp;D38,"")</f>
        <v/>
      </c>
      <c r="F38" s="7" t="n">
        <f aca="false">IFERROR(COUNTIFS('1. Raw Votes Log'!B:B,B38,'1. Raw Votes Log'!E:E,C38,'1. Raw Votes Log'!G:G,D38),0)</f>
        <v>0</v>
      </c>
      <c r="G38" s="35" t="n">
        <f aca="false">IFERROR(F38/COUNTIF('1. Raw Votes Log'!B:B,B38)*100,0)</f>
        <v>0</v>
      </c>
    </row>
    <row r="39" customFormat="false" ht="15" hidden="false" customHeight="false" outlineLevel="0" collapsed="false">
      <c r="A39" s="4" t="n">
        <v>36</v>
      </c>
      <c r="B39" s="17"/>
      <c r="C39" s="17"/>
      <c r="D39" s="17"/>
      <c r="E39" s="4" t="str">
        <f aca="false">IF(AND(C39&lt;&gt;"",D39&lt;&gt;""),C39&amp;"-"&amp;D39,"")</f>
        <v/>
      </c>
      <c r="F39" s="4" t="n">
        <f aca="false">IFERROR(COUNTIFS('1. Raw Votes Log'!B:B,B39,'1. Raw Votes Log'!E:E,C39,'1. Raw Votes Log'!G:G,D39),0)</f>
        <v>0</v>
      </c>
      <c r="G39" s="36" t="n">
        <f aca="false">IFERROR(F39/COUNTIF('1. Raw Votes Log'!B:B,B39)*100,0)</f>
        <v>0</v>
      </c>
    </row>
    <row r="40" customFormat="false" ht="15" hidden="false" customHeight="false" outlineLevel="0" collapsed="false">
      <c r="A40" s="7" t="n">
        <v>37</v>
      </c>
      <c r="B40" s="16"/>
      <c r="C40" s="16"/>
      <c r="D40" s="16"/>
      <c r="E40" s="7" t="str">
        <f aca="false">IF(AND(C40&lt;&gt;"",D40&lt;&gt;""),C40&amp;"-"&amp;D40,"")</f>
        <v/>
      </c>
      <c r="F40" s="7" t="n">
        <f aca="false">IFERROR(COUNTIFS('1. Raw Votes Log'!B:B,B40,'1. Raw Votes Log'!E:E,C40,'1. Raw Votes Log'!G:G,D40),0)</f>
        <v>0</v>
      </c>
      <c r="G40" s="35" t="n">
        <f aca="false">IFERROR(F40/COUNTIF('1. Raw Votes Log'!B:B,B40)*100,0)</f>
        <v>0</v>
      </c>
    </row>
    <row r="41" customFormat="false" ht="15" hidden="false" customHeight="false" outlineLevel="0" collapsed="false">
      <c r="A41" s="4" t="n">
        <v>38</v>
      </c>
      <c r="B41" s="17"/>
      <c r="C41" s="17"/>
      <c r="D41" s="17"/>
      <c r="E41" s="4" t="str">
        <f aca="false">IF(AND(C41&lt;&gt;"",D41&lt;&gt;""),C41&amp;"-"&amp;D41,"")</f>
        <v/>
      </c>
      <c r="F41" s="4" t="n">
        <f aca="false">IFERROR(COUNTIFS('1. Raw Votes Log'!B:B,B41,'1. Raw Votes Log'!E:E,C41,'1. Raw Votes Log'!G:G,D41),0)</f>
        <v>0</v>
      </c>
      <c r="G41" s="36" t="n">
        <f aca="false">IFERROR(F41/COUNTIF('1. Raw Votes Log'!B:B,B41)*100,0)</f>
        <v>0</v>
      </c>
    </row>
    <row r="42" customFormat="false" ht="15" hidden="false" customHeight="false" outlineLevel="0" collapsed="false">
      <c r="A42" s="7" t="n">
        <v>39</v>
      </c>
      <c r="B42" s="16"/>
      <c r="C42" s="16"/>
      <c r="D42" s="16"/>
      <c r="E42" s="7" t="str">
        <f aca="false">IF(AND(C42&lt;&gt;"",D42&lt;&gt;""),C42&amp;"-"&amp;D42,"")</f>
        <v/>
      </c>
      <c r="F42" s="7" t="n">
        <f aca="false">IFERROR(COUNTIFS('1. Raw Votes Log'!B:B,B42,'1. Raw Votes Log'!E:E,C42,'1. Raw Votes Log'!G:G,D42),0)</f>
        <v>0</v>
      </c>
      <c r="G42" s="35" t="n">
        <f aca="false">IFERROR(F42/COUNTIF('1. Raw Votes Log'!B:B,B42)*100,0)</f>
        <v>0</v>
      </c>
    </row>
    <row r="43" customFormat="false" ht="15" hidden="false" customHeight="false" outlineLevel="0" collapsed="false">
      <c r="A43" s="4" t="n">
        <v>40</v>
      </c>
      <c r="B43" s="17"/>
      <c r="C43" s="17"/>
      <c r="D43" s="17"/>
      <c r="E43" s="4" t="str">
        <f aca="false">IF(AND(C43&lt;&gt;"",D43&lt;&gt;""),C43&amp;"-"&amp;D43,"")</f>
        <v/>
      </c>
      <c r="F43" s="4" t="n">
        <f aca="false">IFERROR(COUNTIFS('1. Raw Votes Log'!B:B,B43,'1. Raw Votes Log'!E:E,C43,'1. Raw Votes Log'!G:G,D43),0)</f>
        <v>0</v>
      </c>
      <c r="G43" s="36" t="n">
        <f aca="false">IFERROR(F43/COUNTIF('1. Raw Votes Log'!B:B,B43)*100,0)</f>
        <v>0</v>
      </c>
    </row>
    <row r="44" customFormat="false" ht="15" hidden="false" customHeight="false" outlineLevel="0" collapsed="false">
      <c r="A44" s="7" t="n">
        <v>41</v>
      </c>
      <c r="B44" s="16"/>
      <c r="C44" s="16"/>
      <c r="D44" s="16"/>
      <c r="E44" s="7" t="str">
        <f aca="false">IF(AND(C44&lt;&gt;"",D44&lt;&gt;""),C44&amp;"-"&amp;D44,"")</f>
        <v/>
      </c>
      <c r="F44" s="7" t="n">
        <f aca="false">IFERROR(COUNTIFS('1. Raw Votes Log'!B:B,B44,'1. Raw Votes Log'!E:E,C44,'1. Raw Votes Log'!G:G,D44),0)</f>
        <v>0</v>
      </c>
      <c r="G44" s="35" t="n">
        <f aca="false">IFERROR(F44/COUNTIF('1. Raw Votes Log'!B:B,B44)*100,0)</f>
        <v>0</v>
      </c>
    </row>
    <row r="45" customFormat="false" ht="15" hidden="false" customHeight="false" outlineLevel="0" collapsed="false">
      <c r="A45" s="4" t="n">
        <v>42</v>
      </c>
      <c r="B45" s="17"/>
      <c r="C45" s="17"/>
      <c r="D45" s="17"/>
      <c r="E45" s="4" t="str">
        <f aca="false">IF(AND(C45&lt;&gt;"",D45&lt;&gt;""),C45&amp;"-"&amp;D45,"")</f>
        <v/>
      </c>
      <c r="F45" s="4" t="n">
        <f aca="false">IFERROR(COUNTIFS('1. Raw Votes Log'!B:B,B45,'1. Raw Votes Log'!E:E,C45,'1. Raw Votes Log'!G:G,D45),0)</f>
        <v>0</v>
      </c>
      <c r="G45" s="36" t="n">
        <f aca="false">IFERROR(F45/COUNTIF('1. Raw Votes Log'!B:B,B45)*100,0)</f>
        <v>0</v>
      </c>
    </row>
    <row r="46" customFormat="false" ht="15" hidden="false" customHeight="false" outlineLevel="0" collapsed="false">
      <c r="A46" s="7" t="n">
        <v>43</v>
      </c>
      <c r="B46" s="16"/>
      <c r="C46" s="16"/>
      <c r="D46" s="16"/>
      <c r="E46" s="7" t="str">
        <f aca="false">IF(AND(C46&lt;&gt;"",D46&lt;&gt;""),C46&amp;"-"&amp;D46,"")</f>
        <v/>
      </c>
      <c r="F46" s="7" t="n">
        <f aca="false">IFERROR(COUNTIFS('1. Raw Votes Log'!B:B,B46,'1. Raw Votes Log'!E:E,C46,'1. Raw Votes Log'!G:G,D46),0)</f>
        <v>0</v>
      </c>
      <c r="G46" s="35" t="n">
        <f aca="false">IFERROR(F46/COUNTIF('1. Raw Votes Log'!B:B,B46)*100,0)</f>
        <v>0</v>
      </c>
    </row>
    <row r="47" customFormat="false" ht="15" hidden="false" customHeight="false" outlineLevel="0" collapsed="false">
      <c r="A47" s="4" t="n">
        <v>44</v>
      </c>
      <c r="B47" s="17"/>
      <c r="C47" s="17"/>
      <c r="D47" s="17"/>
      <c r="E47" s="4" t="str">
        <f aca="false">IF(AND(C47&lt;&gt;"",D47&lt;&gt;""),C47&amp;"-"&amp;D47,"")</f>
        <v/>
      </c>
      <c r="F47" s="4" t="n">
        <f aca="false">IFERROR(COUNTIFS('1. Raw Votes Log'!B:B,B47,'1. Raw Votes Log'!E:E,C47,'1. Raw Votes Log'!G:G,D47),0)</f>
        <v>0</v>
      </c>
      <c r="G47" s="36" t="n">
        <f aca="false">IFERROR(F47/COUNTIF('1. Raw Votes Log'!B:B,B47)*100,0)</f>
        <v>0</v>
      </c>
    </row>
    <row r="48" customFormat="false" ht="15" hidden="false" customHeight="false" outlineLevel="0" collapsed="false">
      <c r="A48" s="7" t="n">
        <v>45</v>
      </c>
      <c r="B48" s="16"/>
      <c r="C48" s="16"/>
      <c r="D48" s="16"/>
      <c r="E48" s="7" t="str">
        <f aca="false">IF(AND(C48&lt;&gt;"",D48&lt;&gt;""),C48&amp;"-"&amp;D48,"")</f>
        <v/>
      </c>
      <c r="F48" s="7" t="n">
        <f aca="false">IFERROR(COUNTIFS('1. Raw Votes Log'!B:B,B48,'1. Raw Votes Log'!E:E,C48,'1. Raw Votes Log'!G:G,D48),0)</f>
        <v>0</v>
      </c>
      <c r="G48" s="35" t="n">
        <f aca="false">IFERROR(F48/COUNTIF('1. Raw Votes Log'!B:B,B48)*100,0)</f>
        <v>0</v>
      </c>
    </row>
    <row r="49" customFormat="false" ht="15" hidden="false" customHeight="false" outlineLevel="0" collapsed="false">
      <c r="A49" s="4" t="n">
        <v>46</v>
      </c>
      <c r="B49" s="17"/>
      <c r="C49" s="17"/>
      <c r="D49" s="17"/>
      <c r="E49" s="4" t="str">
        <f aca="false">IF(AND(C49&lt;&gt;"",D49&lt;&gt;""),C49&amp;"-"&amp;D49,"")</f>
        <v/>
      </c>
      <c r="F49" s="4" t="n">
        <f aca="false">IFERROR(COUNTIFS('1. Raw Votes Log'!B:B,B49,'1. Raw Votes Log'!E:E,C49,'1. Raw Votes Log'!G:G,D49),0)</f>
        <v>0</v>
      </c>
      <c r="G49" s="36" t="n">
        <f aca="false">IFERROR(F49/COUNTIF('1. Raw Votes Log'!B:B,B49)*100,0)</f>
        <v>0</v>
      </c>
    </row>
    <row r="50" customFormat="false" ht="15" hidden="false" customHeight="false" outlineLevel="0" collapsed="false">
      <c r="A50" s="7" t="n">
        <v>47</v>
      </c>
      <c r="B50" s="16"/>
      <c r="C50" s="16"/>
      <c r="D50" s="16"/>
      <c r="E50" s="7" t="str">
        <f aca="false">IF(AND(C50&lt;&gt;"",D50&lt;&gt;""),C50&amp;"-"&amp;D50,"")</f>
        <v/>
      </c>
      <c r="F50" s="7" t="n">
        <f aca="false">IFERROR(COUNTIFS('1. Raw Votes Log'!B:B,B50,'1. Raw Votes Log'!E:E,C50,'1. Raw Votes Log'!G:G,D50),0)</f>
        <v>0</v>
      </c>
      <c r="G50" s="35" t="n">
        <f aca="false">IFERROR(F50/COUNTIF('1. Raw Votes Log'!B:B,B50)*100,0)</f>
        <v>0</v>
      </c>
    </row>
    <row r="51" customFormat="false" ht="15" hidden="false" customHeight="false" outlineLevel="0" collapsed="false">
      <c r="A51" s="4" t="n">
        <v>48</v>
      </c>
      <c r="B51" s="17"/>
      <c r="C51" s="17"/>
      <c r="D51" s="17"/>
      <c r="E51" s="4" t="str">
        <f aca="false">IF(AND(C51&lt;&gt;"",D51&lt;&gt;""),C51&amp;"-"&amp;D51,"")</f>
        <v/>
      </c>
      <c r="F51" s="4" t="n">
        <f aca="false">IFERROR(COUNTIFS('1. Raw Votes Log'!B:B,B51,'1. Raw Votes Log'!E:E,C51,'1. Raw Votes Log'!G:G,D51),0)</f>
        <v>0</v>
      </c>
      <c r="G51" s="36" t="n">
        <f aca="false">IFERROR(F51/COUNTIF('1. Raw Votes Log'!B:B,B51)*100,0)</f>
        <v>0</v>
      </c>
    </row>
    <row r="52" customFormat="false" ht="15" hidden="false" customHeight="false" outlineLevel="0" collapsed="false">
      <c r="A52" s="7" t="n">
        <v>49</v>
      </c>
      <c r="B52" s="16"/>
      <c r="C52" s="16"/>
      <c r="D52" s="16"/>
      <c r="E52" s="7" t="str">
        <f aca="false">IF(AND(C52&lt;&gt;"",D52&lt;&gt;""),C52&amp;"-"&amp;D52,"")</f>
        <v/>
      </c>
      <c r="F52" s="7" t="n">
        <f aca="false">IFERROR(COUNTIFS('1. Raw Votes Log'!B:B,B52,'1. Raw Votes Log'!E:E,C52,'1. Raw Votes Log'!G:G,D52),0)</f>
        <v>0</v>
      </c>
      <c r="G52" s="35" t="n">
        <f aca="false">IFERROR(F52/COUNTIF('1. Raw Votes Log'!B:B,B52)*100,0)</f>
        <v>0</v>
      </c>
    </row>
    <row r="53" customFormat="false" ht="15" hidden="false" customHeight="false" outlineLevel="0" collapsed="false">
      <c r="A53" s="4" t="n">
        <v>50</v>
      </c>
      <c r="B53" s="17"/>
      <c r="C53" s="17"/>
      <c r="D53" s="17"/>
      <c r="E53" s="4" t="str">
        <f aca="false">IF(AND(C53&lt;&gt;"",D53&lt;&gt;""),C53&amp;"-"&amp;D53,"")</f>
        <v/>
      </c>
      <c r="F53" s="4" t="n">
        <f aca="false">IFERROR(COUNTIFS('1. Raw Votes Log'!B:B,B53,'1. Raw Votes Log'!E:E,C53,'1. Raw Votes Log'!G:G,D53),0)</f>
        <v>0</v>
      </c>
      <c r="G53" s="36" t="n">
        <f aca="false">IFERROR(F53/COUNTIF('1. Raw Votes Log'!B:B,B53)*100,0)</f>
        <v>0</v>
      </c>
    </row>
    <row r="54" customFormat="false" ht="15" hidden="false" customHeight="false" outlineLevel="0" collapsed="false">
      <c r="A54" s="7" t="n">
        <v>51</v>
      </c>
      <c r="B54" s="16"/>
      <c r="C54" s="16"/>
      <c r="D54" s="16"/>
      <c r="E54" s="7" t="str">
        <f aca="false">IF(AND(C54&lt;&gt;"",D54&lt;&gt;""),C54&amp;"-"&amp;D54,"")</f>
        <v/>
      </c>
      <c r="F54" s="7" t="n">
        <f aca="false">IFERROR(COUNTIFS('1. Raw Votes Log'!B:B,B54,'1. Raw Votes Log'!E:E,C54,'1. Raw Votes Log'!G:G,D54),0)</f>
        <v>0</v>
      </c>
      <c r="G54" s="35" t="n">
        <f aca="false">IFERROR(F54/COUNTIF('1. Raw Votes Log'!B:B,B54)*100,0)</f>
        <v>0</v>
      </c>
    </row>
    <row r="55" customFormat="false" ht="15" hidden="false" customHeight="false" outlineLevel="0" collapsed="false">
      <c r="A55" s="4" t="n">
        <v>52</v>
      </c>
      <c r="B55" s="17"/>
      <c r="C55" s="17"/>
      <c r="D55" s="17"/>
      <c r="E55" s="4" t="str">
        <f aca="false">IF(AND(C55&lt;&gt;"",D55&lt;&gt;""),C55&amp;"-"&amp;D55,"")</f>
        <v/>
      </c>
      <c r="F55" s="4" t="n">
        <f aca="false">IFERROR(COUNTIFS('1. Raw Votes Log'!B:B,B55,'1. Raw Votes Log'!E:E,C55,'1. Raw Votes Log'!G:G,D55),0)</f>
        <v>0</v>
      </c>
      <c r="G55" s="36" t="n">
        <f aca="false">IFERROR(F55/COUNTIF('1. Raw Votes Log'!B:B,B55)*100,0)</f>
        <v>0</v>
      </c>
    </row>
    <row r="56" customFormat="false" ht="15" hidden="false" customHeight="false" outlineLevel="0" collapsed="false">
      <c r="A56" s="7" t="n">
        <v>53</v>
      </c>
      <c r="B56" s="16"/>
      <c r="C56" s="16"/>
      <c r="D56" s="16"/>
      <c r="E56" s="7" t="str">
        <f aca="false">IF(AND(C56&lt;&gt;"",D56&lt;&gt;""),C56&amp;"-"&amp;D56,"")</f>
        <v/>
      </c>
      <c r="F56" s="7" t="n">
        <f aca="false">IFERROR(COUNTIFS('1. Raw Votes Log'!B:B,B56,'1. Raw Votes Log'!E:E,C56,'1. Raw Votes Log'!G:G,D56),0)</f>
        <v>0</v>
      </c>
      <c r="G56" s="35" t="n">
        <f aca="false">IFERROR(F56/COUNTIF('1. Raw Votes Log'!B:B,B56)*100,0)</f>
        <v>0</v>
      </c>
    </row>
    <row r="57" customFormat="false" ht="15" hidden="false" customHeight="false" outlineLevel="0" collapsed="false">
      <c r="A57" s="4" t="n">
        <v>54</v>
      </c>
      <c r="B57" s="17"/>
      <c r="C57" s="17"/>
      <c r="D57" s="17"/>
      <c r="E57" s="4" t="str">
        <f aca="false">IF(AND(C57&lt;&gt;"",D57&lt;&gt;""),C57&amp;"-"&amp;D57,"")</f>
        <v/>
      </c>
      <c r="F57" s="4" t="n">
        <f aca="false">IFERROR(COUNTIFS('1. Raw Votes Log'!B:B,B57,'1. Raw Votes Log'!E:E,C57,'1. Raw Votes Log'!G:G,D57),0)</f>
        <v>0</v>
      </c>
      <c r="G57" s="36" t="n">
        <f aca="false">IFERROR(F57/COUNTIF('1. Raw Votes Log'!B:B,B57)*100,0)</f>
        <v>0</v>
      </c>
    </row>
    <row r="58" customFormat="false" ht="15" hidden="false" customHeight="false" outlineLevel="0" collapsed="false">
      <c r="A58" s="7" t="n">
        <v>55</v>
      </c>
      <c r="B58" s="16"/>
      <c r="C58" s="16"/>
      <c r="D58" s="16"/>
      <c r="E58" s="7" t="str">
        <f aca="false">IF(AND(C58&lt;&gt;"",D58&lt;&gt;""),C58&amp;"-"&amp;D58,"")</f>
        <v/>
      </c>
      <c r="F58" s="7" t="n">
        <f aca="false">IFERROR(COUNTIFS('1. Raw Votes Log'!B:B,B58,'1. Raw Votes Log'!E:E,C58,'1. Raw Votes Log'!G:G,D58),0)</f>
        <v>0</v>
      </c>
      <c r="G58" s="35" t="n">
        <f aca="false">IFERROR(F58/COUNTIF('1. Raw Votes Log'!B:B,B58)*100,0)</f>
        <v>0</v>
      </c>
    </row>
    <row r="59" customFormat="false" ht="15" hidden="false" customHeight="false" outlineLevel="0" collapsed="false">
      <c r="A59" s="4" t="n">
        <v>56</v>
      </c>
      <c r="B59" s="17"/>
      <c r="C59" s="17"/>
      <c r="D59" s="17"/>
      <c r="E59" s="4" t="str">
        <f aca="false">IF(AND(C59&lt;&gt;"",D59&lt;&gt;""),C59&amp;"-"&amp;D59,"")</f>
        <v/>
      </c>
      <c r="F59" s="4" t="n">
        <f aca="false">IFERROR(COUNTIFS('1. Raw Votes Log'!B:B,B59,'1. Raw Votes Log'!E:E,C59,'1. Raw Votes Log'!G:G,D59),0)</f>
        <v>0</v>
      </c>
      <c r="G59" s="36" t="n">
        <f aca="false">IFERROR(F59/COUNTIF('1. Raw Votes Log'!B:B,B59)*100,0)</f>
        <v>0</v>
      </c>
    </row>
    <row r="60" customFormat="false" ht="15" hidden="false" customHeight="false" outlineLevel="0" collapsed="false">
      <c r="A60" s="7" t="n">
        <v>57</v>
      </c>
      <c r="B60" s="16"/>
      <c r="C60" s="16"/>
      <c r="D60" s="16"/>
      <c r="E60" s="7" t="str">
        <f aca="false">IF(AND(C60&lt;&gt;"",D60&lt;&gt;""),C60&amp;"-"&amp;D60,"")</f>
        <v/>
      </c>
      <c r="F60" s="7" t="n">
        <f aca="false">IFERROR(COUNTIFS('1. Raw Votes Log'!B:B,B60,'1. Raw Votes Log'!E:E,C60,'1. Raw Votes Log'!G:G,D60),0)</f>
        <v>0</v>
      </c>
      <c r="G60" s="35" t="n">
        <f aca="false">IFERROR(F60/COUNTIF('1. Raw Votes Log'!B:B,B60)*100,0)</f>
        <v>0</v>
      </c>
    </row>
    <row r="61" customFormat="false" ht="15" hidden="false" customHeight="false" outlineLevel="0" collapsed="false">
      <c r="A61" s="4" t="n">
        <v>58</v>
      </c>
      <c r="B61" s="17"/>
      <c r="C61" s="17"/>
      <c r="D61" s="17"/>
      <c r="E61" s="4" t="str">
        <f aca="false">IF(AND(C61&lt;&gt;"",D61&lt;&gt;""),C61&amp;"-"&amp;D61,"")</f>
        <v/>
      </c>
      <c r="F61" s="4" t="n">
        <f aca="false">IFERROR(COUNTIFS('1. Raw Votes Log'!B:B,B61,'1. Raw Votes Log'!E:E,C61,'1. Raw Votes Log'!G:G,D61),0)</f>
        <v>0</v>
      </c>
      <c r="G61" s="36" t="n">
        <f aca="false">IFERROR(F61/COUNTIF('1. Raw Votes Log'!B:B,B61)*100,0)</f>
        <v>0</v>
      </c>
    </row>
    <row r="62" customFormat="false" ht="15" hidden="false" customHeight="false" outlineLevel="0" collapsed="false">
      <c r="A62" s="7" t="n">
        <v>59</v>
      </c>
      <c r="B62" s="16"/>
      <c r="C62" s="16"/>
      <c r="D62" s="16"/>
      <c r="E62" s="7" t="str">
        <f aca="false">IF(AND(C62&lt;&gt;"",D62&lt;&gt;""),C62&amp;"-"&amp;D62,"")</f>
        <v/>
      </c>
      <c r="F62" s="7" t="n">
        <f aca="false">IFERROR(COUNTIFS('1. Raw Votes Log'!B:B,B62,'1. Raw Votes Log'!E:E,C62,'1. Raw Votes Log'!G:G,D62),0)</f>
        <v>0</v>
      </c>
      <c r="G62" s="35" t="n">
        <f aca="false">IFERROR(F62/COUNTIF('1. Raw Votes Log'!B:B,B62)*100,0)</f>
        <v>0</v>
      </c>
    </row>
    <row r="63" customFormat="false" ht="15" hidden="false" customHeight="false" outlineLevel="0" collapsed="false">
      <c r="A63" s="4" t="n">
        <v>60</v>
      </c>
      <c r="B63" s="17"/>
      <c r="C63" s="17"/>
      <c r="D63" s="17"/>
      <c r="E63" s="4" t="str">
        <f aca="false">IF(AND(C63&lt;&gt;"",D63&lt;&gt;""),C63&amp;"-"&amp;D63,"")</f>
        <v/>
      </c>
      <c r="F63" s="4" t="n">
        <f aca="false">IFERROR(COUNTIFS('1. Raw Votes Log'!B:B,B63,'1. Raw Votes Log'!E:E,C63,'1. Raw Votes Log'!G:G,D63),0)</f>
        <v>0</v>
      </c>
      <c r="G63" s="36" t="n">
        <f aca="false">IFERROR(F63/COUNTIF('1. Raw Votes Log'!B:B,B63)*100,0)</f>
        <v>0</v>
      </c>
    </row>
    <row r="64" customFormat="false" ht="15" hidden="false" customHeight="false" outlineLevel="0" collapsed="false">
      <c r="A64" s="7" t="n">
        <v>61</v>
      </c>
      <c r="B64" s="16"/>
      <c r="C64" s="16"/>
      <c r="D64" s="16"/>
      <c r="E64" s="7" t="str">
        <f aca="false">IF(AND(C64&lt;&gt;"",D64&lt;&gt;""),C64&amp;"-"&amp;D64,"")</f>
        <v/>
      </c>
      <c r="F64" s="7" t="n">
        <f aca="false">IFERROR(COUNTIFS('1. Raw Votes Log'!B:B,B64,'1. Raw Votes Log'!E:E,C64,'1. Raw Votes Log'!G:G,D64),0)</f>
        <v>0</v>
      </c>
      <c r="G64" s="35" t="n">
        <f aca="false">IFERROR(F64/COUNTIF('1. Raw Votes Log'!B:B,B64)*100,0)</f>
        <v>0</v>
      </c>
    </row>
    <row r="65" customFormat="false" ht="15" hidden="false" customHeight="false" outlineLevel="0" collapsed="false">
      <c r="A65" s="4" t="n">
        <v>62</v>
      </c>
      <c r="B65" s="17"/>
      <c r="C65" s="17"/>
      <c r="D65" s="17"/>
      <c r="E65" s="4" t="str">
        <f aca="false">IF(AND(C65&lt;&gt;"",D65&lt;&gt;""),C65&amp;"-"&amp;D65,"")</f>
        <v/>
      </c>
      <c r="F65" s="4" t="n">
        <f aca="false">IFERROR(COUNTIFS('1. Raw Votes Log'!B:B,B65,'1. Raw Votes Log'!E:E,C65,'1. Raw Votes Log'!G:G,D65),0)</f>
        <v>0</v>
      </c>
      <c r="G65" s="36" t="n">
        <f aca="false">IFERROR(F65/COUNTIF('1. Raw Votes Log'!B:B,B65)*100,0)</f>
        <v>0</v>
      </c>
    </row>
    <row r="66" customFormat="false" ht="15" hidden="false" customHeight="false" outlineLevel="0" collapsed="false">
      <c r="A66" s="7" t="n">
        <v>63</v>
      </c>
      <c r="B66" s="16"/>
      <c r="C66" s="16"/>
      <c r="D66" s="16"/>
      <c r="E66" s="7" t="str">
        <f aca="false">IF(AND(C66&lt;&gt;"",D66&lt;&gt;""),C66&amp;"-"&amp;D66,"")</f>
        <v/>
      </c>
      <c r="F66" s="7" t="n">
        <f aca="false">IFERROR(COUNTIFS('1. Raw Votes Log'!B:B,B66,'1. Raw Votes Log'!E:E,C66,'1. Raw Votes Log'!G:G,D66),0)</f>
        <v>0</v>
      </c>
      <c r="G66" s="35" t="n">
        <f aca="false">IFERROR(F66/COUNTIF('1. Raw Votes Log'!B:B,B66)*100,0)</f>
        <v>0</v>
      </c>
    </row>
    <row r="67" customFormat="false" ht="15" hidden="false" customHeight="false" outlineLevel="0" collapsed="false">
      <c r="A67" s="4" t="n">
        <v>64</v>
      </c>
      <c r="B67" s="17"/>
      <c r="C67" s="17"/>
      <c r="D67" s="17"/>
      <c r="E67" s="4" t="str">
        <f aca="false">IF(AND(C67&lt;&gt;"",D67&lt;&gt;""),C67&amp;"-"&amp;D67,"")</f>
        <v/>
      </c>
      <c r="F67" s="4" t="n">
        <f aca="false">IFERROR(COUNTIFS('1. Raw Votes Log'!B:B,B67,'1. Raw Votes Log'!E:E,C67,'1. Raw Votes Log'!G:G,D67),0)</f>
        <v>0</v>
      </c>
      <c r="G67" s="36" t="n">
        <f aca="false">IFERROR(F67/COUNTIF('1. Raw Votes Log'!B:B,B67)*100,0)</f>
        <v>0</v>
      </c>
    </row>
    <row r="68" customFormat="false" ht="15" hidden="false" customHeight="false" outlineLevel="0" collapsed="false">
      <c r="A68" s="7" t="n">
        <v>65</v>
      </c>
      <c r="B68" s="16"/>
      <c r="C68" s="16"/>
      <c r="D68" s="16"/>
      <c r="E68" s="7" t="str">
        <f aca="false">IF(AND(C68&lt;&gt;"",D68&lt;&gt;""),C68&amp;"-"&amp;D68,"")</f>
        <v/>
      </c>
      <c r="F68" s="7" t="n">
        <f aca="false">IFERROR(COUNTIFS('1. Raw Votes Log'!B:B,B68,'1. Raw Votes Log'!E:E,C68,'1. Raw Votes Log'!G:G,D68),0)</f>
        <v>0</v>
      </c>
      <c r="G68" s="35" t="n">
        <f aca="false">IFERROR(F68/COUNTIF('1. Raw Votes Log'!B:B,B68)*100,0)</f>
        <v>0</v>
      </c>
    </row>
    <row r="69" customFormat="false" ht="15" hidden="false" customHeight="false" outlineLevel="0" collapsed="false">
      <c r="A69" s="4" t="n">
        <v>66</v>
      </c>
      <c r="B69" s="17"/>
      <c r="C69" s="17"/>
      <c r="D69" s="17"/>
      <c r="E69" s="4" t="str">
        <f aca="false">IF(AND(C69&lt;&gt;"",D69&lt;&gt;""),C69&amp;"-"&amp;D69,"")</f>
        <v/>
      </c>
      <c r="F69" s="4" t="n">
        <f aca="false">IFERROR(COUNTIFS('1. Raw Votes Log'!B:B,B69,'1. Raw Votes Log'!E:E,C69,'1. Raw Votes Log'!G:G,D69),0)</f>
        <v>0</v>
      </c>
      <c r="G69" s="36" t="n">
        <f aca="false">IFERROR(F69/COUNTIF('1. Raw Votes Log'!B:B,B69)*100,0)</f>
        <v>0</v>
      </c>
    </row>
    <row r="70" customFormat="false" ht="15" hidden="false" customHeight="false" outlineLevel="0" collapsed="false">
      <c r="A70" s="7" t="n">
        <v>67</v>
      </c>
      <c r="B70" s="16"/>
      <c r="C70" s="16"/>
      <c r="D70" s="16"/>
      <c r="E70" s="7" t="str">
        <f aca="false">IF(AND(C70&lt;&gt;"",D70&lt;&gt;""),C70&amp;"-"&amp;D70,"")</f>
        <v/>
      </c>
      <c r="F70" s="7" t="n">
        <f aca="false">IFERROR(COUNTIFS('1. Raw Votes Log'!B:B,B70,'1. Raw Votes Log'!E:E,C70,'1. Raw Votes Log'!G:G,D70),0)</f>
        <v>0</v>
      </c>
      <c r="G70" s="35" t="n">
        <f aca="false">IFERROR(F70/COUNTIF('1. Raw Votes Log'!B:B,B70)*100,0)</f>
        <v>0</v>
      </c>
    </row>
    <row r="71" customFormat="false" ht="15" hidden="false" customHeight="false" outlineLevel="0" collapsed="false">
      <c r="A71" s="4" t="n">
        <v>68</v>
      </c>
      <c r="B71" s="17"/>
      <c r="C71" s="17"/>
      <c r="D71" s="17"/>
      <c r="E71" s="4" t="str">
        <f aca="false">IF(AND(C71&lt;&gt;"",D71&lt;&gt;""),C71&amp;"-"&amp;D71,"")</f>
        <v/>
      </c>
      <c r="F71" s="4" t="n">
        <f aca="false">IFERROR(COUNTIFS('1. Raw Votes Log'!B:B,B71,'1. Raw Votes Log'!E:E,C71,'1. Raw Votes Log'!G:G,D71),0)</f>
        <v>0</v>
      </c>
      <c r="G71" s="36" t="n">
        <f aca="false">IFERROR(F71/COUNTIF('1. Raw Votes Log'!B:B,B71)*100,0)</f>
        <v>0</v>
      </c>
    </row>
    <row r="72" customFormat="false" ht="15" hidden="false" customHeight="false" outlineLevel="0" collapsed="false">
      <c r="A72" s="7" t="n">
        <v>69</v>
      </c>
      <c r="B72" s="16"/>
      <c r="C72" s="16"/>
      <c r="D72" s="16"/>
      <c r="E72" s="7" t="str">
        <f aca="false">IF(AND(C72&lt;&gt;"",D72&lt;&gt;""),C72&amp;"-"&amp;D72,"")</f>
        <v/>
      </c>
      <c r="F72" s="7" t="n">
        <f aca="false">IFERROR(COUNTIFS('1. Raw Votes Log'!B:B,B72,'1. Raw Votes Log'!E:E,C72,'1. Raw Votes Log'!G:G,D72),0)</f>
        <v>0</v>
      </c>
      <c r="G72" s="35" t="n">
        <f aca="false">IFERROR(F72/COUNTIF('1. Raw Votes Log'!B:B,B72)*100,0)</f>
        <v>0</v>
      </c>
    </row>
    <row r="73" customFormat="false" ht="15" hidden="false" customHeight="false" outlineLevel="0" collapsed="false">
      <c r="A73" s="4" t="n">
        <v>70</v>
      </c>
      <c r="B73" s="17"/>
      <c r="C73" s="17"/>
      <c r="D73" s="17"/>
      <c r="E73" s="4" t="str">
        <f aca="false">IF(AND(C73&lt;&gt;"",D73&lt;&gt;""),C73&amp;"-"&amp;D73,"")</f>
        <v/>
      </c>
      <c r="F73" s="4" t="n">
        <f aca="false">IFERROR(COUNTIFS('1. Raw Votes Log'!B:B,B73,'1. Raw Votes Log'!E:E,C73,'1. Raw Votes Log'!G:G,D73),0)</f>
        <v>0</v>
      </c>
      <c r="G73" s="36" t="n">
        <f aca="false">IFERROR(F73/COUNTIF('1. Raw Votes Log'!B:B,B73)*100,0)</f>
        <v>0</v>
      </c>
    </row>
    <row r="74" customFormat="false" ht="15" hidden="false" customHeight="false" outlineLevel="0" collapsed="false">
      <c r="A74" s="7" t="n">
        <v>71</v>
      </c>
      <c r="B74" s="16"/>
      <c r="C74" s="16"/>
      <c r="D74" s="16"/>
      <c r="E74" s="7" t="str">
        <f aca="false">IF(AND(C74&lt;&gt;"",D74&lt;&gt;""),C74&amp;"-"&amp;D74,"")</f>
        <v/>
      </c>
      <c r="F74" s="7" t="n">
        <f aca="false">IFERROR(COUNTIFS('1. Raw Votes Log'!B:B,B74,'1. Raw Votes Log'!E:E,C74,'1. Raw Votes Log'!G:G,D74),0)</f>
        <v>0</v>
      </c>
      <c r="G74" s="35" t="n">
        <f aca="false">IFERROR(F74/COUNTIF('1. Raw Votes Log'!B:B,B74)*100,0)</f>
        <v>0</v>
      </c>
    </row>
    <row r="75" customFormat="false" ht="15" hidden="false" customHeight="false" outlineLevel="0" collapsed="false">
      <c r="A75" s="4" t="n">
        <v>72</v>
      </c>
      <c r="B75" s="17"/>
      <c r="C75" s="17"/>
      <c r="D75" s="17"/>
      <c r="E75" s="4" t="str">
        <f aca="false">IF(AND(C75&lt;&gt;"",D75&lt;&gt;""),C75&amp;"-"&amp;D75,"")</f>
        <v/>
      </c>
      <c r="F75" s="4" t="n">
        <f aca="false">IFERROR(COUNTIFS('1. Raw Votes Log'!B:B,B75,'1. Raw Votes Log'!E:E,C75,'1. Raw Votes Log'!G:G,D75),0)</f>
        <v>0</v>
      </c>
      <c r="G75" s="36" t="n">
        <f aca="false">IFERROR(F75/COUNTIF('1. Raw Votes Log'!B:B,B75)*100,0)</f>
        <v>0</v>
      </c>
    </row>
    <row r="76" customFormat="false" ht="15" hidden="false" customHeight="false" outlineLevel="0" collapsed="false">
      <c r="A76" s="7" t="n">
        <v>73</v>
      </c>
      <c r="B76" s="16"/>
      <c r="C76" s="16"/>
      <c r="D76" s="16"/>
      <c r="E76" s="7" t="str">
        <f aca="false">IF(AND(C76&lt;&gt;"",D76&lt;&gt;""),C76&amp;"-"&amp;D76,"")</f>
        <v/>
      </c>
      <c r="F76" s="7" t="n">
        <f aca="false">IFERROR(COUNTIFS('1. Raw Votes Log'!B:B,B76,'1. Raw Votes Log'!E:E,C76,'1. Raw Votes Log'!G:G,D76),0)</f>
        <v>0</v>
      </c>
      <c r="G76" s="35" t="n">
        <f aca="false">IFERROR(F76/COUNTIF('1. Raw Votes Log'!B:B,B76)*100,0)</f>
        <v>0</v>
      </c>
    </row>
    <row r="77" customFormat="false" ht="15" hidden="false" customHeight="false" outlineLevel="0" collapsed="false">
      <c r="A77" s="4" t="n">
        <v>74</v>
      </c>
      <c r="B77" s="17"/>
      <c r="C77" s="17"/>
      <c r="D77" s="17"/>
      <c r="E77" s="4" t="str">
        <f aca="false">IF(AND(C77&lt;&gt;"",D77&lt;&gt;""),C77&amp;"-"&amp;D77,"")</f>
        <v/>
      </c>
      <c r="F77" s="4" t="n">
        <f aca="false">IFERROR(COUNTIFS('1. Raw Votes Log'!B:B,B77,'1. Raw Votes Log'!E:E,C77,'1. Raw Votes Log'!G:G,D77),0)</f>
        <v>0</v>
      </c>
      <c r="G77" s="36" t="n">
        <f aca="false">IFERROR(F77/COUNTIF('1. Raw Votes Log'!B:B,B77)*100,0)</f>
        <v>0</v>
      </c>
    </row>
    <row r="78" customFormat="false" ht="15" hidden="false" customHeight="false" outlineLevel="0" collapsed="false">
      <c r="A78" s="7" t="n">
        <v>75</v>
      </c>
      <c r="B78" s="16"/>
      <c r="C78" s="16"/>
      <c r="D78" s="16"/>
      <c r="E78" s="7" t="str">
        <f aca="false">IF(AND(C78&lt;&gt;"",D78&lt;&gt;""),C78&amp;"-"&amp;D78,"")</f>
        <v/>
      </c>
      <c r="F78" s="7" t="n">
        <f aca="false">IFERROR(COUNTIFS('1. Raw Votes Log'!B:B,B78,'1. Raw Votes Log'!E:E,C78,'1. Raw Votes Log'!G:G,D78),0)</f>
        <v>0</v>
      </c>
      <c r="G78" s="35" t="n">
        <f aca="false">IFERROR(F78/COUNTIF('1. Raw Votes Log'!B:B,B78)*100,0)</f>
        <v>0</v>
      </c>
    </row>
    <row r="79" customFormat="false" ht="15" hidden="false" customHeight="false" outlineLevel="0" collapsed="false">
      <c r="A79" s="4" t="n">
        <v>76</v>
      </c>
      <c r="B79" s="17"/>
      <c r="C79" s="17"/>
      <c r="D79" s="17"/>
      <c r="E79" s="4" t="str">
        <f aca="false">IF(AND(C79&lt;&gt;"",D79&lt;&gt;""),C79&amp;"-"&amp;D79,"")</f>
        <v/>
      </c>
      <c r="F79" s="4" t="n">
        <f aca="false">IFERROR(COUNTIFS('1. Raw Votes Log'!B:B,B79,'1. Raw Votes Log'!E:E,C79,'1. Raw Votes Log'!G:G,D79),0)</f>
        <v>0</v>
      </c>
      <c r="G79" s="36" t="n">
        <f aca="false">IFERROR(F79/COUNTIF('1. Raw Votes Log'!B:B,B79)*100,0)</f>
        <v>0</v>
      </c>
    </row>
    <row r="80" customFormat="false" ht="15" hidden="false" customHeight="false" outlineLevel="0" collapsed="false">
      <c r="A80" s="7" t="n">
        <v>77</v>
      </c>
      <c r="B80" s="16"/>
      <c r="C80" s="16"/>
      <c r="D80" s="16"/>
      <c r="E80" s="7" t="str">
        <f aca="false">IF(AND(C80&lt;&gt;"",D80&lt;&gt;""),C80&amp;"-"&amp;D80,"")</f>
        <v/>
      </c>
      <c r="F80" s="7" t="n">
        <f aca="false">IFERROR(COUNTIFS('1. Raw Votes Log'!B:B,B80,'1. Raw Votes Log'!E:E,C80,'1. Raw Votes Log'!G:G,D80),0)</f>
        <v>0</v>
      </c>
      <c r="G80" s="35" t="n">
        <f aca="false">IFERROR(F80/COUNTIF('1. Raw Votes Log'!B:B,B80)*100,0)</f>
        <v>0</v>
      </c>
    </row>
    <row r="81" customFormat="false" ht="15" hidden="false" customHeight="false" outlineLevel="0" collapsed="false">
      <c r="A81" s="4" t="n">
        <v>78</v>
      </c>
      <c r="B81" s="17"/>
      <c r="C81" s="17"/>
      <c r="D81" s="17"/>
      <c r="E81" s="4" t="str">
        <f aca="false">IF(AND(C81&lt;&gt;"",D81&lt;&gt;""),C81&amp;"-"&amp;D81,"")</f>
        <v/>
      </c>
      <c r="F81" s="4" t="n">
        <f aca="false">IFERROR(COUNTIFS('1. Raw Votes Log'!B:B,B81,'1. Raw Votes Log'!E:E,C81,'1. Raw Votes Log'!G:G,D81),0)</f>
        <v>0</v>
      </c>
      <c r="G81" s="36" t="n">
        <f aca="false">IFERROR(F81/COUNTIF('1. Raw Votes Log'!B:B,B81)*100,0)</f>
        <v>0</v>
      </c>
    </row>
    <row r="82" customFormat="false" ht="15" hidden="false" customHeight="false" outlineLevel="0" collapsed="false">
      <c r="A82" s="7" t="n">
        <v>79</v>
      </c>
      <c r="B82" s="16"/>
      <c r="C82" s="16"/>
      <c r="D82" s="16"/>
      <c r="E82" s="7" t="str">
        <f aca="false">IF(AND(C82&lt;&gt;"",D82&lt;&gt;""),C82&amp;"-"&amp;D82,"")</f>
        <v/>
      </c>
      <c r="F82" s="7" t="n">
        <f aca="false">IFERROR(COUNTIFS('1. Raw Votes Log'!B:B,B82,'1. Raw Votes Log'!E:E,C82,'1. Raw Votes Log'!G:G,D82),0)</f>
        <v>0</v>
      </c>
      <c r="G82" s="35" t="n">
        <f aca="false">IFERROR(F82/COUNTIF('1. Raw Votes Log'!B:B,B82)*100,0)</f>
        <v>0</v>
      </c>
    </row>
    <row r="83" customFormat="false" ht="15" hidden="false" customHeight="false" outlineLevel="0" collapsed="false">
      <c r="A83" s="4" t="n">
        <v>80</v>
      </c>
      <c r="B83" s="17"/>
      <c r="C83" s="17"/>
      <c r="D83" s="17"/>
      <c r="E83" s="4" t="str">
        <f aca="false">IF(AND(C83&lt;&gt;"",D83&lt;&gt;""),C83&amp;"-"&amp;D83,"")</f>
        <v/>
      </c>
      <c r="F83" s="4" t="n">
        <f aca="false">IFERROR(COUNTIFS('1. Raw Votes Log'!B:B,B83,'1. Raw Votes Log'!E:E,C83,'1. Raw Votes Log'!G:G,D83),0)</f>
        <v>0</v>
      </c>
      <c r="G83" s="36" t="n">
        <f aca="false">IFERROR(F83/COUNTIF('1. Raw Votes Log'!B:B,B83)*100,0)</f>
        <v>0</v>
      </c>
    </row>
    <row r="84" customFormat="false" ht="15" hidden="false" customHeight="false" outlineLevel="0" collapsed="false">
      <c r="A84" s="7" t="n">
        <v>81</v>
      </c>
      <c r="B84" s="16"/>
      <c r="C84" s="16"/>
      <c r="D84" s="16"/>
      <c r="E84" s="7" t="str">
        <f aca="false">IF(AND(C84&lt;&gt;"",D84&lt;&gt;""),C84&amp;"-"&amp;D84,"")</f>
        <v/>
      </c>
      <c r="F84" s="7" t="n">
        <f aca="false">IFERROR(COUNTIFS('1. Raw Votes Log'!B:B,B84,'1. Raw Votes Log'!E:E,C84,'1. Raw Votes Log'!G:G,D84),0)</f>
        <v>0</v>
      </c>
      <c r="G84" s="35" t="n">
        <f aca="false">IFERROR(F84/COUNTIF('1. Raw Votes Log'!B:B,B84)*100,0)</f>
        <v>0</v>
      </c>
    </row>
    <row r="85" customFormat="false" ht="15" hidden="false" customHeight="false" outlineLevel="0" collapsed="false">
      <c r="A85" s="4" t="n">
        <v>82</v>
      </c>
      <c r="B85" s="17"/>
      <c r="C85" s="17"/>
      <c r="D85" s="17"/>
      <c r="E85" s="4" t="str">
        <f aca="false">IF(AND(C85&lt;&gt;"",D85&lt;&gt;""),C85&amp;"-"&amp;D85,"")</f>
        <v/>
      </c>
      <c r="F85" s="4" t="n">
        <f aca="false">IFERROR(COUNTIFS('1. Raw Votes Log'!B:B,B85,'1. Raw Votes Log'!E:E,C85,'1. Raw Votes Log'!G:G,D85),0)</f>
        <v>0</v>
      </c>
      <c r="G85" s="36" t="n">
        <f aca="false">IFERROR(F85/COUNTIF('1. Raw Votes Log'!B:B,B85)*100,0)</f>
        <v>0</v>
      </c>
    </row>
    <row r="86" customFormat="false" ht="15" hidden="false" customHeight="false" outlineLevel="0" collapsed="false">
      <c r="A86" s="7" t="n">
        <v>83</v>
      </c>
      <c r="B86" s="16"/>
      <c r="C86" s="16"/>
      <c r="D86" s="16"/>
      <c r="E86" s="7" t="str">
        <f aca="false">IF(AND(C86&lt;&gt;"",D86&lt;&gt;""),C86&amp;"-"&amp;D86,"")</f>
        <v/>
      </c>
      <c r="F86" s="7" t="n">
        <f aca="false">IFERROR(COUNTIFS('1. Raw Votes Log'!B:B,B86,'1. Raw Votes Log'!E:E,C86,'1. Raw Votes Log'!G:G,D86),0)</f>
        <v>0</v>
      </c>
      <c r="G86" s="35" t="n">
        <f aca="false">IFERROR(F86/COUNTIF('1. Raw Votes Log'!B:B,B86)*100,0)</f>
        <v>0</v>
      </c>
    </row>
    <row r="87" customFormat="false" ht="15" hidden="false" customHeight="false" outlineLevel="0" collapsed="false">
      <c r="A87" s="4" t="n">
        <v>84</v>
      </c>
      <c r="B87" s="17"/>
      <c r="C87" s="17"/>
      <c r="D87" s="17"/>
      <c r="E87" s="4" t="str">
        <f aca="false">IF(AND(C87&lt;&gt;"",D87&lt;&gt;""),C87&amp;"-"&amp;D87,"")</f>
        <v/>
      </c>
      <c r="F87" s="4" t="n">
        <f aca="false">IFERROR(COUNTIFS('1. Raw Votes Log'!B:B,B87,'1. Raw Votes Log'!E:E,C87,'1. Raw Votes Log'!G:G,D87),0)</f>
        <v>0</v>
      </c>
      <c r="G87" s="36" t="n">
        <f aca="false">IFERROR(F87/COUNTIF('1. Raw Votes Log'!B:B,B87)*100,0)</f>
        <v>0</v>
      </c>
    </row>
    <row r="88" customFormat="false" ht="15" hidden="false" customHeight="false" outlineLevel="0" collapsed="false">
      <c r="A88" s="7" t="n">
        <v>85</v>
      </c>
      <c r="B88" s="16"/>
      <c r="C88" s="16"/>
      <c r="D88" s="16"/>
      <c r="E88" s="7" t="str">
        <f aca="false">IF(AND(C88&lt;&gt;"",D88&lt;&gt;""),C88&amp;"-"&amp;D88,"")</f>
        <v/>
      </c>
      <c r="F88" s="7" t="n">
        <f aca="false">IFERROR(COUNTIFS('1. Raw Votes Log'!B:B,B88,'1. Raw Votes Log'!E:E,C88,'1. Raw Votes Log'!G:G,D88),0)</f>
        <v>0</v>
      </c>
      <c r="G88" s="35" t="n">
        <f aca="false">IFERROR(F88/COUNTIF('1. Raw Votes Log'!B:B,B88)*100,0)</f>
        <v>0</v>
      </c>
    </row>
    <row r="89" customFormat="false" ht="15" hidden="false" customHeight="false" outlineLevel="0" collapsed="false">
      <c r="A89" s="4" t="n">
        <v>86</v>
      </c>
      <c r="B89" s="17"/>
      <c r="C89" s="17"/>
      <c r="D89" s="17"/>
      <c r="E89" s="4" t="str">
        <f aca="false">IF(AND(C89&lt;&gt;"",D89&lt;&gt;""),C89&amp;"-"&amp;D89,"")</f>
        <v/>
      </c>
      <c r="F89" s="4" t="n">
        <f aca="false">IFERROR(COUNTIFS('1. Raw Votes Log'!B:B,B89,'1. Raw Votes Log'!E:E,C89,'1. Raw Votes Log'!G:G,D89),0)</f>
        <v>0</v>
      </c>
      <c r="G89" s="36" t="n">
        <f aca="false">IFERROR(F89/COUNTIF('1. Raw Votes Log'!B:B,B89)*100,0)</f>
        <v>0</v>
      </c>
    </row>
    <row r="90" customFormat="false" ht="15" hidden="false" customHeight="false" outlineLevel="0" collapsed="false">
      <c r="A90" s="7" t="n">
        <v>87</v>
      </c>
      <c r="B90" s="16"/>
      <c r="C90" s="16"/>
      <c r="D90" s="16"/>
      <c r="E90" s="7" t="str">
        <f aca="false">IF(AND(C90&lt;&gt;"",D90&lt;&gt;""),C90&amp;"-"&amp;D90,"")</f>
        <v/>
      </c>
      <c r="F90" s="7" t="n">
        <f aca="false">IFERROR(COUNTIFS('1. Raw Votes Log'!B:B,B90,'1. Raw Votes Log'!E:E,C90,'1. Raw Votes Log'!G:G,D90),0)</f>
        <v>0</v>
      </c>
      <c r="G90" s="35" t="n">
        <f aca="false">IFERROR(F90/COUNTIF('1. Raw Votes Log'!B:B,B90)*100,0)</f>
        <v>0</v>
      </c>
    </row>
    <row r="91" customFormat="false" ht="15" hidden="false" customHeight="false" outlineLevel="0" collapsed="false">
      <c r="A91" s="4" t="n">
        <v>88</v>
      </c>
      <c r="B91" s="17"/>
      <c r="C91" s="17"/>
      <c r="D91" s="17"/>
      <c r="E91" s="4" t="str">
        <f aca="false">IF(AND(C91&lt;&gt;"",D91&lt;&gt;""),C91&amp;"-"&amp;D91,"")</f>
        <v/>
      </c>
      <c r="F91" s="4" t="n">
        <f aca="false">IFERROR(COUNTIFS('1. Raw Votes Log'!B:B,B91,'1. Raw Votes Log'!E:E,C91,'1. Raw Votes Log'!G:G,D91),0)</f>
        <v>0</v>
      </c>
      <c r="G91" s="36" t="n">
        <f aca="false">IFERROR(F91/COUNTIF('1. Raw Votes Log'!B:B,B91)*100,0)</f>
        <v>0</v>
      </c>
    </row>
    <row r="92" customFormat="false" ht="15" hidden="false" customHeight="false" outlineLevel="0" collapsed="false">
      <c r="A92" s="7" t="n">
        <v>89</v>
      </c>
      <c r="B92" s="16"/>
      <c r="C92" s="16"/>
      <c r="D92" s="16"/>
      <c r="E92" s="7" t="str">
        <f aca="false">IF(AND(C92&lt;&gt;"",D92&lt;&gt;""),C92&amp;"-"&amp;D92,"")</f>
        <v/>
      </c>
      <c r="F92" s="7" t="n">
        <f aca="false">IFERROR(COUNTIFS('1. Raw Votes Log'!B:B,B92,'1. Raw Votes Log'!E:E,C92,'1. Raw Votes Log'!G:G,D92),0)</f>
        <v>0</v>
      </c>
      <c r="G92" s="35" t="n">
        <f aca="false">IFERROR(F92/COUNTIF('1. Raw Votes Log'!B:B,B92)*100,0)</f>
        <v>0</v>
      </c>
    </row>
    <row r="93" customFormat="false" ht="15" hidden="false" customHeight="false" outlineLevel="0" collapsed="false">
      <c r="A93" s="4" t="n">
        <v>90</v>
      </c>
      <c r="B93" s="17"/>
      <c r="C93" s="17"/>
      <c r="D93" s="17"/>
      <c r="E93" s="4" t="str">
        <f aca="false">IF(AND(C93&lt;&gt;"",D93&lt;&gt;""),C93&amp;"-"&amp;D93,"")</f>
        <v/>
      </c>
      <c r="F93" s="4" t="n">
        <f aca="false">IFERROR(COUNTIFS('1. Raw Votes Log'!B:B,B93,'1. Raw Votes Log'!E:E,C93,'1. Raw Votes Log'!G:G,D93),0)</f>
        <v>0</v>
      </c>
      <c r="G93" s="36" t="n">
        <f aca="false">IFERROR(F93/COUNTIF('1. Raw Votes Log'!B:B,B93)*100,0)</f>
        <v>0</v>
      </c>
    </row>
    <row r="94" customFormat="false" ht="15" hidden="false" customHeight="false" outlineLevel="0" collapsed="false">
      <c r="A94" s="7" t="n">
        <v>91</v>
      </c>
      <c r="B94" s="16"/>
      <c r="C94" s="16"/>
      <c r="D94" s="16"/>
      <c r="E94" s="7" t="str">
        <f aca="false">IF(AND(C94&lt;&gt;"",D94&lt;&gt;""),C94&amp;"-"&amp;D94,"")</f>
        <v/>
      </c>
      <c r="F94" s="7" t="n">
        <f aca="false">IFERROR(COUNTIFS('1. Raw Votes Log'!B:B,B94,'1. Raw Votes Log'!E:E,C94,'1. Raw Votes Log'!G:G,D94),0)</f>
        <v>0</v>
      </c>
      <c r="G94" s="35" t="n">
        <f aca="false">IFERROR(F94/COUNTIF('1. Raw Votes Log'!B:B,B94)*100,0)</f>
        <v>0</v>
      </c>
    </row>
    <row r="95" customFormat="false" ht="15" hidden="false" customHeight="false" outlineLevel="0" collapsed="false">
      <c r="A95" s="4" t="n">
        <v>92</v>
      </c>
      <c r="B95" s="17"/>
      <c r="C95" s="17"/>
      <c r="D95" s="17"/>
      <c r="E95" s="4" t="str">
        <f aca="false">IF(AND(C95&lt;&gt;"",D95&lt;&gt;""),C95&amp;"-"&amp;D95,"")</f>
        <v/>
      </c>
      <c r="F95" s="4" t="n">
        <f aca="false">IFERROR(COUNTIFS('1. Raw Votes Log'!B:B,B95,'1. Raw Votes Log'!E:E,C95,'1. Raw Votes Log'!G:G,D95),0)</f>
        <v>0</v>
      </c>
      <c r="G95" s="36" t="n">
        <f aca="false">IFERROR(F95/COUNTIF('1. Raw Votes Log'!B:B,B95)*100,0)</f>
        <v>0</v>
      </c>
    </row>
    <row r="96" customFormat="false" ht="15" hidden="false" customHeight="false" outlineLevel="0" collapsed="false">
      <c r="A96" s="7" t="n">
        <v>93</v>
      </c>
      <c r="B96" s="16"/>
      <c r="C96" s="16"/>
      <c r="D96" s="16"/>
      <c r="E96" s="7" t="str">
        <f aca="false">IF(AND(C96&lt;&gt;"",D96&lt;&gt;""),C96&amp;"-"&amp;D96,"")</f>
        <v/>
      </c>
      <c r="F96" s="7" t="n">
        <f aca="false">IFERROR(COUNTIFS('1. Raw Votes Log'!B:B,B96,'1. Raw Votes Log'!E:E,C96,'1. Raw Votes Log'!G:G,D96),0)</f>
        <v>0</v>
      </c>
      <c r="G96" s="35" t="n">
        <f aca="false">IFERROR(F96/COUNTIF('1. Raw Votes Log'!B:B,B96)*100,0)</f>
        <v>0</v>
      </c>
    </row>
    <row r="97" customFormat="false" ht="15" hidden="false" customHeight="false" outlineLevel="0" collapsed="false">
      <c r="A97" s="4" t="n">
        <v>94</v>
      </c>
      <c r="B97" s="17"/>
      <c r="C97" s="17"/>
      <c r="D97" s="17"/>
      <c r="E97" s="4" t="str">
        <f aca="false">IF(AND(C97&lt;&gt;"",D97&lt;&gt;""),C97&amp;"-"&amp;D97,"")</f>
        <v/>
      </c>
      <c r="F97" s="4" t="n">
        <f aca="false">IFERROR(COUNTIFS('1. Raw Votes Log'!B:B,B97,'1. Raw Votes Log'!E:E,C97,'1. Raw Votes Log'!G:G,D97),0)</f>
        <v>0</v>
      </c>
      <c r="G97" s="36" t="n">
        <f aca="false">IFERROR(F97/COUNTIF('1. Raw Votes Log'!B:B,B97)*100,0)</f>
        <v>0</v>
      </c>
    </row>
    <row r="98" customFormat="false" ht="15" hidden="false" customHeight="false" outlineLevel="0" collapsed="false">
      <c r="A98" s="7" t="n">
        <v>95</v>
      </c>
      <c r="B98" s="16"/>
      <c r="C98" s="16"/>
      <c r="D98" s="16"/>
      <c r="E98" s="7" t="str">
        <f aca="false">IF(AND(C98&lt;&gt;"",D98&lt;&gt;""),C98&amp;"-"&amp;D98,"")</f>
        <v/>
      </c>
      <c r="F98" s="7" t="n">
        <f aca="false">IFERROR(COUNTIFS('1. Raw Votes Log'!B:B,B98,'1. Raw Votes Log'!E:E,C98,'1. Raw Votes Log'!G:G,D98),0)</f>
        <v>0</v>
      </c>
      <c r="G98" s="35" t="n">
        <f aca="false">IFERROR(F98/COUNTIF('1. Raw Votes Log'!B:B,B98)*100,0)</f>
        <v>0</v>
      </c>
    </row>
    <row r="99" customFormat="false" ht="15" hidden="false" customHeight="false" outlineLevel="0" collapsed="false">
      <c r="A99" s="4" t="n">
        <v>96</v>
      </c>
      <c r="B99" s="17"/>
      <c r="C99" s="17"/>
      <c r="D99" s="17"/>
      <c r="E99" s="4" t="str">
        <f aca="false">IF(AND(C99&lt;&gt;"",D99&lt;&gt;""),C99&amp;"-"&amp;D99,"")</f>
        <v/>
      </c>
      <c r="F99" s="4" t="n">
        <f aca="false">IFERROR(COUNTIFS('1. Raw Votes Log'!B:B,B99,'1. Raw Votes Log'!E:E,C99,'1. Raw Votes Log'!G:G,D99),0)</f>
        <v>0</v>
      </c>
      <c r="G99" s="36" t="n">
        <f aca="false">IFERROR(F99/COUNTIF('1. Raw Votes Log'!B:B,B99)*100,0)</f>
        <v>0</v>
      </c>
    </row>
    <row r="100" customFormat="false" ht="15" hidden="false" customHeight="false" outlineLevel="0" collapsed="false">
      <c r="A100" s="7" t="n">
        <v>97</v>
      </c>
      <c r="B100" s="16"/>
      <c r="C100" s="16"/>
      <c r="D100" s="16"/>
      <c r="E100" s="7" t="str">
        <f aca="false">IF(AND(C100&lt;&gt;"",D100&lt;&gt;""),C100&amp;"-"&amp;D100,"")</f>
        <v/>
      </c>
      <c r="F100" s="7" t="n">
        <f aca="false">IFERROR(COUNTIFS('1. Raw Votes Log'!B:B,B100,'1. Raw Votes Log'!E:E,C100,'1. Raw Votes Log'!G:G,D100),0)</f>
        <v>0</v>
      </c>
      <c r="G100" s="35" t="n">
        <f aca="false">IFERROR(F100/COUNTIF('1. Raw Votes Log'!B:B,B100)*100,0)</f>
        <v>0</v>
      </c>
    </row>
    <row r="101" customFormat="false" ht="15" hidden="false" customHeight="false" outlineLevel="0" collapsed="false">
      <c r="A101" s="4" t="n">
        <v>98</v>
      </c>
      <c r="B101" s="17"/>
      <c r="C101" s="17"/>
      <c r="D101" s="17"/>
      <c r="E101" s="4" t="str">
        <f aca="false">IF(AND(C101&lt;&gt;"",D101&lt;&gt;""),C101&amp;"-"&amp;D101,"")</f>
        <v/>
      </c>
      <c r="F101" s="4" t="n">
        <f aca="false">IFERROR(COUNTIFS('1. Raw Votes Log'!B:B,B101,'1. Raw Votes Log'!E:E,C101,'1. Raw Votes Log'!G:G,D101),0)</f>
        <v>0</v>
      </c>
      <c r="G101" s="36" t="n">
        <f aca="false">IFERROR(F101/COUNTIF('1. Raw Votes Log'!B:B,B101)*100,0)</f>
        <v>0</v>
      </c>
    </row>
    <row r="102" customFormat="false" ht="15" hidden="false" customHeight="false" outlineLevel="0" collapsed="false">
      <c r="A102" s="7" t="n">
        <v>99</v>
      </c>
      <c r="B102" s="16"/>
      <c r="C102" s="16"/>
      <c r="D102" s="16"/>
      <c r="E102" s="7" t="str">
        <f aca="false">IF(AND(C102&lt;&gt;"",D102&lt;&gt;""),C102&amp;"-"&amp;D102,"")</f>
        <v/>
      </c>
      <c r="F102" s="7" t="n">
        <f aca="false">IFERROR(COUNTIFS('1. Raw Votes Log'!B:B,B102,'1. Raw Votes Log'!E:E,C102,'1. Raw Votes Log'!G:G,D102),0)</f>
        <v>0</v>
      </c>
      <c r="G102" s="35" t="n">
        <f aca="false">IFERROR(F102/COUNTIF('1. Raw Votes Log'!B:B,B102)*100,0)</f>
        <v>0</v>
      </c>
    </row>
    <row r="103" customFormat="false" ht="15" hidden="false" customHeight="false" outlineLevel="0" collapsed="false">
      <c r="A103" s="4" t="n">
        <v>100</v>
      </c>
      <c r="B103" s="17"/>
      <c r="C103" s="17"/>
      <c r="D103" s="17"/>
      <c r="E103" s="4" t="str">
        <f aca="false">IF(AND(C103&lt;&gt;"",D103&lt;&gt;""),C103&amp;"-"&amp;D103,"")</f>
        <v/>
      </c>
      <c r="F103" s="4" t="n">
        <f aca="false">IFERROR(COUNTIFS('1. Raw Votes Log'!B:B,B103,'1. Raw Votes Log'!E:E,C103,'1. Raw Votes Log'!G:G,D103),0)</f>
        <v>0</v>
      </c>
      <c r="G103" s="36" t="n">
        <f aca="false">IFERROR(F103/COUNTIF('1. Raw Votes Log'!B:B,B103)*100,0)</f>
        <v>0</v>
      </c>
    </row>
    <row r="104" customFormat="false" ht="15" hidden="false" customHeight="false" outlineLevel="0" collapsed="false">
      <c r="A104" s="7" t="n">
        <v>101</v>
      </c>
      <c r="B104" s="16"/>
      <c r="C104" s="16"/>
      <c r="D104" s="16"/>
      <c r="E104" s="7" t="str">
        <f aca="false">IF(AND(C104&lt;&gt;"",D104&lt;&gt;""),C104&amp;"-"&amp;D104,"")</f>
        <v/>
      </c>
      <c r="F104" s="7" t="n">
        <f aca="false">IFERROR(COUNTIFS('1. Raw Votes Log'!B:B,B104,'1. Raw Votes Log'!E:E,C104,'1. Raw Votes Log'!G:G,D104),0)</f>
        <v>0</v>
      </c>
      <c r="G104" s="35" t="n">
        <f aca="false">IFERROR(F104/COUNTIF('1. Raw Votes Log'!B:B,B104)*100,0)</f>
        <v>0</v>
      </c>
    </row>
    <row r="105" customFormat="false" ht="15" hidden="false" customHeight="false" outlineLevel="0" collapsed="false">
      <c r="A105" s="4" t="n">
        <v>102</v>
      </c>
      <c r="B105" s="17"/>
      <c r="C105" s="17"/>
      <c r="D105" s="17"/>
      <c r="E105" s="4" t="str">
        <f aca="false">IF(AND(C105&lt;&gt;"",D105&lt;&gt;""),C105&amp;"-"&amp;D105,"")</f>
        <v/>
      </c>
      <c r="F105" s="4" t="n">
        <f aca="false">IFERROR(COUNTIFS('1. Raw Votes Log'!B:B,B105,'1. Raw Votes Log'!E:E,C105,'1. Raw Votes Log'!G:G,D105),0)</f>
        <v>0</v>
      </c>
      <c r="G105" s="36" t="n">
        <f aca="false">IFERROR(F105/COUNTIF('1. Raw Votes Log'!B:B,B105)*100,0)</f>
        <v>0</v>
      </c>
    </row>
    <row r="106" customFormat="false" ht="15" hidden="false" customHeight="false" outlineLevel="0" collapsed="false">
      <c r="A106" s="7" t="n">
        <v>103</v>
      </c>
      <c r="B106" s="16"/>
      <c r="C106" s="16"/>
      <c r="D106" s="16"/>
      <c r="E106" s="7" t="str">
        <f aca="false">IF(AND(C106&lt;&gt;"",D106&lt;&gt;""),C106&amp;"-"&amp;D106,"")</f>
        <v/>
      </c>
      <c r="F106" s="7" t="n">
        <f aca="false">IFERROR(COUNTIFS('1. Raw Votes Log'!B:B,B106,'1. Raw Votes Log'!E:E,C106,'1. Raw Votes Log'!G:G,D106),0)</f>
        <v>0</v>
      </c>
      <c r="G106" s="35" t="n">
        <f aca="false">IFERROR(F106/COUNTIF('1. Raw Votes Log'!B:B,B106)*100,0)</f>
        <v>0</v>
      </c>
    </row>
    <row r="107" customFormat="false" ht="15" hidden="false" customHeight="false" outlineLevel="0" collapsed="false">
      <c r="A107" s="4" t="n">
        <v>104</v>
      </c>
      <c r="B107" s="17"/>
      <c r="C107" s="17"/>
      <c r="D107" s="17"/>
      <c r="E107" s="4" t="str">
        <f aca="false">IF(AND(C107&lt;&gt;"",D107&lt;&gt;""),C107&amp;"-"&amp;D107,"")</f>
        <v/>
      </c>
      <c r="F107" s="4" t="n">
        <f aca="false">IFERROR(COUNTIFS('1. Raw Votes Log'!B:B,B107,'1. Raw Votes Log'!E:E,C107,'1. Raw Votes Log'!G:G,D107),0)</f>
        <v>0</v>
      </c>
      <c r="G107" s="36" t="n">
        <f aca="false">IFERROR(F107/COUNTIF('1. Raw Votes Log'!B:B,B107)*100,0)</f>
        <v>0</v>
      </c>
    </row>
    <row r="108" customFormat="false" ht="15" hidden="false" customHeight="false" outlineLevel="0" collapsed="false">
      <c r="A108" s="7" t="n">
        <v>105</v>
      </c>
      <c r="B108" s="16"/>
      <c r="C108" s="16"/>
      <c r="D108" s="16"/>
      <c r="E108" s="7" t="str">
        <f aca="false">IF(AND(C108&lt;&gt;"",D108&lt;&gt;""),C108&amp;"-"&amp;D108,"")</f>
        <v/>
      </c>
      <c r="F108" s="7" t="n">
        <f aca="false">IFERROR(COUNTIFS('1. Raw Votes Log'!B:B,B108,'1. Raw Votes Log'!E:E,C108,'1. Raw Votes Log'!G:G,D108),0)</f>
        <v>0</v>
      </c>
      <c r="G108" s="35" t="n">
        <f aca="false">IFERROR(F108/COUNTIF('1. Raw Votes Log'!B:B,B108)*100,0)</f>
        <v>0</v>
      </c>
    </row>
    <row r="109" customFormat="false" ht="15" hidden="false" customHeight="false" outlineLevel="0" collapsed="false">
      <c r="A109" s="4" t="n">
        <v>106</v>
      </c>
      <c r="B109" s="17"/>
      <c r="C109" s="17"/>
      <c r="D109" s="17"/>
      <c r="E109" s="4" t="str">
        <f aca="false">IF(AND(C109&lt;&gt;"",D109&lt;&gt;""),C109&amp;"-"&amp;D109,"")</f>
        <v/>
      </c>
      <c r="F109" s="4" t="n">
        <f aca="false">IFERROR(COUNTIFS('1. Raw Votes Log'!B:B,B109,'1. Raw Votes Log'!E:E,C109,'1. Raw Votes Log'!G:G,D109),0)</f>
        <v>0</v>
      </c>
      <c r="G109" s="36" t="n">
        <f aca="false">IFERROR(F109/COUNTIF('1. Raw Votes Log'!B:B,B109)*100,0)</f>
        <v>0</v>
      </c>
    </row>
    <row r="110" customFormat="false" ht="15" hidden="false" customHeight="false" outlineLevel="0" collapsed="false">
      <c r="A110" s="7" t="n">
        <v>107</v>
      </c>
      <c r="B110" s="16"/>
      <c r="C110" s="16"/>
      <c r="D110" s="16"/>
      <c r="E110" s="7" t="str">
        <f aca="false">IF(AND(C110&lt;&gt;"",D110&lt;&gt;""),C110&amp;"-"&amp;D110,"")</f>
        <v/>
      </c>
      <c r="F110" s="7" t="n">
        <f aca="false">IFERROR(COUNTIFS('1. Raw Votes Log'!B:B,B110,'1. Raw Votes Log'!E:E,C110,'1. Raw Votes Log'!G:G,D110),0)</f>
        <v>0</v>
      </c>
      <c r="G110" s="35" t="n">
        <f aca="false">IFERROR(F110/COUNTIF('1. Raw Votes Log'!B:B,B110)*100,0)</f>
        <v>0</v>
      </c>
    </row>
    <row r="111" customFormat="false" ht="15" hidden="false" customHeight="false" outlineLevel="0" collapsed="false">
      <c r="A111" s="4" t="n">
        <v>108</v>
      </c>
      <c r="B111" s="17"/>
      <c r="C111" s="17"/>
      <c r="D111" s="17"/>
      <c r="E111" s="4" t="str">
        <f aca="false">IF(AND(C111&lt;&gt;"",D111&lt;&gt;""),C111&amp;"-"&amp;D111,"")</f>
        <v/>
      </c>
      <c r="F111" s="4" t="n">
        <f aca="false">IFERROR(COUNTIFS('1. Raw Votes Log'!B:B,B111,'1. Raw Votes Log'!E:E,C111,'1. Raw Votes Log'!G:G,D111),0)</f>
        <v>0</v>
      </c>
      <c r="G111" s="36" t="n">
        <f aca="false">IFERROR(F111/COUNTIF('1. Raw Votes Log'!B:B,B111)*100,0)</f>
        <v>0</v>
      </c>
    </row>
    <row r="112" customFormat="false" ht="15" hidden="false" customHeight="false" outlineLevel="0" collapsed="false">
      <c r="A112" s="7" t="n">
        <v>109</v>
      </c>
      <c r="B112" s="16"/>
      <c r="C112" s="16"/>
      <c r="D112" s="16"/>
      <c r="E112" s="7" t="str">
        <f aca="false">IF(AND(C112&lt;&gt;"",D112&lt;&gt;""),C112&amp;"-"&amp;D112,"")</f>
        <v/>
      </c>
      <c r="F112" s="7" t="n">
        <f aca="false">IFERROR(COUNTIFS('1. Raw Votes Log'!B:B,B112,'1. Raw Votes Log'!E:E,C112,'1. Raw Votes Log'!G:G,D112),0)</f>
        <v>0</v>
      </c>
      <c r="G112" s="35" t="n">
        <f aca="false">IFERROR(F112/COUNTIF('1. Raw Votes Log'!B:B,B112)*100,0)</f>
        <v>0</v>
      </c>
    </row>
    <row r="113" customFormat="false" ht="15" hidden="false" customHeight="false" outlineLevel="0" collapsed="false">
      <c r="A113" s="4" t="n">
        <v>110</v>
      </c>
      <c r="B113" s="17"/>
      <c r="C113" s="17"/>
      <c r="D113" s="17"/>
      <c r="E113" s="4" t="str">
        <f aca="false">IF(AND(C113&lt;&gt;"",D113&lt;&gt;""),C113&amp;"-"&amp;D113,"")</f>
        <v/>
      </c>
      <c r="F113" s="4" t="n">
        <f aca="false">IFERROR(COUNTIFS('1. Raw Votes Log'!B:B,B113,'1. Raw Votes Log'!E:E,C113,'1. Raw Votes Log'!G:G,D113),0)</f>
        <v>0</v>
      </c>
      <c r="G113" s="36" t="n">
        <f aca="false">IFERROR(F113/COUNTIF('1. Raw Votes Log'!B:B,B113)*100,0)</f>
        <v>0</v>
      </c>
    </row>
    <row r="114" customFormat="false" ht="15" hidden="false" customHeight="false" outlineLevel="0" collapsed="false">
      <c r="A114" s="7" t="n">
        <v>111</v>
      </c>
      <c r="B114" s="16"/>
      <c r="C114" s="16"/>
      <c r="D114" s="16"/>
      <c r="E114" s="7" t="str">
        <f aca="false">IF(AND(C114&lt;&gt;"",D114&lt;&gt;""),C114&amp;"-"&amp;D114,"")</f>
        <v/>
      </c>
      <c r="F114" s="7" t="n">
        <f aca="false">IFERROR(COUNTIFS('1. Raw Votes Log'!B:B,B114,'1. Raw Votes Log'!E:E,C114,'1. Raw Votes Log'!G:G,D114),0)</f>
        <v>0</v>
      </c>
      <c r="G114" s="35" t="n">
        <f aca="false">IFERROR(F114/COUNTIF('1. Raw Votes Log'!B:B,B114)*100,0)</f>
        <v>0</v>
      </c>
    </row>
    <row r="115" customFormat="false" ht="15" hidden="false" customHeight="false" outlineLevel="0" collapsed="false">
      <c r="A115" s="4" t="n">
        <v>112</v>
      </c>
      <c r="B115" s="17"/>
      <c r="C115" s="17"/>
      <c r="D115" s="17"/>
      <c r="E115" s="4" t="str">
        <f aca="false">IF(AND(C115&lt;&gt;"",D115&lt;&gt;""),C115&amp;"-"&amp;D115,"")</f>
        <v/>
      </c>
      <c r="F115" s="4" t="n">
        <f aca="false">IFERROR(COUNTIFS('1. Raw Votes Log'!B:B,B115,'1. Raw Votes Log'!E:E,C115,'1. Raw Votes Log'!G:G,D115),0)</f>
        <v>0</v>
      </c>
      <c r="G115" s="36" t="n">
        <f aca="false">IFERROR(F115/COUNTIF('1. Raw Votes Log'!B:B,B115)*100,0)</f>
        <v>0</v>
      </c>
    </row>
    <row r="116" customFormat="false" ht="15" hidden="false" customHeight="false" outlineLevel="0" collapsed="false">
      <c r="A116" s="7" t="n">
        <v>113</v>
      </c>
      <c r="B116" s="16"/>
      <c r="C116" s="16"/>
      <c r="D116" s="16"/>
      <c r="E116" s="7" t="str">
        <f aca="false">IF(AND(C116&lt;&gt;"",D116&lt;&gt;""),C116&amp;"-"&amp;D116,"")</f>
        <v/>
      </c>
      <c r="F116" s="7" t="n">
        <f aca="false">IFERROR(COUNTIFS('1. Raw Votes Log'!B:B,B116,'1. Raw Votes Log'!E:E,C116,'1. Raw Votes Log'!G:G,D116),0)</f>
        <v>0</v>
      </c>
      <c r="G116" s="35" t="n">
        <f aca="false">IFERROR(F116/COUNTIF('1. Raw Votes Log'!B:B,B116)*100,0)</f>
        <v>0</v>
      </c>
    </row>
    <row r="117" customFormat="false" ht="15" hidden="false" customHeight="false" outlineLevel="0" collapsed="false">
      <c r="A117" s="4" t="n">
        <v>114</v>
      </c>
      <c r="B117" s="17"/>
      <c r="C117" s="17"/>
      <c r="D117" s="17"/>
      <c r="E117" s="4" t="str">
        <f aca="false">IF(AND(C117&lt;&gt;"",D117&lt;&gt;""),C117&amp;"-"&amp;D117,"")</f>
        <v/>
      </c>
      <c r="F117" s="4" t="n">
        <f aca="false">IFERROR(COUNTIFS('1. Raw Votes Log'!B:B,B117,'1. Raw Votes Log'!E:E,C117,'1. Raw Votes Log'!G:G,D117),0)</f>
        <v>0</v>
      </c>
      <c r="G117" s="36" t="n">
        <f aca="false">IFERROR(F117/COUNTIF('1. Raw Votes Log'!B:B,B117)*100,0)</f>
        <v>0</v>
      </c>
    </row>
    <row r="118" customFormat="false" ht="15" hidden="false" customHeight="false" outlineLevel="0" collapsed="false">
      <c r="A118" s="7" t="n">
        <v>115</v>
      </c>
      <c r="B118" s="16"/>
      <c r="C118" s="16"/>
      <c r="D118" s="16"/>
      <c r="E118" s="7" t="str">
        <f aca="false">IF(AND(C118&lt;&gt;"",D118&lt;&gt;""),C118&amp;"-"&amp;D118,"")</f>
        <v/>
      </c>
      <c r="F118" s="7" t="n">
        <f aca="false">IFERROR(COUNTIFS('1. Raw Votes Log'!B:B,B118,'1. Raw Votes Log'!E:E,C118,'1. Raw Votes Log'!G:G,D118),0)</f>
        <v>0</v>
      </c>
      <c r="G118" s="35" t="n">
        <f aca="false">IFERROR(F118/COUNTIF('1. Raw Votes Log'!B:B,B118)*100,0)</f>
        <v>0</v>
      </c>
    </row>
    <row r="119" customFormat="false" ht="15" hidden="false" customHeight="false" outlineLevel="0" collapsed="false">
      <c r="A119" s="4" t="n">
        <v>116</v>
      </c>
      <c r="B119" s="17"/>
      <c r="C119" s="17"/>
      <c r="D119" s="17"/>
      <c r="E119" s="4" t="str">
        <f aca="false">IF(AND(C119&lt;&gt;"",D119&lt;&gt;""),C119&amp;"-"&amp;D119,"")</f>
        <v/>
      </c>
      <c r="F119" s="4" t="n">
        <f aca="false">IFERROR(COUNTIFS('1. Raw Votes Log'!B:B,B119,'1. Raw Votes Log'!E:E,C119,'1. Raw Votes Log'!G:G,D119),0)</f>
        <v>0</v>
      </c>
      <c r="G119" s="36" t="n">
        <f aca="false">IFERROR(F119/COUNTIF('1. Raw Votes Log'!B:B,B119)*100,0)</f>
        <v>0</v>
      </c>
    </row>
    <row r="120" customFormat="false" ht="15" hidden="false" customHeight="false" outlineLevel="0" collapsed="false">
      <c r="A120" s="7" t="n">
        <v>117</v>
      </c>
      <c r="B120" s="16"/>
      <c r="C120" s="16"/>
      <c r="D120" s="16"/>
      <c r="E120" s="7" t="str">
        <f aca="false">IF(AND(C120&lt;&gt;"",D120&lt;&gt;""),C120&amp;"-"&amp;D120,"")</f>
        <v/>
      </c>
      <c r="F120" s="7" t="n">
        <f aca="false">IFERROR(COUNTIFS('1. Raw Votes Log'!B:B,B120,'1. Raw Votes Log'!E:E,C120,'1. Raw Votes Log'!G:G,D120),0)</f>
        <v>0</v>
      </c>
      <c r="G120" s="35" t="n">
        <f aca="false">IFERROR(F120/COUNTIF('1. Raw Votes Log'!B:B,B120)*100,0)</f>
        <v>0</v>
      </c>
    </row>
    <row r="121" customFormat="false" ht="15" hidden="false" customHeight="false" outlineLevel="0" collapsed="false">
      <c r="A121" s="4" t="n">
        <v>118</v>
      </c>
      <c r="B121" s="17"/>
      <c r="C121" s="17"/>
      <c r="D121" s="17"/>
      <c r="E121" s="4" t="str">
        <f aca="false">IF(AND(C121&lt;&gt;"",D121&lt;&gt;""),C121&amp;"-"&amp;D121,"")</f>
        <v/>
      </c>
      <c r="F121" s="4" t="n">
        <f aca="false">IFERROR(COUNTIFS('1. Raw Votes Log'!B:B,B121,'1. Raw Votes Log'!E:E,C121,'1. Raw Votes Log'!G:G,D121),0)</f>
        <v>0</v>
      </c>
      <c r="G121" s="36" t="n">
        <f aca="false">IFERROR(F121/COUNTIF('1. Raw Votes Log'!B:B,B121)*100,0)</f>
        <v>0</v>
      </c>
    </row>
    <row r="122" customFormat="false" ht="15" hidden="false" customHeight="false" outlineLevel="0" collapsed="false">
      <c r="A122" s="7" t="n">
        <v>119</v>
      </c>
      <c r="B122" s="16"/>
      <c r="C122" s="16"/>
      <c r="D122" s="16"/>
      <c r="E122" s="7" t="str">
        <f aca="false">IF(AND(C122&lt;&gt;"",D122&lt;&gt;""),C122&amp;"-"&amp;D122,"")</f>
        <v/>
      </c>
      <c r="F122" s="7" t="n">
        <f aca="false">IFERROR(COUNTIFS('1. Raw Votes Log'!B:B,B122,'1. Raw Votes Log'!E:E,C122,'1. Raw Votes Log'!G:G,D122),0)</f>
        <v>0</v>
      </c>
      <c r="G122" s="35" t="n">
        <f aca="false">IFERROR(F122/COUNTIF('1. Raw Votes Log'!B:B,B122)*100,0)</f>
        <v>0</v>
      </c>
    </row>
    <row r="123" customFormat="false" ht="15" hidden="false" customHeight="false" outlineLevel="0" collapsed="false">
      <c r="A123" s="4" t="n">
        <v>120</v>
      </c>
      <c r="B123" s="17"/>
      <c r="C123" s="17"/>
      <c r="D123" s="17"/>
      <c r="E123" s="4" t="str">
        <f aca="false">IF(AND(C123&lt;&gt;"",D123&lt;&gt;""),C123&amp;"-"&amp;D123,"")</f>
        <v/>
      </c>
      <c r="F123" s="4" t="n">
        <f aca="false">IFERROR(COUNTIFS('1. Raw Votes Log'!B:B,B123,'1. Raw Votes Log'!E:E,C123,'1. Raw Votes Log'!G:G,D123),0)</f>
        <v>0</v>
      </c>
      <c r="G123" s="36" t="n">
        <f aca="false">IFERROR(F123/COUNTIF('1. Raw Votes Log'!B:B,B123)*100,0)</f>
        <v>0</v>
      </c>
    </row>
    <row r="124" customFormat="false" ht="15" hidden="false" customHeight="false" outlineLevel="0" collapsed="false">
      <c r="A124" s="7" t="n">
        <v>121</v>
      </c>
      <c r="B124" s="16"/>
      <c r="C124" s="16"/>
      <c r="D124" s="16"/>
      <c r="E124" s="7" t="str">
        <f aca="false">IF(AND(C124&lt;&gt;"",D124&lt;&gt;""),C124&amp;"-"&amp;D124,"")</f>
        <v/>
      </c>
      <c r="F124" s="7" t="n">
        <f aca="false">IFERROR(COUNTIFS('1. Raw Votes Log'!B:B,B124,'1. Raw Votes Log'!E:E,C124,'1. Raw Votes Log'!G:G,D124),0)</f>
        <v>0</v>
      </c>
      <c r="G124" s="35" t="n">
        <f aca="false">IFERROR(F124/COUNTIF('1. Raw Votes Log'!B:B,B124)*100,0)</f>
        <v>0</v>
      </c>
    </row>
    <row r="125" customFormat="false" ht="15" hidden="false" customHeight="false" outlineLevel="0" collapsed="false">
      <c r="A125" s="4" t="n">
        <v>122</v>
      </c>
      <c r="B125" s="17"/>
      <c r="C125" s="17"/>
      <c r="D125" s="17"/>
      <c r="E125" s="4" t="str">
        <f aca="false">IF(AND(C125&lt;&gt;"",D125&lt;&gt;""),C125&amp;"-"&amp;D125,"")</f>
        <v/>
      </c>
      <c r="F125" s="4" t="n">
        <f aca="false">IFERROR(COUNTIFS('1. Raw Votes Log'!B:B,B125,'1. Raw Votes Log'!E:E,C125,'1. Raw Votes Log'!G:G,D125),0)</f>
        <v>0</v>
      </c>
      <c r="G125" s="36" t="n">
        <f aca="false">IFERROR(F125/COUNTIF('1. Raw Votes Log'!B:B,B125)*100,0)</f>
        <v>0</v>
      </c>
    </row>
    <row r="126" customFormat="false" ht="15" hidden="false" customHeight="false" outlineLevel="0" collapsed="false">
      <c r="A126" s="7" t="n">
        <v>123</v>
      </c>
      <c r="B126" s="16"/>
      <c r="C126" s="16"/>
      <c r="D126" s="16"/>
      <c r="E126" s="7" t="str">
        <f aca="false">IF(AND(C126&lt;&gt;"",D126&lt;&gt;""),C126&amp;"-"&amp;D126,"")</f>
        <v/>
      </c>
      <c r="F126" s="7" t="n">
        <f aca="false">IFERROR(COUNTIFS('1. Raw Votes Log'!B:B,B126,'1. Raw Votes Log'!E:E,C126,'1. Raw Votes Log'!G:G,D126),0)</f>
        <v>0</v>
      </c>
      <c r="G126" s="35" t="n">
        <f aca="false">IFERROR(F126/COUNTIF('1. Raw Votes Log'!B:B,B126)*100,0)</f>
        <v>0</v>
      </c>
    </row>
    <row r="127" customFormat="false" ht="15" hidden="false" customHeight="false" outlineLevel="0" collapsed="false">
      <c r="A127" s="4" t="n">
        <v>124</v>
      </c>
      <c r="B127" s="17"/>
      <c r="C127" s="17"/>
      <c r="D127" s="17"/>
      <c r="E127" s="4" t="str">
        <f aca="false">IF(AND(C127&lt;&gt;"",D127&lt;&gt;""),C127&amp;"-"&amp;D127,"")</f>
        <v/>
      </c>
      <c r="F127" s="4" t="n">
        <f aca="false">IFERROR(COUNTIFS('1. Raw Votes Log'!B:B,B127,'1. Raw Votes Log'!E:E,C127,'1. Raw Votes Log'!G:G,D127),0)</f>
        <v>0</v>
      </c>
      <c r="G127" s="36" t="n">
        <f aca="false">IFERROR(F127/COUNTIF('1. Raw Votes Log'!B:B,B127)*100,0)</f>
        <v>0</v>
      </c>
    </row>
    <row r="128" customFormat="false" ht="15" hidden="false" customHeight="false" outlineLevel="0" collapsed="false">
      <c r="A128" s="7" t="n">
        <v>125</v>
      </c>
      <c r="B128" s="16"/>
      <c r="C128" s="16"/>
      <c r="D128" s="16"/>
      <c r="E128" s="7" t="str">
        <f aca="false">IF(AND(C128&lt;&gt;"",D128&lt;&gt;""),C128&amp;"-"&amp;D128,"")</f>
        <v/>
      </c>
      <c r="F128" s="7" t="n">
        <f aca="false">IFERROR(COUNTIFS('1. Raw Votes Log'!B:B,B128,'1. Raw Votes Log'!E:E,C128,'1. Raw Votes Log'!G:G,D128),0)</f>
        <v>0</v>
      </c>
      <c r="G128" s="35" t="n">
        <f aca="false">IFERROR(F128/COUNTIF('1. Raw Votes Log'!B:B,B128)*100,0)</f>
        <v>0</v>
      </c>
    </row>
    <row r="129" customFormat="false" ht="15" hidden="false" customHeight="false" outlineLevel="0" collapsed="false">
      <c r="A129" s="4" t="n">
        <v>126</v>
      </c>
      <c r="B129" s="17"/>
      <c r="C129" s="17"/>
      <c r="D129" s="17"/>
      <c r="E129" s="4" t="str">
        <f aca="false">IF(AND(C129&lt;&gt;"",D129&lt;&gt;""),C129&amp;"-"&amp;D129,"")</f>
        <v/>
      </c>
      <c r="F129" s="4" t="n">
        <f aca="false">IFERROR(COUNTIFS('1. Raw Votes Log'!B:B,B129,'1. Raw Votes Log'!E:E,C129,'1. Raw Votes Log'!G:G,D129),0)</f>
        <v>0</v>
      </c>
      <c r="G129" s="36" t="n">
        <f aca="false">IFERROR(F129/COUNTIF('1. Raw Votes Log'!B:B,B129)*100,0)</f>
        <v>0</v>
      </c>
    </row>
    <row r="130" customFormat="false" ht="15" hidden="false" customHeight="false" outlineLevel="0" collapsed="false">
      <c r="A130" s="7" t="n">
        <v>127</v>
      </c>
      <c r="B130" s="16"/>
      <c r="C130" s="16"/>
      <c r="D130" s="16"/>
      <c r="E130" s="7" t="str">
        <f aca="false">IF(AND(C130&lt;&gt;"",D130&lt;&gt;""),C130&amp;"-"&amp;D130,"")</f>
        <v/>
      </c>
      <c r="F130" s="7" t="n">
        <f aca="false">IFERROR(COUNTIFS('1. Raw Votes Log'!B:B,B130,'1. Raw Votes Log'!E:E,C130,'1. Raw Votes Log'!G:G,D130),0)</f>
        <v>0</v>
      </c>
      <c r="G130" s="35" t="n">
        <f aca="false">IFERROR(F130/COUNTIF('1. Raw Votes Log'!B:B,B130)*100,0)</f>
        <v>0</v>
      </c>
    </row>
    <row r="131" customFormat="false" ht="15" hidden="false" customHeight="false" outlineLevel="0" collapsed="false">
      <c r="A131" s="4" t="n">
        <v>128</v>
      </c>
      <c r="B131" s="17"/>
      <c r="C131" s="17"/>
      <c r="D131" s="17"/>
      <c r="E131" s="4" t="str">
        <f aca="false">IF(AND(C131&lt;&gt;"",D131&lt;&gt;""),C131&amp;"-"&amp;D131,"")</f>
        <v/>
      </c>
      <c r="F131" s="4" t="n">
        <f aca="false">IFERROR(COUNTIFS('1. Raw Votes Log'!B:B,B131,'1. Raw Votes Log'!E:E,C131,'1. Raw Votes Log'!G:G,D131),0)</f>
        <v>0</v>
      </c>
      <c r="G131" s="36" t="n">
        <f aca="false">IFERROR(F131/COUNTIF('1. Raw Votes Log'!B:B,B131)*100,0)</f>
        <v>0</v>
      </c>
    </row>
    <row r="132" customFormat="false" ht="15" hidden="false" customHeight="false" outlineLevel="0" collapsed="false">
      <c r="A132" s="7" t="n">
        <v>129</v>
      </c>
      <c r="B132" s="16"/>
      <c r="C132" s="16"/>
      <c r="D132" s="16"/>
      <c r="E132" s="7" t="str">
        <f aca="false">IF(AND(C132&lt;&gt;"",D132&lt;&gt;""),C132&amp;"-"&amp;D132,"")</f>
        <v/>
      </c>
      <c r="F132" s="7" t="n">
        <f aca="false">IFERROR(COUNTIFS('1. Raw Votes Log'!B:B,B132,'1. Raw Votes Log'!E:E,C132,'1. Raw Votes Log'!G:G,D132),0)</f>
        <v>0</v>
      </c>
      <c r="G132" s="35" t="n">
        <f aca="false">IFERROR(F132/COUNTIF('1. Raw Votes Log'!B:B,B132)*100,0)</f>
        <v>0</v>
      </c>
    </row>
    <row r="133" customFormat="false" ht="15" hidden="false" customHeight="false" outlineLevel="0" collapsed="false">
      <c r="A133" s="4" t="n">
        <v>130</v>
      </c>
      <c r="B133" s="17"/>
      <c r="C133" s="17"/>
      <c r="D133" s="17"/>
      <c r="E133" s="4" t="str">
        <f aca="false">IF(AND(C133&lt;&gt;"",D133&lt;&gt;""),C133&amp;"-"&amp;D133,"")</f>
        <v/>
      </c>
      <c r="F133" s="4" t="n">
        <f aca="false">IFERROR(COUNTIFS('1. Raw Votes Log'!B:B,B133,'1. Raw Votes Log'!E:E,C133,'1. Raw Votes Log'!G:G,D133),0)</f>
        <v>0</v>
      </c>
      <c r="G133" s="36" t="n">
        <f aca="false">IFERROR(F133/COUNTIF('1. Raw Votes Log'!B:B,B133)*100,0)</f>
        <v>0</v>
      </c>
    </row>
    <row r="134" customFormat="false" ht="15" hidden="false" customHeight="false" outlineLevel="0" collapsed="false">
      <c r="A134" s="7" t="n">
        <v>131</v>
      </c>
      <c r="B134" s="16"/>
      <c r="C134" s="16"/>
      <c r="D134" s="16"/>
      <c r="E134" s="7" t="str">
        <f aca="false">IF(AND(C134&lt;&gt;"",D134&lt;&gt;""),C134&amp;"-"&amp;D134,"")</f>
        <v/>
      </c>
      <c r="F134" s="7" t="n">
        <f aca="false">IFERROR(COUNTIFS('1. Raw Votes Log'!B:B,B134,'1. Raw Votes Log'!E:E,C134,'1. Raw Votes Log'!G:G,D134),0)</f>
        <v>0</v>
      </c>
      <c r="G134" s="35" t="n">
        <f aca="false">IFERROR(F134/COUNTIF('1. Raw Votes Log'!B:B,B134)*100,0)</f>
        <v>0</v>
      </c>
    </row>
    <row r="135" customFormat="false" ht="15" hidden="false" customHeight="false" outlineLevel="0" collapsed="false">
      <c r="A135" s="4" t="n">
        <v>132</v>
      </c>
      <c r="B135" s="17"/>
      <c r="C135" s="17"/>
      <c r="D135" s="17"/>
      <c r="E135" s="4" t="str">
        <f aca="false">IF(AND(C135&lt;&gt;"",D135&lt;&gt;""),C135&amp;"-"&amp;D135,"")</f>
        <v/>
      </c>
      <c r="F135" s="4" t="n">
        <f aca="false">IFERROR(COUNTIFS('1. Raw Votes Log'!B:B,B135,'1. Raw Votes Log'!E:E,C135,'1. Raw Votes Log'!G:G,D135),0)</f>
        <v>0</v>
      </c>
      <c r="G135" s="36" t="n">
        <f aca="false">IFERROR(F135/COUNTIF('1. Raw Votes Log'!B:B,B135)*100,0)</f>
        <v>0</v>
      </c>
    </row>
    <row r="136" customFormat="false" ht="15" hidden="false" customHeight="false" outlineLevel="0" collapsed="false">
      <c r="A136" s="7" t="n">
        <v>133</v>
      </c>
      <c r="B136" s="16"/>
      <c r="C136" s="16"/>
      <c r="D136" s="16"/>
      <c r="E136" s="7" t="str">
        <f aca="false">IF(AND(C136&lt;&gt;"",D136&lt;&gt;""),C136&amp;"-"&amp;D136,"")</f>
        <v/>
      </c>
      <c r="F136" s="7" t="n">
        <f aca="false">IFERROR(COUNTIFS('1. Raw Votes Log'!B:B,B136,'1. Raw Votes Log'!E:E,C136,'1. Raw Votes Log'!G:G,D136),0)</f>
        <v>0</v>
      </c>
      <c r="G136" s="35" t="n">
        <f aca="false">IFERROR(F136/COUNTIF('1. Raw Votes Log'!B:B,B136)*100,0)</f>
        <v>0</v>
      </c>
    </row>
    <row r="137" customFormat="false" ht="15" hidden="false" customHeight="false" outlineLevel="0" collapsed="false">
      <c r="A137" s="4" t="n">
        <v>134</v>
      </c>
      <c r="B137" s="17"/>
      <c r="C137" s="17"/>
      <c r="D137" s="17"/>
      <c r="E137" s="4" t="str">
        <f aca="false">IF(AND(C137&lt;&gt;"",D137&lt;&gt;""),C137&amp;"-"&amp;D137,"")</f>
        <v/>
      </c>
      <c r="F137" s="4" t="n">
        <f aca="false">IFERROR(COUNTIFS('1. Raw Votes Log'!B:B,B137,'1. Raw Votes Log'!E:E,C137,'1. Raw Votes Log'!G:G,D137),0)</f>
        <v>0</v>
      </c>
      <c r="G137" s="36" t="n">
        <f aca="false">IFERROR(F137/COUNTIF('1. Raw Votes Log'!B:B,B137)*100,0)</f>
        <v>0</v>
      </c>
    </row>
    <row r="138" customFormat="false" ht="15" hidden="false" customHeight="false" outlineLevel="0" collapsed="false">
      <c r="A138" s="7" t="n">
        <v>135</v>
      </c>
      <c r="B138" s="16"/>
      <c r="C138" s="16"/>
      <c r="D138" s="16"/>
      <c r="E138" s="7" t="str">
        <f aca="false">IF(AND(C138&lt;&gt;"",D138&lt;&gt;""),C138&amp;"-"&amp;D138,"")</f>
        <v/>
      </c>
      <c r="F138" s="7" t="n">
        <f aca="false">IFERROR(COUNTIFS('1. Raw Votes Log'!B:B,B138,'1. Raw Votes Log'!E:E,C138,'1. Raw Votes Log'!G:G,D138),0)</f>
        <v>0</v>
      </c>
      <c r="G138" s="35" t="n">
        <f aca="false">IFERROR(F138/COUNTIF('1. Raw Votes Log'!B:B,B138)*100,0)</f>
        <v>0</v>
      </c>
    </row>
    <row r="139" customFormat="false" ht="15" hidden="false" customHeight="false" outlineLevel="0" collapsed="false">
      <c r="A139" s="4" t="n">
        <v>136</v>
      </c>
      <c r="B139" s="17"/>
      <c r="C139" s="17"/>
      <c r="D139" s="17"/>
      <c r="E139" s="4" t="str">
        <f aca="false">IF(AND(C139&lt;&gt;"",D139&lt;&gt;""),C139&amp;"-"&amp;D139,"")</f>
        <v/>
      </c>
      <c r="F139" s="4" t="n">
        <f aca="false">IFERROR(COUNTIFS('1. Raw Votes Log'!B:B,B139,'1. Raw Votes Log'!E:E,C139,'1. Raw Votes Log'!G:G,D139),0)</f>
        <v>0</v>
      </c>
      <c r="G139" s="36" t="n">
        <f aca="false">IFERROR(F139/COUNTIF('1. Raw Votes Log'!B:B,B139)*100,0)</f>
        <v>0</v>
      </c>
    </row>
    <row r="140" customFormat="false" ht="15" hidden="false" customHeight="false" outlineLevel="0" collapsed="false">
      <c r="A140" s="7" t="n">
        <v>137</v>
      </c>
      <c r="B140" s="16"/>
      <c r="C140" s="16"/>
      <c r="D140" s="16"/>
      <c r="E140" s="7" t="str">
        <f aca="false">IF(AND(C140&lt;&gt;"",D140&lt;&gt;""),C140&amp;"-"&amp;D140,"")</f>
        <v/>
      </c>
      <c r="F140" s="7" t="n">
        <f aca="false">IFERROR(COUNTIFS('1. Raw Votes Log'!B:B,B140,'1. Raw Votes Log'!E:E,C140,'1. Raw Votes Log'!G:G,D140),0)</f>
        <v>0</v>
      </c>
      <c r="G140" s="35" t="n">
        <f aca="false">IFERROR(F140/COUNTIF('1. Raw Votes Log'!B:B,B140)*100,0)</f>
        <v>0</v>
      </c>
    </row>
    <row r="141" customFormat="false" ht="15" hidden="false" customHeight="false" outlineLevel="0" collapsed="false">
      <c r="A141" s="4" t="n">
        <v>138</v>
      </c>
      <c r="B141" s="17"/>
      <c r="C141" s="17"/>
      <c r="D141" s="17"/>
      <c r="E141" s="4" t="str">
        <f aca="false">IF(AND(C141&lt;&gt;"",D141&lt;&gt;""),C141&amp;"-"&amp;D141,"")</f>
        <v/>
      </c>
      <c r="F141" s="4" t="n">
        <f aca="false">IFERROR(COUNTIFS('1. Raw Votes Log'!B:B,B141,'1. Raw Votes Log'!E:E,C141,'1. Raw Votes Log'!G:G,D141),0)</f>
        <v>0</v>
      </c>
      <c r="G141" s="36" t="n">
        <f aca="false">IFERROR(F141/COUNTIF('1. Raw Votes Log'!B:B,B141)*100,0)</f>
        <v>0</v>
      </c>
    </row>
    <row r="142" customFormat="false" ht="15" hidden="false" customHeight="false" outlineLevel="0" collapsed="false">
      <c r="A142" s="7" t="n">
        <v>139</v>
      </c>
      <c r="B142" s="16"/>
      <c r="C142" s="16"/>
      <c r="D142" s="16"/>
      <c r="E142" s="7" t="str">
        <f aca="false">IF(AND(C142&lt;&gt;"",D142&lt;&gt;""),C142&amp;"-"&amp;D142,"")</f>
        <v/>
      </c>
      <c r="F142" s="7" t="n">
        <f aca="false">IFERROR(COUNTIFS('1. Raw Votes Log'!B:B,B142,'1. Raw Votes Log'!E:E,C142,'1. Raw Votes Log'!G:G,D142),0)</f>
        <v>0</v>
      </c>
      <c r="G142" s="35" t="n">
        <f aca="false">IFERROR(F142/COUNTIF('1. Raw Votes Log'!B:B,B142)*100,0)</f>
        <v>0</v>
      </c>
    </row>
    <row r="143" customFormat="false" ht="15" hidden="false" customHeight="false" outlineLevel="0" collapsed="false">
      <c r="A143" s="4" t="n">
        <v>140</v>
      </c>
      <c r="B143" s="17"/>
      <c r="C143" s="17"/>
      <c r="D143" s="17"/>
      <c r="E143" s="4" t="str">
        <f aca="false">IF(AND(C143&lt;&gt;"",D143&lt;&gt;""),C143&amp;"-"&amp;D143,"")</f>
        <v/>
      </c>
      <c r="F143" s="4" t="n">
        <f aca="false">IFERROR(COUNTIFS('1. Raw Votes Log'!B:B,B143,'1. Raw Votes Log'!E:E,C143,'1. Raw Votes Log'!G:G,D143),0)</f>
        <v>0</v>
      </c>
      <c r="G143" s="36" t="n">
        <f aca="false">IFERROR(F143/COUNTIF('1. Raw Votes Log'!B:B,B143)*100,0)</f>
        <v>0</v>
      </c>
    </row>
    <row r="144" customFormat="false" ht="15" hidden="false" customHeight="false" outlineLevel="0" collapsed="false">
      <c r="A144" s="7" t="n">
        <v>141</v>
      </c>
      <c r="B144" s="16"/>
      <c r="C144" s="16"/>
      <c r="D144" s="16"/>
      <c r="E144" s="7" t="str">
        <f aca="false">IF(AND(C144&lt;&gt;"",D144&lt;&gt;""),C144&amp;"-"&amp;D144,"")</f>
        <v/>
      </c>
      <c r="F144" s="7" t="n">
        <f aca="false">IFERROR(COUNTIFS('1. Raw Votes Log'!B:B,B144,'1. Raw Votes Log'!E:E,C144,'1. Raw Votes Log'!G:G,D144),0)</f>
        <v>0</v>
      </c>
      <c r="G144" s="35" t="n">
        <f aca="false">IFERROR(F144/COUNTIF('1. Raw Votes Log'!B:B,B144)*100,0)</f>
        <v>0</v>
      </c>
    </row>
    <row r="145" customFormat="false" ht="15" hidden="false" customHeight="false" outlineLevel="0" collapsed="false">
      <c r="A145" s="4" t="n">
        <v>142</v>
      </c>
      <c r="B145" s="17"/>
      <c r="C145" s="17"/>
      <c r="D145" s="17"/>
      <c r="E145" s="4" t="str">
        <f aca="false">IF(AND(C145&lt;&gt;"",D145&lt;&gt;""),C145&amp;"-"&amp;D145,"")</f>
        <v/>
      </c>
      <c r="F145" s="4" t="n">
        <f aca="false">IFERROR(COUNTIFS('1. Raw Votes Log'!B:B,B145,'1. Raw Votes Log'!E:E,C145,'1. Raw Votes Log'!G:G,D145),0)</f>
        <v>0</v>
      </c>
      <c r="G145" s="36" t="n">
        <f aca="false">IFERROR(F145/COUNTIF('1. Raw Votes Log'!B:B,B145)*100,0)</f>
        <v>0</v>
      </c>
    </row>
    <row r="146" customFormat="false" ht="15" hidden="false" customHeight="false" outlineLevel="0" collapsed="false">
      <c r="A146" s="7" t="n">
        <v>143</v>
      </c>
      <c r="B146" s="16"/>
      <c r="C146" s="16"/>
      <c r="D146" s="16"/>
      <c r="E146" s="7" t="str">
        <f aca="false">IF(AND(C146&lt;&gt;"",D146&lt;&gt;""),C146&amp;"-"&amp;D146,"")</f>
        <v/>
      </c>
      <c r="F146" s="7" t="n">
        <f aca="false">IFERROR(COUNTIFS('1. Raw Votes Log'!B:B,B146,'1. Raw Votes Log'!E:E,C146,'1. Raw Votes Log'!G:G,D146),0)</f>
        <v>0</v>
      </c>
      <c r="G146" s="35" t="n">
        <f aca="false">IFERROR(F146/COUNTIF('1. Raw Votes Log'!B:B,B146)*100,0)</f>
        <v>0</v>
      </c>
    </row>
    <row r="147" customFormat="false" ht="15" hidden="false" customHeight="false" outlineLevel="0" collapsed="false">
      <c r="A147" s="4" t="n">
        <v>144</v>
      </c>
      <c r="B147" s="17"/>
      <c r="C147" s="17"/>
      <c r="D147" s="17"/>
      <c r="E147" s="4" t="str">
        <f aca="false">IF(AND(C147&lt;&gt;"",D147&lt;&gt;""),C147&amp;"-"&amp;D147,"")</f>
        <v/>
      </c>
      <c r="F147" s="4" t="n">
        <f aca="false">IFERROR(COUNTIFS('1. Raw Votes Log'!B:B,B147,'1. Raw Votes Log'!E:E,C147,'1. Raw Votes Log'!G:G,D147),0)</f>
        <v>0</v>
      </c>
      <c r="G147" s="36" t="n">
        <f aca="false">IFERROR(F147/COUNTIF('1. Raw Votes Log'!B:B,B147)*100,0)</f>
        <v>0</v>
      </c>
    </row>
    <row r="148" customFormat="false" ht="15" hidden="false" customHeight="false" outlineLevel="0" collapsed="false">
      <c r="A148" s="7" t="n">
        <v>145</v>
      </c>
      <c r="B148" s="16"/>
      <c r="C148" s="16"/>
      <c r="D148" s="16"/>
      <c r="E148" s="7" t="str">
        <f aca="false">IF(AND(C148&lt;&gt;"",D148&lt;&gt;""),C148&amp;"-"&amp;D148,"")</f>
        <v/>
      </c>
      <c r="F148" s="7" t="n">
        <f aca="false">IFERROR(COUNTIFS('1. Raw Votes Log'!B:B,B148,'1. Raw Votes Log'!E:E,C148,'1. Raw Votes Log'!G:G,D148),0)</f>
        <v>0</v>
      </c>
      <c r="G148" s="35" t="n">
        <f aca="false">IFERROR(F148/COUNTIF('1. Raw Votes Log'!B:B,B148)*100,0)</f>
        <v>0</v>
      </c>
    </row>
    <row r="149" customFormat="false" ht="15" hidden="false" customHeight="false" outlineLevel="0" collapsed="false">
      <c r="A149" s="4" t="n">
        <v>146</v>
      </c>
      <c r="B149" s="17"/>
      <c r="C149" s="17"/>
      <c r="D149" s="17"/>
      <c r="E149" s="4" t="str">
        <f aca="false">IF(AND(C149&lt;&gt;"",D149&lt;&gt;""),C149&amp;"-"&amp;D149,"")</f>
        <v/>
      </c>
      <c r="F149" s="4" t="n">
        <f aca="false">IFERROR(COUNTIFS('1. Raw Votes Log'!B:B,B149,'1. Raw Votes Log'!E:E,C149,'1. Raw Votes Log'!G:G,D149),0)</f>
        <v>0</v>
      </c>
      <c r="G149" s="36" t="n">
        <f aca="false">IFERROR(F149/COUNTIF('1. Raw Votes Log'!B:B,B149)*100,0)</f>
        <v>0</v>
      </c>
    </row>
    <row r="150" customFormat="false" ht="15" hidden="false" customHeight="false" outlineLevel="0" collapsed="false">
      <c r="A150" s="7" t="n">
        <v>147</v>
      </c>
      <c r="B150" s="16"/>
      <c r="C150" s="16"/>
      <c r="D150" s="16"/>
      <c r="E150" s="7" t="str">
        <f aca="false">IF(AND(C150&lt;&gt;"",D150&lt;&gt;""),C150&amp;"-"&amp;D150,"")</f>
        <v/>
      </c>
      <c r="F150" s="7" t="n">
        <f aca="false">IFERROR(COUNTIFS('1. Raw Votes Log'!B:B,B150,'1. Raw Votes Log'!E:E,C150,'1. Raw Votes Log'!G:G,D150),0)</f>
        <v>0</v>
      </c>
      <c r="G150" s="35" t="n">
        <f aca="false">IFERROR(F150/COUNTIF('1. Raw Votes Log'!B:B,B150)*100,0)</f>
        <v>0</v>
      </c>
    </row>
    <row r="151" customFormat="false" ht="15" hidden="false" customHeight="false" outlineLevel="0" collapsed="false">
      <c r="A151" s="4" t="n">
        <v>148</v>
      </c>
      <c r="B151" s="17"/>
      <c r="C151" s="17"/>
      <c r="D151" s="17"/>
      <c r="E151" s="4" t="str">
        <f aca="false">IF(AND(C151&lt;&gt;"",D151&lt;&gt;""),C151&amp;"-"&amp;D151,"")</f>
        <v/>
      </c>
      <c r="F151" s="4" t="n">
        <f aca="false">IFERROR(COUNTIFS('1. Raw Votes Log'!B:B,B151,'1. Raw Votes Log'!E:E,C151,'1. Raw Votes Log'!G:G,D151),0)</f>
        <v>0</v>
      </c>
      <c r="G151" s="36" t="n">
        <f aca="false">IFERROR(F151/COUNTIF('1. Raw Votes Log'!B:B,B151)*100,0)</f>
        <v>0</v>
      </c>
    </row>
    <row r="152" customFormat="false" ht="15" hidden="false" customHeight="false" outlineLevel="0" collapsed="false">
      <c r="A152" s="7" t="n">
        <v>149</v>
      </c>
      <c r="B152" s="16"/>
      <c r="C152" s="16"/>
      <c r="D152" s="16"/>
      <c r="E152" s="7" t="str">
        <f aca="false">IF(AND(C152&lt;&gt;"",D152&lt;&gt;""),C152&amp;"-"&amp;D152,"")</f>
        <v/>
      </c>
      <c r="F152" s="7" t="n">
        <f aca="false">IFERROR(COUNTIFS('1. Raw Votes Log'!B:B,B152,'1. Raw Votes Log'!E:E,C152,'1. Raw Votes Log'!G:G,D152),0)</f>
        <v>0</v>
      </c>
      <c r="G152" s="35" t="n">
        <f aca="false">IFERROR(F152/COUNTIF('1. Raw Votes Log'!B:B,B152)*100,0)</f>
        <v>0</v>
      </c>
    </row>
    <row r="153" customFormat="false" ht="15" hidden="false" customHeight="false" outlineLevel="0" collapsed="false">
      <c r="A153" s="4" t="n">
        <v>150</v>
      </c>
      <c r="B153" s="17"/>
      <c r="C153" s="17"/>
      <c r="D153" s="17"/>
      <c r="E153" s="4" t="str">
        <f aca="false">IF(AND(C153&lt;&gt;"",D153&lt;&gt;""),C153&amp;"-"&amp;D153,"")</f>
        <v/>
      </c>
      <c r="F153" s="4" t="n">
        <f aca="false">IFERROR(COUNTIFS('1. Raw Votes Log'!B:B,B153,'1. Raw Votes Log'!E:E,C153,'1. Raw Votes Log'!G:G,D153),0)</f>
        <v>0</v>
      </c>
      <c r="G153" s="36" t="n">
        <f aca="false">IFERROR(F153/COUNTIF('1. Raw Votes Log'!B:B,B153)*100,0)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22"/>
  </cols>
  <sheetData>
    <row r="1" customFormat="false" ht="33.75" hidden="false" customHeight="true" outlineLevel="0" collapsed="false">
      <c r="A1" s="37" t="s">
        <v>382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5.5" hidden="false" customHeight="true" outlineLevel="0" collapsed="false">
      <c r="A2" s="38" t="s">
        <v>383</v>
      </c>
      <c r="B2" s="38"/>
      <c r="C2" s="38"/>
      <c r="D2" s="38"/>
      <c r="E2" s="38"/>
      <c r="F2" s="38"/>
      <c r="G2" s="38"/>
      <c r="H2" s="38"/>
      <c r="I2" s="38"/>
      <c r="J2" s="38"/>
    </row>
    <row r="3" customFormat="false" ht="23.85" hidden="false" customHeight="false" outlineLevel="0" collapsed="false">
      <c r="A3" s="28" t="s">
        <v>377</v>
      </c>
      <c r="B3" s="28" t="s">
        <v>157</v>
      </c>
      <c r="C3" s="28" t="s">
        <v>369</v>
      </c>
      <c r="D3" s="28" t="s">
        <v>370</v>
      </c>
      <c r="E3" s="28" t="s">
        <v>374</v>
      </c>
      <c r="F3" s="28" t="s">
        <v>384</v>
      </c>
      <c r="G3" s="28" t="s">
        <v>385</v>
      </c>
      <c r="H3" s="28" t="s">
        <v>386</v>
      </c>
      <c r="I3" s="28" t="s">
        <v>387</v>
      </c>
      <c r="J3" s="28" t="s">
        <v>388</v>
      </c>
    </row>
    <row r="4" customFormat="false" ht="15" hidden="false" customHeight="false" outlineLevel="0" collapsed="false">
      <c r="A4" s="7" t="n">
        <v>1</v>
      </c>
      <c r="B4" s="16"/>
      <c r="C4" s="7" t="n">
        <f aca="false">IFERROR(COUNTIF('1. Raw Votes Log'!B:B,B4),0)</f>
        <v>0</v>
      </c>
      <c r="D4" s="7" t="n">
        <f aca="false">IFERROR(SUMPRODUCT(('1. Raw Votes Log'!B$4:B$203=B4)/COUNTIFS('1. Raw Votes Log'!B$4:B$203,B4&amp;"",'1. Raw Votes Log'!E$4:E$203,'1. Raw Votes Log'!E$4:E$203&amp;"")),0)</f>
        <v>1</v>
      </c>
      <c r="E4" s="7" t="n">
        <f aca="false">IFERROR(SUMPRODUCT(('1. Raw Votes Log'!B$4:B$203=B4)/COUNTIFS('1. Raw Votes Log'!B$4:B$203,B4&amp;"",'1. Raw Votes Log'!G$4:G$203,'1. Raw Votes Log'!G$4:G$203&amp;"")),0)</f>
        <v>1</v>
      </c>
      <c r="F4" s="7" t="n">
        <f aca="false">IFERROR(SUMPRODUCT(('1. Raw Votes Log'!B$4:B$203=B4)/COUNTIFS('1. Raw Votes Log'!B$4:B$203,B4&amp;"",'1. Raw Votes Log'!H$4:H$203,'1. Raw Votes Log'!H$4:H$203&amp;"")),0)</f>
        <v>1</v>
      </c>
      <c r="G4" s="39" t="n">
        <f aca="false">IFERROR(VLOOKUP(B4,'6. Entropy Helper'!$A$4:$C$33,3,FALSE()),0)</f>
        <v>0</v>
      </c>
      <c r="H4" s="39" t="n">
        <f aca="false">IF(F4&gt;1,LOG(F4,2),0)</f>
        <v>0</v>
      </c>
      <c r="I4" s="40" t="n">
        <f aca="false">IFERROR(IF(H4&gt;0,G4/H4,0),0)</f>
        <v>0</v>
      </c>
      <c r="J4" s="41" t="n">
        <f aca="false">IFERROR(IF(MAX($G$4:$G$33)&gt;0,G4/MAX($G$4:$G$33)*100,0),0)</f>
        <v>0</v>
      </c>
    </row>
    <row r="5" customFormat="false" ht="15" hidden="false" customHeight="false" outlineLevel="0" collapsed="false">
      <c r="A5" s="4" t="n">
        <v>2</v>
      </c>
      <c r="B5" s="17"/>
      <c r="C5" s="4" t="n">
        <f aca="false">IFERROR(COUNTIF('1. Raw Votes Log'!B:B,B5),0)</f>
        <v>0</v>
      </c>
      <c r="D5" s="4" t="n">
        <f aca="false">IFERROR(SUMPRODUCT(('1. Raw Votes Log'!B$4:B$203=B5)/COUNTIFS('1. Raw Votes Log'!B$4:B$203,B5&amp;"",'1. Raw Votes Log'!E$4:E$203,'1. Raw Votes Log'!E$4:E$203&amp;"")),0)</f>
        <v>1</v>
      </c>
      <c r="E5" s="4" t="n">
        <f aca="false">IFERROR(SUMPRODUCT(('1. Raw Votes Log'!B$4:B$203=B5)/COUNTIFS('1. Raw Votes Log'!B$4:B$203,B5&amp;"",'1. Raw Votes Log'!G$4:G$203,'1. Raw Votes Log'!G$4:G$203&amp;"")),0)</f>
        <v>1</v>
      </c>
      <c r="F5" s="4" t="n">
        <f aca="false">IFERROR(SUMPRODUCT(('1. Raw Votes Log'!B$4:B$203=B5)/COUNTIFS('1. Raw Votes Log'!B$4:B$203,B5&amp;"",'1. Raw Votes Log'!H$4:H$203,'1. Raw Votes Log'!H$4:H$203&amp;"")),0)</f>
        <v>1</v>
      </c>
      <c r="G5" s="42" t="n">
        <f aca="false">IFERROR(VLOOKUP(B5,'6. Entropy Helper'!$A$4:$C$33,3,FALSE()),0)</f>
        <v>0</v>
      </c>
      <c r="H5" s="42" t="n">
        <f aca="false">IF(F5&gt;1,LOG(F5,2),0)</f>
        <v>0</v>
      </c>
      <c r="I5" s="43" t="n">
        <f aca="false">IFERROR(IF(H5&gt;0,G5/H5,0),0)</f>
        <v>0</v>
      </c>
      <c r="J5" s="44" t="n">
        <f aca="false">IFERROR(IF(MAX($G$4:$G$33)&gt;0,G5/MAX($G$4:$G$33)*100,0),0)</f>
        <v>0</v>
      </c>
    </row>
    <row r="6" customFormat="false" ht="15" hidden="false" customHeight="false" outlineLevel="0" collapsed="false">
      <c r="A6" s="7" t="n">
        <v>3</v>
      </c>
      <c r="B6" s="16"/>
      <c r="C6" s="7" t="n">
        <f aca="false">IFERROR(COUNTIF('1. Raw Votes Log'!B:B,B6),0)</f>
        <v>0</v>
      </c>
      <c r="D6" s="7" t="n">
        <f aca="false">IFERROR(SUMPRODUCT(('1. Raw Votes Log'!B$4:B$203=B6)/COUNTIFS('1. Raw Votes Log'!B$4:B$203,B6&amp;"",'1. Raw Votes Log'!E$4:E$203,'1. Raw Votes Log'!E$4:E$203&amp;"")),0)</f>
        <v>1</v>
      </c>
      <c r="E6" s="7" t="n">
        <f aca="false">IFERROR(SUMPRODUCT(('1. Raw Votes Log'!B$4:B$203=B6)/COUNTIFS('1. Raw Votes Log'!B$4:B$203,B6&amp;"",'1. Raw Votes Log'!G$4:G$203,'1. Raw Votes Log'!G$4:G$203&amp;"")),0)</f>
        <v>1</v>
      </c>
      <c r="F6" s="7" t="n">
        <f aca="false">IFERROR(SUMPRODUCT(('1. Raw Votes Log'!B$4:B$203=B6)/COUNTIFS('1. Raw Votes Log'!B$4:B$203,B6&amp;"",'1. Raw Votes Log'!H$4:H$203,'1. Raw Votes Log'!H$4:H$203&amp;"")),0)</f>
        <v>1</v>
      </c>
      <c r="G6" s="39" t="n">
        <f aca="false">IFERROR(VLOOKUP(B6,'6. Entropy Helper'!$A$4:$C$33,3,FALSE()),0)</f>
        <v>0</v>
      </c>
      <c r="H6" s="39" t="n">
        <f aca="false">IF(F6&gt;1,LOG(F6,2),0)</f>
        <v>0</v>
      </c>
      <c r="I6" s="40" t="n">
        <f aca="false">IFERROR(IF(H6&gt;0,G6/H6,0),0)</f>
        <v>0</v>
      </c>
      <c r="J6" s="41" t="n">
        <f aca="false">IFERROR(IF(MAX($G$4:$G$33)&gt;0,G6/MAX($G$4:$G$33)*100,0),0)</f>
        <v>0</v>
      </c>
    </row>
    <row r="7" customFormat="false" ht="15" hidden="false" customHeight="false" outlineLevel="0" collapsed="false">
      <c r="A7" s="4" t="n">
        <v>4</v>
      </c>
      <c r="B7" s="17"/>
      <c r="C7" s="4" t="n">
        <f aca="false">IFERROR(COUNTIF('1. Raw Votes Log'!B:B,B7),0)</f>
        <v>0</v>
      </c>
      <c r="D7" s="4" t="n">
        <f aca="false">IFERROR(SUMPRODUCT(('1. Raw Votes Log'!B$4:B$203=B7)/COUNTIFS('1. Raw Votes Log'!B$4:B$203,B7&amp;"",'1. Raw Votes Log'!E$4:E$203,'1. Raw Votes Log'!E$4:E$203&amp;"")),0)</f>
        <v>1</v>
      </c>
      <c r="E7" s="4" t="n">
        <f aca="false">IFERROR(SUMPRODUCT(('1. Raw Votes Log'!B$4:B$203=B7)/COUNTIFS('1. Raw Votes Log'!B$4:B$203,B7&amp;"",'1. Raw Votes Log'!G$4:G$203,'1. Raw Votes Log'!G$4:G$203&amp;"")),0)</f>
        <v>1</v>
      </c>
      <c r="F7" s="4" t="n">
        <f aca="false">IFERROR(SUMPRODUCT(('1. Raw Votes Log'!B$4:B$203=B7)/COUNTIFS('1. Raw Votes Log'!B$4:B$203,B7&amp;"",'1. Raw Votes Log'!H$4:H$203,'1. Raw Votes Log'!H$4:H$203&amp;"")),0)</f>
        <v>1</v>
      </c>
      <c r="G7" s="42" t="n">
        <f aca="false">IFERROR(VLOOKUP(B7,'6. Entropy Helper'!$A$4:$C$33,3,FALSE()),0)</f>
        <v>0</v>
      </c>
      <c r="H7" s="42" t="n">
        <f aca="false">IF(F7&gt;1,LOG(F7,2),0)</f>
        <v>0</v>
      </c>
      <c r="I7" s="43" t="n">
        <f aca="false">IFERROR(IF(H7&gt;0,G7/H7,0),0)</f>
        <v>0</v>
      </c>
      <c r="J7" s="44" t="n">
        <f aca="false">IFERROR(IF(MAX($G$4:$G$33)&gt;0,G7/MAX($G$4:$G$33)*100,0),0)</f>
        <v>0</v>
      </c>
    </row>
    <row r="8" customFormat="false" ht="15" hidden="false" customHeight="false" outlineLevel="0" collapsed="false">
      <c r="A8" s="7" t="n">
        <v>5</v>
      </c>
      <c r="B8" s="16"/>
      <c r="C8" s="7" t="n">
        <f aca="false">IFERROR(COUNTIF('1. Raw Votes Log'!B:B,B8),0)</f>
        <v>0</v>
      </c>
      <c r="D8" s="7" t="n">
        <f aca="false">IFERROR(SUMPRODUCT(('1. Raw Votes Log'!B$4:B$203=B8)/COUNTIFS('1. Raw Votes Log'!B$4:B$203,B8&amp;"",'1. Raw Votes Log'!E$4:E$203,'1. Raw Votes Log'!E$4:E$203&amp;"")),0)</f>
        <v>1</v>
      </c>
      <c r="E8" s="7" t="n">
        <f aca="false">IFERROR(SUMPRODUCT(('1. Raw Votes Log'!B$4:B$203=B8)/COUNTIFS('1. Raw Votes Log'!B$4:B$203,B8&amp;"",'1. Raw Votes Log'!G$4:G$203,'1. Raw Votes Log'!G$4:G$203&amp;"")),0)</f>
        <v>1</v>
      </c>
      <c r="F8" s="7" t="n">
        <f aca="false">IFERROR(SUMPRODUCT(('1. Raw Votes Log'!B$4:B$203=B8)/COUNTIFS('1. Raw Votes Log'!B$4:B$203,B8&amp;"",'1. Raw Votes Log'!H$4:H$203,'1. Raw Votes Log'!H$4:H$203&amp;"")),0)</f>
        <v>1</v>
      </c>
      <c r="G8" s="39" t="n">
        <f aca="false">IFERROR(VLOOKUP(B8,'6. Entropy Helper'!$A$4:$C$33,3,FALSE()),0)</f>
        <v>0</v>
      </c>
      <c r="H8" s="39" t="n">
        <f aca="false">IF(F8&gt;1,LOG(F8,2),0)</f>
        <v>0</v>
      </c>
      <c r="I8" s="40" t="n">
        <f aca="false">IFERROR(IF(H8&gt;0,G8/H8,0),0)</f>
        <v>0</v>
      </c>
      <c r="J8" s="41" t="n">
        <f aca="false">IFERROR(IF(MAX($G$4:$G$33)&gt;0,G8/MAX($G$4:$G$33)*100,0),0)</f>
        <v>0</v>
      </c>
    </row>
    <row r="9" customFormat="false" ht="15" hidden="false" customHeight="false" outlineLevel="0" collapsed="false">
      <c r="A9" s="4" t="n">
        <v>6</v>
      </c>
      <c r="B9" s="17"/>
      <c r="C9" s="4" t="n">
        <f aca="false">IFERROR(COUNTIF('1. Raw Votes Log'!B:B,B9),0)</f>
        <v>0</v>
      </c>
      <c r="D9" s="4" t="n">
        <f aca="false">IFERROR(SUMPRODUCT(('1. Raw Votes Log'!B$4:B$203=B9)/COUNTIFS('1. Raw Votes Log'!B$4:B$203,B9&amp;"",'1. Raw Votes Log'!E$4:E$203,'1. Raw Votes Log'!E$4:E$203&amp;"")),0)</f>
        <v>1</v>
      </c>
      <c r="E9" s="4" t="n">
        <f aca="false">IFERROR(SUMPRODUCT(('1. Raw Votes Log'!B$4:B$203=B9)/COUNTIFS('1. Raw Votes Log'!B$4:B$203,B9&amp;"",'1. Raw Votes Log'!G$4:G$203,'1. Raw Votes Log'!G$4:G$203&amp;"")),0)</f>
        <v>1</v>
      </c>
      <c r="F9" s="4" t="n">
        <f aca="false">IFERROR(SUMPRODUCT(('1. Raw Votes Log'!B$4:B$203=B9)/COUNTIFS('1. Raw Votes Log'!B$4:B$203,B9&amp;"",'1. Raw Votes Log'!H$4:H$203,'1. Raw Votes Log'!H$4:H$203&amp;"")),0)</f>
        <v>1</v>
      </c>
      <c r="G9" s="42" t="n">
        <f aca="false">IFERROR(VLOOKUP(B9,'6. Entropy Helper'!$A$4:$C$33,3,FALSE()),0)</f>
        <v>0</v>
      </c>
      <c r="H9" s="42" t="n">
        <f aca="false">IF(F9&gt;1,LOG(F9,2),0)</f>
        <v>0</v>
      </c>
      <c r="I9" s="43" t="n">
        <f aca="false">IFERROR(IF(H9&gt;0,G9/H9,0),0)</f>
        <v>0</v>
      </c>
      <c r="J9" s="44" t="n">
        <f aca="false">IFERROR(IF(MAX($G$4:$G$33)&gt;0,G9/MAX($G$4:$G$33)*100,0),0)</f>
        <v>0</v>
      </c>
    </row>
    <row r="10" customFormat="false" ht="15" hidden="false" customHeight="false" outlineLevel="0" collapsed="false">
      <c r="A10" s="7" t="n">
        <v>7</v>
      </c>
      <c r="B10" s="16"/>
      <c r="C10" s="7" t="n">
        <f aca="false">IFERROR(COUNTIF('1. Raw Votes Log'!B:B,B10),0)</f>
        <v>0</v>
      </c>
      <c r="D10" s="7" t="n">
        <f aca="false">IFERROR(SUMPRODUCT(('1. Raw Votes Log'!B$4:B$203=B10)/COUNTIFS('1. Raw Votes Log'!B$4:B$203,B10&amp;"",'1. Raw Votes Log'!E$4:E$203,'1. Raw Votes Log'!E$4:E$203&amp;"")),0)</f>
        <v>1</v>
      </c>
      <c r="E10" s="7" t="n">
        <f aca="false">IFERROR(SUMPRODUCT(('1. Raw Votes Log'!B$4:B$203=B10)/COUNTIFS('1. Raw Votes Log'!B$4:B$203,B10&amp;"",'1. Raw Votes Log'!G$4:G$203,'1. Raw Votes Log'!G$4:G$203&amp;"")),0)</f>
        <v>1</v>
      </c>
      <c r="F10" s="7" t="n">
        <f aca="false">IFERROR(SUMPRODUCT(('1. Raw Votes Log'!B$4:B$203=B10)/COUNTIFS('1. Raw Votes Log'!B$4:B$203,B10&amp;"",'1. Raw Votes Log'!H$4:H$203,'1. Raw Votes Log'!H$4:H$203&amp;"")),0)</f>
        <v>1</v>
      </c>
      <c r="G10" s="39" t="n">
        <f aca="false">IFERROR(VLOOKUP(B10,'6. Entropy Helper'!$A$4:$C$33,3,FALSE()),0)</f>
        <v>0</v>
      </c>
      <c r="H10" s="39" t="n">
        <f aca="false">IF(F10&gt;1,LOG(F10,2),0)</f>
        <v>0</v>
      </c>
      <c r="I10" s="40" t="n">
        <f aca="false">IFERROR(IF(H10&gt;0,G10/H10,0),0)</f>
        <v>0</v>
      </c>
      <c r="J10" s="41" t="n">
        <f aca="false">IFERROR(IF(MAX($G$4:$G$33)&gt;0,G10/MAX($G$4:$G$33)*100,0),0)</f>
        <v>0</v>
      </c>
    </row>
    <row r="11" customFormat="false" ht="15" hidden="false" customHeight="false" outlineLevel="0" collapsed="false">
      <c r="A11" s="4" t="n">
        <v>8</v>
      </c>
      <c r="B11" s="17"/>
      <c r="C11" s="4" t="n">
        <f aca="false">IFERROR(COUNTIF('1. Raw Votes Log'!B:B,B11),0)</f>
        <v>0</v>
      </c>
      <c r="D11" s="4" t="n">
        <f aca="false">IFERROR(SUMPRODUCT(('1. Raw Votes Log'!B$4:B$203=B11)/COUNTIFS('1. Raw Votes Log'!B$4:B$203,B11&amp;"",'1. Raw Votes Log'!E$4:E$203,'1. Raw Votes Log'!E$4:E$203&amp;"")),0)</f>
        <v>1</v>
      </c>
      <c r="E11" s="4" t="n">
        <f aca="false">IFERROR(SUMPRODUCT(('1. Raw Votes Log'!B$4:B$203=B11)/COUNTIFS('1. Raw Votes Log'!B$4:B$203,B11&amp;"",'1. Raw Votes Log'!G$4:G$203,'1. Raw Votes Log'!G$4:G$203&amp;"")),0)</f>
        <v>1</v>
      </c>
      <c r="F11" s="4" t="n">
        <f aca="false">IFERROR(SUMPRODUCT(('1. Raw Votes Log'!B$4:B$203=B11)/COUNTIFS('1. Raw Votes Log'!B$4:B$203,B11&amp;"",'1. Raw Votes Log'!H$4:H$203,'1. Raw Votes Log'!H$4:H$203&amp;"")),0)</f>
        <v>1</v>
      </c>
      <c r="G11" s="42" t="n">
        <f aca="false">IFERROR(VLOOKUP(B11,'6. Entropy Helper'!$A$4:$C$33,3,FALSE()),0)</f>
        <v>0</v>
      </c>
      <c r="H11" s="42" t="n">
        <f aca="false">IF(F11&gt;1,LOG(F11,2),0)</f>
        <v>0</v>
      </c>
      <c r="I11" s="43" t="n">
        <f aca="false">IFERROR(IF(H11&gt;0,G11/H11,0),0)</f>
        <v>0</v>
      </c>
      <c r="J11" s="44" t="n">
        <f aca="false">IFERROR(IF(MAX($G$4:$G$33)&gt;0,G11/MAX($G$4:$G$33)*100,0),0)</f>
        <v>0</v>
      </c>
    </row>
    <row r="12" customFormat="false" ht="15" hidden="false" customHeight="false" outlineLevel="0" collapsed="false">
      <c r="A12" s="7" t="n">
        <v>9</v>
      </c>
      <c r="B12" s="16"/>
      <c r="C12" s="7" t="n">
        <f aca="false">IFERROR(COUNTIF('1. Raw Votes Log'!B:B,B12),0)</f>
        <v>0</v>
      </c>
      <c r="D12" s="7" t="n">
        <f aca="false">IFERROR(SUMPRODUCT(('1. Raw Votes Log'!B$4:B$203=B12)/COUNTIFS('1. Raw Votes Log'!B$4:B$203,B12&amp;"",'1. Raw Votes Log'!E$4:E$203,'1. Raw Votes Log'!E$4:E$203&amp;"")),0)</f>
        <v>1</v>
      </c>
      <c r="E12" s="7" t="n">
        <f aca="false">IFERROR(SUMPRODUCT(('1. Raw Votes Log'!B$4:B$203=B12)/COUNTIFS('1. Raw Votes Log'!B$4:B$203,B12&amp;"",'1. Raw Votes Log'!G$4:G$203,'1. Raw Votes Log'!G$4:G$203&amp;"")),0)</f>
        <v>1</v>
      </c>
      <c r="F12" s="7" t="n">
        <f aca="false">IFERROR(SUMPRODUCT(('1. Raw Votes Log'!B$4:B$203=B12)/COUNTIFS('1. Raw Votes Log'!B$4:B$203,B12&amp;"",'1. Raw Votes Log'!H$4:H$203,'1. Raw Votes Log'!H$4:H$203&amp;"")),0)</f>
        <v>1</v>
      </c>
      <c r="G12" s="39" t="n">
        <f aca="false">IFERROR(VLOOKUP(B12,'6. Entropy Helper'!$A$4:$C$33,3,FALSE()),0)</f>
        <v>0</v>
      </c>
      <c r="H12" s="39" t="n">
        <f aca="false">IF(F12&gt;1,LOG(F12,2),0)</f>
        <v>0</v>
      </c>
      <c r="I12" s="40" t="n">
        <f aca="false">IFERROR(IF(H12&gt;0,G12/H12,0),0)</f>
        <v>0</v>
      </c>
      <c r="J12" s="41" t="n">
        <f aca="false">IFERROR(IF(MAX($G$4:$G$33)&gt;0,G12/MAX($G$4:$G$33)*100,0),0)</f>
        <v>0</v>
      </c>
    </row>
    <row r="13" customFormat="false" ht="15" hidden="false" customHeight="false" outlineLevel="0" collapsed="false">
      <c r="A13" s="4" t="n">
        <v>10</v>
      </c>
      <c r="B13" s="17"/>
      <c r="C13" s="4" t="n">
        <f aca="false">IFERROR(COUNTIF('1. Raw Votes Log'!B:B,B13),0)</f>
        <v>0</v>
      </c>
      <c r="D13" s="4" t="n">
        <f aca="false">IFERROR(SUMPRODUCT(('1. Raw Votes Log'!B$4:B$203=B13)/COUNTIFS('1. Raw Votes Log'!B$4:B$203,B13&amp;"",'1. Raw Votes Log'!E$4:E$203,'1. Raw Votes Log'!E$4:E$203&amp;"")),0)</f>
        <v>1</v>
      </c>
      <c r="E13" s="4" t="n">
        <f aca="false">IFERROR(SUMPRODUCT(('1. Raw Votes Log'!B$4:B$203=B13)/COUNTIFS('1. Raw Votes Log'!B$4:B$203,B13&amp;"",'1. Raw Votes Log'!G$4:G$203,'1. Raw Votes Log'!G$4:G$203&amp;"")),0)</f>
        <v>1</v>
      </c>
      <c r="F13" s="4" t="n">
        <f aca="false">IFERROR(SUMPRODUCT(('1. Raw Votes Log'!B$4:B$203=B13)/COUNTIFS('1. Raw Votes Log'!B$4:B$203,B13&amp;"",'1. Raw Votes Log'!H$4:H$203,'1. Raw Votes Log'!H$4:H$203&amp;"")),0)</f>
        <v>1</v>
      </c>
      <c r="G13" s="42" t="n">
        <f aca="false">IFERROR(VLOOKUP(B13,'6. Entropy Helper'!$A$4:$C$33,3,FALSE()),0)</f>
        <v>0</v>
      </c>
      <c r="H13" s="42" t="n">
        <f aca="false">IF(F13&gt;1,LOG(F13,2),0)</f>
        <v>0</v>
      </c>
      <c r="I13" s="43" t="n">
        <f aca="false">IFERROR(IF(H13&gt;0,G13/H13,0),0)</f>
        <v>0</v>
      </c>
      <c r="J13" s="44" t="n">
        <f aca="false">IFERROR(IF(MAX($G$4:$G$33)&gt;0,G13/MAX($G$4:$G$33)*100,0),0)</f>
        <v>0</v>
      </c>
    </row>
    <row r="14" customFormat="false" ht="15" hidden="false" customHeight="false" outlineLevel="0" collapsed="false">
      <c r="A14" s="7" t="n">
        <v>11</v>
      </c>
      <c r="B14" s="16"/>
      <c r="C14" s="7" t="n">
        <f aca="false">IFERROR(COUNTIF('1. Raw Votes Log'!B:B,B14),0)</f>
        <v>0</v>
      </c>
      <c r="D14" s="7" t="n">
        <f aca="false">IFERROR(SUMPRODUCT(('1. Raw Votes Log'!B$4:B$203=B14)/COUNTIFS('1. Raw Votes Log'!B$4:B$203,B14&amp;"",'1. Raw Votes Log'!E$4:E$203,'1. Raw Votes Log'!E$4:E$203&amp;"")),0)</f>
        <v>1</v>
      </c>
      <c r="E14" s="7" t="n">
        <f aca="false">IFERROR(SUMPRODUCT(('1. Raw Votes Log'!B$4:B$203=B14)/COUNTIFS('1. Raw Votes Log'!B$4:B$203,B14&amp;"",'1. Raw Votes Log'!G$4:G$203,'1. Raw Votes Log'!G$4:G$203&amp;"")),0)</f>
        <v>1</v>
      </c>
      <c r="F14" s="7" t="n">
        <f aca="false">IFERROR(SUMPRODUCT(('1. Raw Votes Log'!B$4:B$203=B14)/COUNTIFS('1. Raw Votes Log'!B$4:B$203,B14&amp;"",'1. Raw Votes Log'!H$4:H$203,'1. Raw Votes Log'!H$4:H$203&amp;"")),0)</f>
        <v>1</v>
      </c>
      <c r="G14" s="39" t="n">
        <f aca="false">IFERROR(VLOOKUP(B14,'6. Entropy Helper'!$A$4:$C$33,3,FALSE()),0)</f>
        <v>0</v>
      </c>
      <c r="H14" s="39" t="n">
        <f aca="false">IF(F14&gt;1,LOG(F14,2),0)</f>
        <v>0</v>
      </c>
      <c r="I14" s="40" t="n">
        <f aca="false">IFERROR(IF(H14&gt;0,G14/H14,0),0)</f>
        <v>0</v>
      </c>
      <c r="J14" s="41" t="n">
        <f aca="false">IFERROR(IF(MAX($G$4:$G$33)&gt;0,G14/MAX($G$4:$G$33)*100,0),0)</f>
        <v>0</v>
      </c>
    </row>
    <row r="15" customFormat="false" ht="15" hidden="false" customHeight="false" outlineLevel="0" collapsed="false">
      <c r="A15" s="4" t="n">
        <v>12</v>
      </c>
      <c r="B15" s="17"/>
      <c r="C15" s="4" t="n">
        <f aca="false">IFERROR(COUNTIF('1. Raw Votes Log'!B:B,B15),0)</f>
        <v>0</v>
      </c>
      <c r="D15" s="4" t="n">
        <f aca="false">IFERROR(SUMPRODUCT(('1. Raw Votes Log'!B$4:B$203=B15)/COUNTIFS('1. Raw Votes Log'!B$4:B$203,B15&amp;"",'1. Raw Votes Log'!E$4:E$203,'1. Raw Votes Log'!E$4:E$203&amp;"")),0)</f>
        <v>1</v>
      </c>
      <c r="E15" s="4" t="n">
        <f aca="false">IFERROR(SUMPRODUCT(('1. Raw Votes Log'!B$4:B$203=B15)/COUNTIFS('1. Raw Votes Log'!B$4:B$203,B15&amp;"",'1. Raw Votes Log'!G$4:G$203,'1. Raw Votes Log'!G$4:G$203&amp;"")),0)</f>
        <v>1</v>
      </c>
      <c r="F15" s="4" t="n">
        <f aca="false">IFERROR(SUMPRODUCT(('1. Raw Votes Log'!B$4:B$203=B15)/COUNTIFS('1. Raw Votes Log'!B$4:B$203,B15&amp;"",'1. Raw Votes Log'!H$4:H$203,'1. Raw Votes Log'!H$4:H$203&amp;"")),0)</f>
        <v>1</v>
      </c>
      <c r="G15" s="42" t="n">
        <f aca="false">IFERROR(VLOOKUP(B15,'6. Entropy Helper'!$A$4:$C$33,3,FALSE()),0)</f>
        <v>0</v>
      </c>
      <c r="H15" s="42" t="n">
        <f aca="false">IF(F15&gt;1,LOG(F15,2),0)</f>
        <v>0</v>
      </c>
      <c r="I15" s="43" t="n">
        <f aca="false">IFERROR(IF(H15&gt;0,G15/H15,0),0)</f>
        <v>0</v>
      </c>
      <c r="J15" s="44" t="n">
        <f aca="false">IFERROR(IF(MAX($G$4:$G$33)&gt;0,G15/MAX($G$4:$G$33)*100,0),0)</f>
        <v>0</v>
      </c>
    </row>
    <row r="16" customFormat="false" ht="15" hidden="false" customHeight="false" outlineLevel="0" collapsed="false">
      <c r="A16" s="7" t="n">
        <v>13</v>
      </c>
      <c r="B16" s="16"/>
      <c r="C16" s="7" t="n">
        <f aca="false">IFERROR(COUNTIF('1. Raw Votes Log'!B:B,B16),0)</f>
        <v>0</v>
      </c>
      <c r="D16" s="7" t="n">
        <f aca="false">IFERROR(SUMPRODUCT(('1. Raw Votes Log'!B$4:B$203=B16)/COUNTIFS('1. Raw Votes Log'!B$4:B$203,B16&amp;"",'1. Raw Votes Log'!E$4:E$203,'1. Raw Votes Log'!E$4:E$203&amp;"")),0)</f>
        <v>1</v>
      </c>
      <c r="E16" s="7" t="n">
        <f aca="false">IFERROR(SUMPRODUCT(('1. Raw Votes Log'!B$4:B$203=B16)/COUNTIFS('1. Raw Votes Log'!B$4:B$203,B16&amp;"",'1. Raw Votes Log'!G$4:G$203,'1. Raw Votes Log'!G$4:G$203&amp;"")),0)</f>
        <v>1</v>
      </c>
      <c r="F16" s="7" t="n">
        <f aca="false">IFERROR(SUMPRODUCT(('1. Raw Votes Log'!B$4:B$203=B16)/COUNTIFS('1. Raw Votes Log'!B$4:B$203,B16&amp;"",'1. Raw Votes Log'!H$4:H$203,'1. Raw Votes Log'!H$4:H$203&amp;"")),0)</f>
        <v>1</v>
      </c>
      <c r="G16" s="39" t="n">
        <f aca="false">IFERROR(VLOOKUP(B16,'6. Entropy Helper'!$A$4:$C$33,3,FALSE()),0)</f>
        <v>0</v>
      </c>
      <c r="H16" s="39" t="n">
        <f aca="false">IF(F16&gt;1,LOG(F16,2),0)</f>
        <v>0</v>
      </c>
      <c r="I16" s="40" t="n">
        <f aca="false">IFERROR(IF(H16&gt;0,G16/H16,0),0)</f>
        <v>0</v>
      </c>
      <c r="J16" s="41" t="n">
        <f aca="false">IFERROR(IF(MAX($G$4:$G$33)&gt;0,G16/MAX($G$4:$G$33)*100,0),0)</f>
        <v>0</v>
      </c>
    </row>
    <row r="17" customFormat="false" ht="15" hidden="false" customHeight="false" outlineLevel="0" collapsed="false">
      <c r="A17" s="4" t="n">
        <v>14</v>
      </c>
      <c r="B17" s="17"/>
      <c r="C17" s="4" t="n">
        <f aca="false">IFERROR(COUNTIF('1. Raw Votes Log'!B:B,B17),0)</f>
        <v>0</v>
      </c>
      <c r="D17" s="4" t="n">
        <f aca="false">IFERROR(SUMPRODUCT(('1. Raw Votes Log'!B$4:B$203=B17)/COUNTIFS('1. Raw Votes Log'!B$4:B$203,B17&amp;"",'1. Raw Votes Log'!E$4:E$203,'1. Raw Votes Log'!E$4:E$203&amp;"")),0)</f>
        <v>1</v>
      </c>
      <c r="E17" s="4" t="n">
        <f aca="false">IFERROR(SUMPRODUCT(('1. Raw Votes Log'!B$4:B$203=B17)/COUNTIFS('1. Raw Votes Log'!B$4:B$203,B17&amp;"",'1. Raw Votes Log'!G$4:G$203,'1. Raw Votes Log'!G$4:G$203&amp;"")),0)</f>
        <v>1</v>
      </c>
      <c r="F17" s="4" t="n">
        <f aca="false">IFERROR(SUMPRODUCT(('1. Raw Votes Log'!B$4:B$203=B17)/COUNTIFS('1. Raw Votes Log'!B$4:B$203,B17&amp;"",'1. Raw Votes Log'!H$4:H$203,'1. Raw Votes Log'!H$4:H$203&amp;"")),0)</f>
        <v>1</v>
      </c>
      <c r="G17" s="42" t="n">
        <f aca="false">IFERROR(VLOOKUP(B17,'6. Entropy Helper'!$A$4:$C$33,3,FALSE()),0)</f>
        <v>0</v>
      </c>
      <c r="H17" s="42" t="n">
        <f aca="false">IF(F17&gt;1,LOG(F17,2),0)</f>
        <v>0</v>
      </c>
      <c r="I17" s="43" t="n">
        <f aca="false">IFERROR(IF(H17&gt;0,G17/H17,0),0)</f>
        <v>0</v>
      </c>
      <c r="J17" s="44" t="n">
        <f aca="false">IFERROR(IF(MAX($G$4:$G$33)&gt;0,G17/MAX($G$4:$G$33)*100,0),0)</f>
        <v>0</v>
      </c>
    </row>
    <row r="18" customFormat="false" ht="15" hidden="false" customHeight="false" outlineLevel="0" collapsed="false">
      <c r="A18" s="7" t="n">
        <v>15</v>
      </c>
      <c r="B18" s="16"/>
      <c r="C18" s="7" t="n">
        <f aca="false">IFERROR(COUNTIF('1. Raw Votes Log'!B:B,B18),0)</f>
        <v>0</v>
      </c>
      <c r="D18" s="7" t="n">
        <f aca="false">IFERROR(SUMPRODUCT(('1. Raw Votes Log'!B$4:B$203=B18)/COUNTIFS('1. Raw Votes Log'!B$4:B$203,B18&amp;"",'1. Raw Votes Log'!E$4:E$203,'1. Raw Votes Log'!E$4:E$203&amp;"")),0)</f>
        <v>1</v>
      </c>
      <c r="E18" s="7" t="n">
        <f aca="false">IFERROR(SUMPRODUCT(('1. Raw Votes Log'!B$4:B$203=B18)/COUNTIFS('1. Raw Votes Log'!B$4:B$203,B18&amp;"",'1. Raw Votes Log'!G$4:G$203,'1. Raw Votes Log'!G$4:G$203&amp;"")),0)</f>
        <v>1</v>
      </c>
      <c r="F18" s="7" t="n">
        <f aca="false">IFERROR(SUMPRODUCT(('1. Raw Votes Log'!B$4:B$203=B18)/COUNTIFS('1. Raw Votes Log'!B$4:B$203,B18&amp;"",'1. Raw Votes Log'!H$4:H$203,'1. Raw Votes Log'!H$4:H$203&amp;"")),0)</f>
        <v>1</v>
      </c>
      <c r="G18" s="39" t="n">
        <f aca="false">IFERROR(VLOOKUP(B18,'6. Entropy Helper'!$A$4:$C$33,3,FALSE()),0)</f>
        <v>0</v>
      </c>
      <c r="H18" s="39" t="n">
        <f aca="false">IF(F18&gt;1,LOG(F18,2),0)</f>
        <v>0</v>
      </c>
      <c r="I18" s="40" t="n">
        <f aca="false">IFERROR(IF(H18&gt;0,G18/H18,0),0)</f>
        <v>0</v>
      </c>
      <c r="J18" s="41" t="n">
        <f aca="false">IFERROR(IF(MAX($G$4:$G$33)&gt;0,G18/MAX($G$4:$G$33)*100,0),0)</f>
        <v>0</v>
      </c>
    </row>
    <row r="19" customFormat="false" ht="15" hidden="false" customHeight="false" outlineLevel="0" collapsed="false">
      <c r="A19" s="4" t="n">
        <v>16</v>
      </c>
      <c r="B19" s="17"/>
      <c r="C19" s="4" t="n">
        <f aca="false">IFERROR(COUNTIF('1. Raw Votes Log'!B:B,B19),0)</f>
        <v>0</v>
      </c>
      <c r="D19" s="4" t="n">
        <f aca="false">IFERROR(SUMPRODUCT(('1. Raw Votes Log'!B$4:B$203=B19)/COUNTIFS('1. Raw Votes Log'!B$4:B$203,B19&amp;"",'1. Raw Votes Log'!E$4:E$203,'1. Raw Votes Log'!E$4:E$203&amp;"")),0)</f>
        <v>1</v>
      </c>
      <c r="E19" s="4" t="n">
        <f aca="false">IFERROR(SUMPRODUCT(('1. Raw Votes Log'!B$4:B$203=B19)/COUNTIFS('1. Raw Votes Log'!B$4:B$203,B19&amp;"",'1. Raw Votes Log'!G$4:G$203,'1. Raw Votes Log'!G$4:G$203&amp;"")),0)</f>
        <v>1</v>
      </c>
      <c r="F19" s="4" t="n">
        <f aca="false">IFERROR(SUMPRODUCT(('1. Raw Votes Log'!B$4:B$203=B19)/COUNTIFS('1. Raw Votes Log'!B$4:B$203,B19&amp;"",'1. Raw Votes Log'!H$4:H$203,'1. Raw Votes Log'!H$4:H$203&amp;"")),0)</f>
        <v>1</v>
      </c>
      <c r="G19" s="42" t="n">
        <f aca="false">IFERROR(VLOOKUP(B19,'6. Entropy Helper'!$A$4:$C$33,3,FALSE()),0)</f>
        <v>0</v>
      </c>
      <c r="H19" s="42" t="n">
        <f aca="false">IF(F19&gt;1,LOG(F19,2),0)</f>
        <v>0</v>
      </c>
      <c r="I19" s="43" t="n">
        <f aca="false">IFERROR(IF(H19&gt;0,G19/H19,0),0)</f>
        <v>0</v>
      </c>
      <c r="J19" s="44" t="n">
        <f aca="false">IFERROR(IF(MAX($G$4:$G$33)&gt;0,G19/MAX($G$4:$G$33)*100,0),0)</f>
        <v>0</v>
      </c>
    </row>
    <row r="20" customFormat="false" ht="15" hidden="false" customHeight="false" outlineLevel="0" collapsed="false">
      <c r="A20" s="7" t="n">
        <v>17</v>
      </c>
      <c r="B20" s="16"/>
      <c r="C20" s="7" t="n">
        <f aca="false">IFERROR(COUNTIF('1. Raw Votes Log'!B:B,B20),0)</f>
        <v>0</v>
      </c>
      <c r="D20" s="7" t="n">
        <f aca="false">IFERROR(SUMPRODUCT(('1. Raw Votes Log'!B$4:B$203=B20)/COUNTIFS('1. Raw Votes Log'!B$4:B$203,B20&amp;"",'1. Raw Votes Log'!E$4:E$203,'1. Raw Votes Log'!E$4:E$203&amp;"")),0)</f>
        <v>1</v>
      </c>
      <c r="E20" s="7" t="n">
        <f aca="false">IFERROR(SUMPRODUCT(('1. Raw Votes Log'!B$4:B$203=B20)/COUNTIFS('1. Raw Votes Log'!B$4:B$203,B20&amp;"",'1. Raw Votes Log'!G$4:G$203,'1. Raw Votes Log'!G$4:G$203&amp;"")),0)</f>
        <v>1</v>
      </c>
      <c r="F20" s="7" t="n">
        <f aca="false">IFERROR(SUMPRODUCT(('1. Raw Votes Log'!B$4:B$203=B20)/COUNTIFS('1. Raw Votes Log'!B$4:B$203,B20&amp;"",'1. Raw Votes Log'!H$4:H$203,'1. Raw Votes Log'!H$4:H$203&amp;"")),0)</f>
        <v>1</v>
      </c>
      <c r="G20" s="39" t="n">
        <f aca="false">IFERROR(VLOOKUP(B20,'6. Entropy Helper'!$A$4:$C$33,3,FALSE()),0)</f>
        <v>0</v>
      </c>
      <c r="H20" s="39" t="n">
        <f aca="false">IF(F20&gt;1,LOG(F20,2),0)</f>
        <v>0</v>
      </c>
      <c r="I20" s="40" t="n">
        <f aca="false">IFERROR(IF(H20&gt;0,G20/H20,0),0)</f>
        <v>0</v>
      </c>
      <c r="J20" s="41" t="n">
        <f aca="false">IFERROR(IF(MAX($G$4:$G$33)&gt;0,G20/MAX($G$4:$G$33)*100,0),0)</f>
        <v>0</v>
      </c>
    </row>
    <row r="21" customFormat="false" ht="15" hidden="false" customHeight="false" outlineLevel="0" collapsed="false">
      <c r="A21" s="4" t="n">
        <v>18</v>
      </c>
      <c r="B21" s="17"/>
      <c r="C21" s="4" t="n">
        <f aca="false">IFERROR(COUNTIF('1. Raw Votes Log'!B:B,B21),0)</f>
        <v>0</v>
      </c>
      <c r="D21" s="4" t="n">
        <f aca="false">IFERROR(SUMPRODUCT(('1. Raw Votes Log'!B$4:B$203=B21)/COUNTIFS('1. Raw Votes Log'!B$4:B$203,B21&amp;"",'1. Raw Votes Log'!E$4:E$203,'1. Raw Votes Log'!E$4:E$203&amp;"")),0)</f>
        <v>1</v>
      </c>
      <c r="E21" s="4" t="n">
        <f aca="false">IFERROR(SUMPRODUCT(('1. Raw Votes Log'!B$4:B$203=B21)/COUNTIFS('1. Raw Votes Log'!B$4:B$203,B21&amp;"",'1. Raw Votes Log'!G$4:G$203,'1. Raw Votes Log'!G$4:G$203&amp;"")),0)</f>
        <v>1</v>
      </c>
      <c r="F21" s="4" t="n">
        <f aca="false">IFERROR(SUMPRODUCT(('1. Raw Votes Log'!B$4:B$203=B21)/COUNTIFS('1. Raw Votes Log'!B$4:B$203,B21&amp;"",'1. Raw Votes Log'!H$4:H$203,'1. Raw Votes Log'!H$4:H$203&amp;"")),0)</f>
        <v>1</v>
      </c>
      <c r="G21" s="42" t="n">
        <f aca="false">IFERROR(VLOOKUP(B21,'6. Entropy Helper'!$A$4:$C$33,3,FALSE()),0)</f>
        <v>0</v>
      </c>
      <c r="H21" s="42" t="n">
        <f aca="false">IF(F21&gt;1,LOG(F21,2),0)</f>
        <v>0</v>
      </c>
      <c r="I21" s="43" t="n">
        <f aca="false">IFERROR(IF(H21&gt;0,G21/H21,0),0)</f>
        <v>0</v>
      </c>
      <c r="J21" s="44" t="n">
        <f aca="false">IFERROR(IF(MAX($G$4:$G$33)&gt;0,G21/MAX($G$4:$G$33)*100,0),0)</f>
        <v>0</v>
      </c>
    </row>
    <row r="22" customFormat="false" ht="15" hidden="false" customHeight="false" outlineLevel="0" collapsed="false">
      <c r="A22" s="7" t="n">
        <v>19</v>
      </c>
      <c r="B22" s="16"/>
      <c r="C22" s="7" t="n">
        <f aca="false">IFERROR(COUNTIF('1. Raw Votes Log'!B:B,B22),0)</f>
        <v>0</v>
      </c>
      <c r="D22" s="7" t="n">
        <f aca="false">IFERROR(SUMPRODUCT(('1. Raw Votes Log'!B$4:B$203=B22)/COUNTIFS('1. Raw Votes Log'!B$4:B$203,B22&amp;"",'1. Raw Votes Log'!E$4:E$203,'1. Raw Votes Log'!E$4:E$203&amp;"")),0)</f>
        <v>1</v>
      </c>
      <c r="E22" s="7" t="n">
        <f aca="false">IFERROR(SUMPRODUCT(('1. Raw Votes Log'!B$4:B$203=B22)/COUNTIFS('1. Raw Votes Log'!B$4:B$203,B22&amp;"",'1. Raw Votes Log'!G$4:G$203,'1. Raw Votes Log'!G$4:G$203&amp;"")),0)</f>
        <v>1</v>
      </c>
      <c r="F22" s="7" t="n">
        <f aca="false">IFERROR(SUMPRODUCT(('1. Raw Votes Log'!B$4:B$203=B22)/COUNTIFS('1. Raw Votes Log'!B$4:B$203,B22&amp;"",'1. Raw Votes Log'!H$4:H$203,'1. Raw Votes Log'!H$4:H$203&amp;"")),0)</f>
        <v>1</v>
      </c>
      <c r="G22" s="39" t="n">
        <f aca="false">IFERROR(VLOOKUP(B22,'6. Entropy Helper'!$A$4:$C$33,3,FALSE()),0)</f>
        <v>0</v>
      </c>
      <c r="H22" s="39" t="n">
        <f aca="false">IF(F22&gt;1,LOG(F22,2),0)</f>
        <v>0</v>
      </c>
      <c r="I22" s="40" t="n">
        <f aca="false">IFERROR(IF(H22&gt;0,G22/H22,0),0)</f>
        <v>0</v>
      </c>
      <c r="J22" s="41" t="n">
        <f aca="false">IFERROR(IF(MAX($G$4:$G$33)&gt;0,G22/MAX($G$4:$G$33)*100,0),0)</f>
        <v>0</v>
      </c>
    </row>
    <row r="23" customFormat="false" ht="15" hidden="false" customHeight="false" outlineLevel="0" collapsed="false">
      <c r="A23" s="4" t="n">
        <v>20</v>
      </c>
      <c r="B23" s="17"/>
      <c r="C23" s="4" t="n">
        <f aca="false">IFERROR(COUNTIF('1. Raw Votes Log'!B:B,B23),0)</f>
        <v>0</v>
      </c>
      <c r="D23" s="4" t="n">
        <f aca="false">IFERROR(SUMPRODUCT(('1. Raw Votes Log'!B$4:B$203=B23)/COUNTIFS('1. Raw Votes Log'!B$4:B$203,B23&amp;"",'1. Raw Votes Log'!E$4:E$203,'1. Raw Votes Log'!E$4:E$203&amp;"")),0)</f>
        <v>1</v>
      </c>
      <c r="E23" s="4" t="n">
        <f aca="false">IFERROR(SUMPRODUCT(('1. Raw Votes Log'!B$4:B$203=B23)/COUNTIFS('1. Raw Votes Log'!B$4:B$203,B23&amp;"",'1. Raw Votes Log'!G$4:G$203,'1. Raw Votes Log'!G$4:G$203&amp;"")),0)</f>
        <v>1</v>
      </c>
      <c r="F23" s="4" t="n">
        <f aca="false">IFERROR(SUMPRODUCT(('1. Raw Votes Log'!B$4:B$203=B23)/COUNTIFS('1. Raw Votes Log'!B$4:B$203,B23&amp;"",'1. Raw Votes Log'!H$4:H$203,'1. Raw Votes Log'!H$4:H$203&amp;"")),0)</f>
        <v>1</v>
      </c>
      <c r="G23" s="42" t="n">
        <f aca="false">IFERROR(VLOOKUP(B23,'6. Entropy Helper'!$A$4:$C$33,3,FALSE()),0)</f>
        <v>0</v>
      </c>
      <c r="H23" s="42" t="n">
        <f aca="false">IF(F23&gt;1,LOG(F23,2),0)</f>
        <v>0</v>
      </c>
      <c r="I23" s="43" t="n">
        <f aca="false">IFERROR(IF(H23&gt;0,G23/H23,0),0)</f>
        <v>0</v>
      </c>
      <c r="J23" s="44" t="n">
        <f aca="false">IFERROR(IF(MAX($G$4:$G$33)&gt;0,G23/MAX($G$4:$G$33)*100,0),0)</f>
        <v>0</v>
      </c>
    </row>
    <row r="24" customFormat="false" ht="15" hidden="false" customHeight="false" outlineLevel="0" collapsed="false">
      <c r="A24" s="7" t="n">
        <v>21</v>
      </c>
      <c r="B24" s="16"/>
      <c r="C24" s="7" t="n">
        <f aca="false">IFERROR(COUNTIF('1. Raw Votes Log'!B:B,B24),0)</f>
        <v>0</v>
      </c>
      <c r="D24" s="7" t="n">
        <f aca="false">IFERROR(SUMPRODUCT(('1. Raw Votes Log'!B$4:B$203=B24)/COUNTIFS('1. Raw Votes Log'!B$4:B$203,B24&amp;"",'1. Raw Votes Log'!E$4:E$203,'1. Raw Votes Log'!E$4:E$203&amp;"")),0)</f>
        <v>1</v>
      </c>
      <c r="E24" s="7" t="n">
        <f aca="false">IFERROR(SUMPRODUCT(('1. Raw Votes Log'!B$4:B$203=B24)/COUNTIFS('1. Raw Votes Log'!B$4:B$203,B24&amp;"",'1. Raw Votes Log'!G$4:G$203,'1. Raw Votes Log'!G$4:G$203&amp;"")),0)</f>
        <v>1</v>
      </c>
      <c r="F24" s="7" t="n">
        <f aca="false">IFERROR(SUMPRODUCT(('1. Raw Votes Log'!B$4:B$203=B24)/COUNTIFS('1. Raw Votes Log'!B$4:B$203,B24&amp;"",'1. Raw Votes Log'!H$4:H$203,'1. Raw Votes Log'!H$4:H$203&amp;"")),0)</f>
        <v>1</v>
      </c>
      <c r="G24" s="39" t="n">
        <f aca="false">IFERROR(VLOOKUP(B24,'6. Entropy Helper'!$A$4:$C$33,3,FALSE()),0)</f>
        <v>0</v>
      </c>
      <c r="H24" s="39" t="n">
        <f aca="false">IF(F24&gt;1,LOG(F24,2),0)</f>
        <v>0</v>
      </c>
      <c r="I24" s="40" t="n">
        <f aca="false">IFERROR(IF(H24&gt;0,G24/H24,0),0)</f>
        <v>0</v>
      </c>
      <c r="J24" s="41" t="n">
        <f aca="false">IFERROR(IF(MAX($G$4:$G$33)&gt;0,G24/MAX($G$4:$G$33)*100,0),0)</f>
        <v>0</v>
      </c>
    </row>
    <row r="25" customFormat="false" ht="15" hidden="false" customHeight="false" outlineLevel="0" collapsed="false">
      <c r="A25" s="4" t="n">
        <v>22</v>
      </c>
      <c r="B25" s="17"/>
      <c r="C25" s="4" t="n">
        <f aca="false">IFERROR(COUNTIF('1. Raw Votes Log'!B:B,B25),0)</f>
        <v>0</v>
      </c>
      <c r="D25" s="4" t="n">
        <f aca="false">IFERROR(SUMPRODUCT(('1. Raw Votes Log'!B$4:B$203=B25)/COUNTIFS('1. Raw Votes Log'!B$4:B$203,B25&amp;"",'1. Raw Votes Log'!E$4:E$203,'1. Raw Votes Log'!E$4:E$203&amp;"")),0)</f>
        <v>1</v>
      </c>
      <c r="E25" s="4" t="n">
        <f aca="false">IFERROR(SUMPRODUCT(('1. Raw Votes Log'!B$4:B$203=B25)/COUNTIFS('1. Raw Votes Log'!B$4:B$203,B25&amp;"",'1. Raw Votes Log'!G$4:G$203,'1. Raw Votes Log'!G$4:G$203&amp;"")),0)</f>
        <v>1</v>
      </c>
      <c r="F25" s="4" t="n">
        <f aca="false">IFERROR(SUMPRODUCT(('1. Raw Votes Log'!B$4:B$203=B25)/COUNTIFS('1. Raw Votes Log'!B$4:B$203,B25&amp;"",'1. Raw Votes Log'!H$4:H$203,'1. Raw Votes Log'!H$4:H$203&amp;"")),0)</f>
        <v>1</v>
      </c>
      <c r="G25" s="42" t="n">
        <f aca="false">IFERROR(VLOOKUP(B25,'6. Entropy Helper'!$A$4:$C$33,3,FALSE()),0)</f>
        <v>0</v>
      </c>
      <c r="H25" s="42" t="n">
        <f aca="false">IF(F25&gt;1,LOG(F25,2),0)</f>
        <v>0</v>
      </c>
      <c r="I25" s="43" t="n">
        <f aca="false">IFERROR(IF(H25&gt;0,G25/H25,0),0)</f>
        <v>0</v>
      </c>
      <c r="J25" s="44" t="n">
        <f aca="false">IFERROR(IF(MAX($G$4:$G$33)&gt;0,G25/MAX($G$4:$G$33)*100,0),0)</f>
        <v>0</v>
      </c>
    </row>
    <row r="26" customFormat="false" ht="15" hidden="false" customHeight="false" outlineLevel="0" collapsed="false">
      <c r="A26" s="7" t="n">
        <v>23</v>
      </c>
      <c r="B26" s="16"/>
      <c r="C26" s="7" t="n">
        <f aca="false">IFERROR(COUNTIF('1. Raw Votes Log'!B:B,B26),0)</f>
        <v>0</v>
      </c>
      <c r="D26" s="7" t="n">
        <f aca="false">IFERROR(SUMPRODUCT(('1. Raw Votes Log'!B$4:B$203=B26)/COUNTIFS('1. Raw Votes Log'!B$4:B$203,B26&amp;"",'1. Raw Votes Log'!E$4:E$203,'1. Raw Votes Log'!E$4:E$203&amp;"")),0)</f>
        <v>1</v>
      </c>
      <c r="E26" s="7" t="n">
        <f aca="false">IFERROR(SUMPRODUCT(('1. Raw Votes Log'!B$4:B$203=B26)/COUNTIFS('1. Raw Votes Log'!B$4:B$203,B26&amp;"",'1. Raw Votes Log'!G$4:G$203,'1. Raw Votes Log'!G$4:G$203&amp;"")),0)</f>
        <v>1</v>
      </c>
      <c r="F26" s="7" t="n">
        <f aca="false">IFERROR(SUMPRODUCT(('1. Raw Votes Log'!B$4:B$203=B26)/COUNTIFS('1. Raw Votes Log'!B$4:B$203,B26&amp;"",'1. Raw Votes Log'!H$4:H$203,'1. Raw Votes Log'!H$4:H$203&amp;"")),0)</f>
        <v>1</v>
      </c>
      <c r="G26" s="39" t="n">
        <f aca="false">IFERROR(VLOOKUP(B26,'6. Entropy Helper'!$A$4:$C$33,3,FALSE()),0)</f>
        <v>0</v>
      </c>
      <c r="H26" s="39" t="n">
        <f aca="false">IF(F26&gt;1,LOG(F26,2),0)</f>
        <v>0</v>
      </c>
      <c r="I26" s="40" t="n">
        <f aca="false">IFERROR(IF(H26&gt;0,G26/H26,0),0)</f>
        <v>0</v>
      </c>
      <c r="J26" s="41" t="n">
        <f aca="false">IFERROR(IF(MAX($G$4:$G$33)&gt;0,G26/MAX($G$4:$G$33)*100,0),0)</f>
        <v>0</v>
      </c>
    </row>
    <row r="27" customFormat="false" ht="15" hidden="false" customHeight="false" outlineLevel="0" collapsed="false">
      <c r="A27" s="4" t="n">
        <v>24</v>
      </c>
      <c r="B27" s="17"/>
      <c r="C27" s="4" t="n">
        <f aca="false">IFERROR(COUNTIF('1. Raw Votes Log'!B:B,B27),0)</f>
        <v>0</v>
      </c>
      <c r="D27" s="4" t="n">
        <f aca="false">IFERROR(SUMPRODUCT(('1. Raw Votes Log'!B$4:B$203=B27)/COUNTIFS('1. Raw Votes Log'!B$4:B$203,B27&amp;"",'1. Raw Votes Log'!E$4:E$203,'1. Raw Votes Log'!E$4:E$203&amp;"")),0)</f>
        <v>1</v>
      </c>
      <c r="E27" s="4" t="n">
        <f aca="false">IFERROR(SUMPRODUCT(('1. Raw Votes Log'!B$4:B$203=B27)/COUNTIFS('1. Raw Votes Log'!B$4:B$203,B27&amp;"",'1. Raw Votes Log'!G$4:G$203,'1. Raw Votes Log'!G$4:G$203&amp;"")),0)</f>
        <v>1</v>
      </c>
      <c r="F27" s="4" t="n">
        <f aca="false">IFERROR(SUMPRODUCT(('1. Raw Votes Log'!B$4:B$203=B27)/COUNTIFS('1. Raw Votes Log'!B$4:B$203,B27&amp;"",'1. Raw Votes Log'!H$4:H$203,'1. Raw Votes Log'!H$4:H$203&amp;"")),0)</f>
        <v>1</v>
      </c>
      <c r="G27" s="42" t="n">
        <f aca="false">IFERROR(VLOOKUP(B27,'6. Entropy Helper'!$A$4:$C$33,3,FALSE()),0)</f>
        <v>0</v>
      </c>
      <c r="H27" s="42" t="n">
        <f aca="false">IF(F27&gt;1,LOG(F27,2),0)</f>
        <v>0</v>
      </c>
      <c r="I27" s="43" t="n">
        <f aca="false">IFERROR(IF(H27&gt;0,G27/H27,0),0)</f>
        <v>0</v>
      </c>
      <c r="J27" s="44" t="n">
        <f aca="false">IFERROR(IF(MAX($G$4:$G$33)&gt;0,G27/MAX($G$4:$G$33)*100,0),0)</f>
        <v>0</v>
      </c>
    </row>
    <row r="28" customFormat="false" ht="15" hidden="false" customHeight="false" outlineLevel="0" collapsed="false">
      <c r="A28" s="7" t="n">
        <v>25</v>
      </c>
      <c r="B28" s="16"/>
      <c r="C28" s="7" t="n">
        <f aca="false">IFERROR(COUNTIF('1. Raw Votes Log'!B:B,B28),0)</f>
        <v>0</v>
      </c>
      <c r="D28" s="7" t="n">
        <f aca="false">IFERROR(SUMPRODUCT(('1. Raw Votes Log'!B$4:B$203=B28)/COUNTIFS('1. Raw Votes Log'!B$4:B$203,B28&amp;"",'1. Raw Votes Log'!E$4:E$203,'1. Raw Votes Log'!E$4:E$203&amp;"")),0)</f>
        <v>1</v>
      </c>
      <c r="E28" s="7" t="n">
        <f aca="false">IFERROR(SUMPRODUCT(('1. Raw Votes Log'!B$4:B$203=B28)/COUNTIFS('1. Raw Votes Log'!B$4:B$203,B28&amp;"",'1. Raw Votes Log'!G$4:G$203,'1. Raw Votes Log'!G$4:G$203&amp;"")),0)</f>
        <v>1</v>
      </c>
      <c r="F28" s="7" t="n">
        <f aca="false">IFERROR(SUMPRODUCT(('1. Raw Votes Log'!B$4:B$203=B28)/COUNTIFS('1. Raw Votes Log'!B$4:B$203,B28&amp;"",'1. Raw Votes Log'!H$4:H$203,'1. Raw Votes Log'!H$4:H$203&amp;"")),0)</f>
        <v>1</v>
      </c>
      <c r="G28" s="39" t="n">
        <f aca="false">IFERROR(VLOOKUP(B28,'6. Entropy Helper'!$A$4:$C$33,3,FALSE()),0)</f>
        <v>0</v>
      </c>
      <c r="H28" s="39" t="n">
        <f aca="false">IF(F28&gt;1,LOG(F28,2),0)</f>
        <v>0</v>
      </c>
      <c r="I28" s="40" t="n">
        <f aca="false">IFERROR(IF(H28&gt;0,G28/H28,0),0)</f>
        <v>0</v>
      </c>
      <c r="J28" s="41" t="n">
        <f aca="false">IFERROR(IF(MAX($G$4:$G$33)&gt;0,G28/MAX($G$4:$G$33)*100,0),0)</f>
        <v>0</v>
      </c>
    </row>
    <row r="29" customFormat="false" ht="15" hidden="false" customHeight="false" outlineLevel="0" collapsed="false">
      <c r="A29" s="4" t="n">
        <v>26</v>
      </c>
      <c r="B29" s="17"/>
      <c r="C29" s="4" t="n">
        <f aca="false">IFERROR(COUNTIF('1. Raw Votes Log'!B:B,B29),0)</f>
        <v>0</v>
      </c>
      <c r="D29" s="4" t="n">
        <f aca="false">IFERROR(SUMPRODUCT(('1. Raw Votes Log'!B$4:B$203=B29)/COUNTIFS('1. Raw Votes Log'!B$4:B$203,B29&amp;"",'1. Raw Votes Log'!E$4:E$203,'1. Raw Votes Log'!E$4:E$203&amp;"")),0)</f>
        <v>1</v>
      </c>
      <c r="E29" s="4" t="n">
        <f aca="false">IFERROR(SUMPRODUCT(('1. Raw Votes Log'!B$4:B$203=B29)/COUNTIFS('1. Raw Votes Log'!B$4:B$203,B29&amp;"",'1. Raw Votes Log'!G$4:G$203,'1. Raw Votes Log'!G$4:G$203&amp;"")),0)</f>
        <v>1</v>
      </c>
      <c r="F29" s="4" t="n">
        <f aca="false">IFERROR(SUMPRODUCT(('1. Raw Votes Log'!B$4:B$203=B29)/COUNTIFS('1. Raw Votes Log'!B$4:B$203,B29&amp;"",'1. Raw Votes Log'!H$4:H$203,'1. Raw Votes Log'!H$4:H$203&amp;"")),0)</f>
        <v>1</v>
      </c>
      <c r="G29" s="42" t="n">
        <f aca="false">IFERROR(VLOOKUP(B29,'6. Entropy Helper'!$A$4:$C$33,3,FALSE()),0)</f>
        <v>0</v>
      </c>
      <c r="H29" s="42" t="n">
        <f aca="false">IF(F29&gt;1,LOG(F29,2),0)</f>
        <v>0</v>
      </c>
      <c r="I29" s="43" t="n">
        <f aca="false">IFERROR(IF(H29&gt;0,G29/H29,0),0)</f>
        <v>0</v>
      </c>
      <c r="J29" s="44" t="n">
        <f aca="false">IFERROR(IF(MAX($G$4:$G$33)&gt;0,G29/MAX($G$4:$G$33)*100,0),0)</f>
        <v>0</v>
      </c>
    </row>
    <row r="30" customFormat="false" ht="15" hidden="false" customHeight="false" outlineLevel="0" collapsed="false">
      <c r="A30" s="7" t="n">
        <v>27</v>
      </c>
      <c r="B30" s="16"/>
      <c r="C30" s="7" t="n">
        <f aca="false">IFERROR(COUNTIF('1. Raw Votes Log'!B:B,B30),0)</f>
        <v>0</v>
      </c>
      <c r="D30" s="7" t="n">
        <f aca="false">IFERROR(SUMPRODUCT(('1. Raw Votes Log'!B$4:B$203=B30)/COUNTIFS('1. Raw Votes Log'!B$4:B$203,B30&amp;"",'1. Raw Votes Log'!E$4:E$203,'1. Raw Votes Log'!E$4:E$203&amp;"")),0)</f>
        <v>1</v>
      </c>
      <c r="E30" s="7" t="n">
        <f aca="false">IFERROR(SUMPRODUCT(('1. Raw Votes Log'!B$4:B$203=B30)/COUNTIFS('1. Raw Votes Log'!B$4:B$203,B30&amp;"",'1. Raw Votes Log'!G$4:G$203,'1. Raw Votes Log'!G$4:G$203&amp;"")),0)</f>
        <v>1</v>
      </c>
      <c r="F30" s="7" t="n">
        <f aca="false">IFERROR(SUMPRODUCT(('1. Raw Votes Log'!B$4:B$203=B30)/COUNTIFS('1. Raw Votes Log'!B$4:B$203,B30&amp;"",'1. Raw Votes Log'!H$4:H$203,'1. Raw Votes Log'!H$4:H$203&amp;"")),0)</f>
        <v>1</v>
      </c>
      <c r="G30" s="39" t="n">
        <f aca="false">IFERROR(VLOOKUP(B30,'6. Entropy Helper'!$A$4:$C$33,3,FALSE()),0)</f>
        <v>0</v>
      </c>
      <c r="H30" s="39" t="n">
        <f aca="false">IF(F30&gt;1,LOG(F30,2),0)</f>
        <v>0</v>
      </c>
      <c r="I30" s="40" t="n">
        <f aca="false">IFERROR(IF(H30&gt;0,G30/H30,0),0)</f>
        <v>0</v>
      </c>
      <c r="J30" s="41" t="n">
        <f aca="false">IFERROR(IF(MAX($G$4:$G$33)&gt;0,G30/MAX($G$4:$G$33)*100,0),0)</f>
        <v>0</v>
      </c>
    </row>
    <row r="31" customFormat="false" ht="15" hidden="false" customHeight="false" outlineLevel="0" collapsed="false">
      <c r="A31" s="4" t="n">
        <v>28</v>
      </c>
      <c r="B31" s="17"/>
      <c r="C31" s="4" t="n">
        <f aca="false">IFERROR(COUNTIF('1. Raw Votes Log'!B:B,B31),0)</f>
        <v>0</v>
      </c>
      <c r="D31" s="4" t="n">
        <f aca="false">IFERROR(SUMPRODUCT(('1. Raw Votes Log'!B$4:B$203=B31)/COUNTIFS('1. Raw Votes Log'!B$4:B$203,B31&amp;"",'1. Raw Votes Log'!E$4:E$203,'1. Raw Votes Log'!E$4:E$203&amp;"")),0)</f>
        <v>1</v>
      </c>
      <c r="E31" s="4" t="n">
        <f aca="false">IFERROR(SUMPRODUCT(('1. Raw Votes Log'!B$4:B$203=B31)/COUNTIFS('1. Raw Votes Log'!B$4:B$203,B31&amp;"",'1. Raw Votes Log'!G$4:G$203,'1. Raw Votes Log'!G$4:G$203&amp;"")),0)</f>
        <v>1</v>
      </c>
      <c r="F31" s="4" t="n">
        <f aca="false">IFERROR(SUMPRODUCT(('1. Raw Votes Log'!B$4:B$203=B31)/COUNTIFS('1. Raw Votes Log'!B$4:B$203,B31&amp;"",'1. Raw Votes Log'!H$4:H$203,'1. Raw Votes Log'!H$4:H$203&amp;"")),0)</f>
        <v>1</v>
      </c>
      <c r="G31" s="42" t="n">
        <f aca="false">IFERROR(VLOOKUP(B31,'6. Entropy Helper'!$A$4:$C$33,3,FALSE()),0)</f>
        <v>0</v>
      </c>
      <c r="H31" s="42" t="n">
        <f aca="false">IF(F31&gt;1,LOG(F31,2),0)</f>
        <v>0</v>
      </c>
      <c r="I31" s="43" t="n">
        <f aca="false">IFERROR(IF(H31&gt;0,G31/H31,0),0)</f>
        <v>0</v>
      </c>
      <c r="J31" s="44" t="n">
        <f aca="false">IFERROR(IF(MAX($G$4:$G$33)&gt;0,G31/MAX($G$4:$G$33)*100,0),0)</f>
        <v>0</v>
      </c>
    </row>
    <row r="32" customFormat="false" ht="15" hidden="false" customHeight="false" outlineLevel="0" collapsed="false">
      <c r="A32" s="7" t="n">
        <v>29</v>
      </c>
      <c r="B32" s="16"/>
      <c r="C32" s="7" t="n">
        <f aca="false">IFERROR(COUNTIF('1. Raw Votes Log'!B:B,B32),0)</f>
        <v>0</v>
      </c>
      <c r="D32" s="7" t="n">
        <f aca="false">IFERROR(SUMPRODUCT(('1. Raw Votes Log'!B$4:B$203=B32)/COUNTIFS('1. Raw Votes Log'!B$4:B$203,B32&amp;"",'1. Raw Votes Log'!E$4:E$203,'1. Raw Votes Log'!E$4:E$203&amp;"")),0)</f>
        <v>1</v>
      </c>
      <c r="E32" s="7" t="n">
        <f aca="false">IFERROR(SUMPRODUCT(('1. Raw Votes Log'!B$4:B$203=B32)/COUNTIFS('1. Raw Votes Log'!B$4:B$203,B32&amp;"",'1. Raw Votes Log'!G$4:G$203,'1. Raw Votes Log'!G$4:G$203&amp;"")),0)</f>
        <v>1</v>
      </c>
      <c r="F32" s="7" t="n">
        <f aca="false">IFERROR(SUMPRODUCT(('1. Raw Votes Log'!B$4:B$203=B32)/COUNTIFS('1. Raw Votes Log'!B$4:B$203,B32&amp;"",'1. Raw Votes Log'!H$4:H$203,'1. Raw Votes Log'!H$4:H$203&amp;"")),0)</f>
        <v>1</v>
      </c>
      <c r="G32" s="39" t="n">
        <f aca="false">IFERROR(VLOOKUP(B32,'6. Entropy Helper'!$A$4:$C$33,3,FALSE()),0)</f>
        <v>0</v>
      </c>
      <c r="H32" s="39" t="n">
        <f aca="false">IF(F32&gt;1,LOG(F32,2),0)</f>
        <v>0</v>
      </c>
      <c r="I32" s="40" t="n">
        <f aca="false">IFERROR(IF(H32&gt;0,G32/H32,0),0)</f>
        <v>0</v>
      </c>
      <c r="J32" s="41" t="n">
        <f aca="false">IFERROR(IF(MAX($G$4:$G$33)&gt;0,G32/MAX($G$4:$G$33)*100,0),0)</f>
        <v>0</v>
      </c>
    </row>
    <row r="33" customFormat="false" ht="15" hidden="false" customHeight="false" outlineLevel="0" collapsed="false">
      <c r="A33" s="4" t="n">
        <v>30</v>
      </c>
      <c r="B33" s="17"/>
      <c r="C33" s="4" t="n">
        <f aca="false">IFERROR(COUNTIF('1. Raw Votes Log'!B:B,B33),0)</f>
        <v>0</v>
      </c>
      <c r="D33" s="4" t="n">
        <f aca="false">IFERROR(SUMPRODUCT(('1. Raw Votes Log'!B$4:B$203=B33)/COUNTIFS('1. Raw Votes Log'!B$4:B$203,B33&amp;"",'1. Raw Votes Log'!E$4:E$203,'1. Raw Votes Log'!E$4:E$203&amp;"")),0)</f>
        <v>1</v>
      </c>
      <c r="E33" s="4" t="n">
        <f aca="false">IFERROR(SUMPRODUCT(('1. Raw Votes Log'!B$4:B$203=B33)/COUNTIFS('1. Raw Votes Log'!B$4:B$203,B33&amp;"",'1. Raw Votes Log'!G$4:G$203,'1. Raw Votes Log'!G$4:G$203&amp;"")),0)</f>
        <v>1</v>
      </c>
      <c r="F33" s="4" t="n">
        <f aca="false">IFERROR(SUMPRODUCT(('1. Raw Votes Log'!B$4:B$203=B33)/COUNTIFS('1. Raw Votes Log'!B$4:B$203,B33&amp;"",'1. Raw Votes Log'!H$4:H$203,'1. Raw Votes Log'!H$4:H$203&amp;"")),0)</f>
        <v>1</v>
      </c>
      <c r="G33" s="42" t="n">
        <f aca="false">IFERROR(VLOOKUP(B33,'6. Entropy Helper'!$A$4:$C$33,3,FALSE()),0)</f>
        <v>0</v>
      </c>
      <c r="H33" s="42" t="n">
        <f aca="false">IF(F33&gt;1,LOG(F33,2),0)</f>
        <v>0</v>
      </c>
      <c r="I33" s="43" t="n">
        <f aca="false">IFERROR(IF(H33&gt;0,G33/H33,0),0)</f>
        <v>0</v>
      </c>
      <c r="J33" s="44" t="n">
        <f aca="false">IFERROR(IF(MAX($G$4:$G$33)&gt;0,G33/MAX($G$4:$G$33)*100,0),0)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33.75" hidden="false" customHeight="true" outlineLevel="0" collapsed="false">
      <c r="A1" s="1" t="s">
        <v>389</v>
      </c>
      <c r="B1" s="1"/>
      <c r="C1" s="1"/>
      <c r="D1" s="1"/>
    </row>
    <row r="2" customFormat="false" ht="25.5" hidden="false" customHeight="true" outlineLevel="0" collapsed="false">
      <c r="A2" s="38" t="s">
        <v>390</v>
      </c>
      <c r="B2" s="38"/>
      <c r="C2" s="38"/>
      <c r="D2" s="38"/>
    </row>
    <row r="3" customFormat="false" ht="23.85" hidden="false" customHeight="false" outlineLevel="0" collapsed="false">
      <c r="A3" s="45" t="s">
        <v>157</v>
      </c>
      <c r="B3" s="45" t="s">
        <v>369</v>
      </c>
      <c r="C3" s="45" t="s">
        <v>385</v>
      </c>
      <c r="D3" s="45" t="s">
        <v>391</v>
      </c>
    </row>
    <row r="4" customFormat="false" ht="15" hidden="false" customHeight="false" outlineLevel="0" collapsed="false">
      <c r="A4" s="46"/>
      <c r="B4" s="7" t="n">
        <f aca="false">IFERROR(COUNTIF('1. Raw Votes Log'!B:B,A4),0)</f>
        <v>0</v>
      </c>
      <c r="C4" s="39" t="n">
        <f aca="false">IFERROR(-SUMPRODUCT(IF('4. CountrySubject Buckets'!$B$4:$B$153=A4,IF('4. CountrySubject Buckets'!$F$4:$F$153&gt;0,('4. CountrySubject Buckets'!$F$4:$F$153/B4)*LOG(('4. CountrySubject Buckets'!$F$4:$F$153/B4),2),0),0)),0)</f>
        <v>-0</v>
      </c>
      <c r="D4" s="16"/>
    </row>
    <row r="5" customFormat="false" ht="15" hidden="false" customHeight="false" outlineLevel="0" collapsed="false">
      <c r="A5" s="47"/>
      <c r="B5" s="4" t="n">
        <f aca="false">IFERROR(COUNTIF('1. Raw Votes Log'!B:B,A5),0)</f>
        <v>0</v>
      </c>
      <c r="C5" s="42" t="n">
        <f aca="false">IFERROR(-SUMPRODUCT(IF('4. CountrySubject Buckets'!$B$4:$B$153=A5,IF('4. CountrySubject Buckets'!$F$4:$F$153&gt;0,('4. CountrySubject Buckets'!$F$4:$F$153/B5)*LOG(('4. CountrySubject Buckets'!$F$4:$F$153/B5),2),0),0)),0)</f>
        <v>-0</v>
      </c>
      <c r="D5" s="17"/>
    </row>
    <row r="6" customFormat="false" ht="15" hidden="false" customHeight="false" outlineLevel="0" collapsed="false">
      <c r="A6" s="46"/>
      <c r="B6" s="7" t="n">
        <f aca="false">IFERROR(COUNTIF('1. Raw Votes Log'!B:B,A6),0)</f>
        <v>0</v>
      </c>
      <c r="C6" s="39" t="n">
        <f aca="false">IFERROR(-SUMPRODUCT(IF('4. CountrySubject Buckets'!$B$4:$B$153=A6,IF('4. CountrySubject Buckets'!$F$4:$F$153&gt;0,('4. CountrySubject Buckets'!$F$4:$F$153/B6)*LOG(('4. CountrySubject Buckets'!$F$4:$F$153/B6),2),0),0)),0)</f>
        <v>-0</v>
      </c>
      <c r="D6" s="16"/>
    </row>
    <row r="7" customFormat="false" ht="15" hidden="false" customHeight="false" outlineLevel="0" collapsed="false">
      <c r="A7" s="47"/>
      <c r="B7" s="4" t="n">
        <f aca="false">IFERROR(COUNTIF('1. Raw Votes Log'!B:B,A7),0)</f>
        <v>0</v>
      </c>
      <c r="C7" s="42" t="n">
        <f aca="false">IFERROR(-SUMPRODUCT(IF('4. CountrySubject Buckets'!$B$4:$B$153=A7,IF('4. CountrySubject Buckets'!$F$4:$F$153&gt;0,('4. CountrySubject Buckets'!$F$4:$F$153/B7)*LOG(('4. CountrySubject Buckets'!$F$4:$F$153/B7),2),0),0)),0)</f>
        <v>-0</v>
      </c>
      <c r="D7" s="17"/>
    </row>
    <row r="8" customFormat="false" ht="15" hidden="false" customHeight="false" outlineLevel="0" collapsed="false">
      <c r="A8" s="46"/>
      <c r="B8" s="7" t="n">
        <f aca="false">IFERROR(COUNTIF('1. Raw Votes Log'!B:B,A8),0)</f>
        <v>0</v>
      </c>
      <c r="C8" s="39" t="n">
        <f aca="false">IFERROR(-SUMPRODUCT(IF('4. CountrySubject Buckets'!$B$4:$B$153=A8,IF('4. CountrySubject Buckets'!$F$4:$F$153&gt;0,('4. CountrySubject Buckets'!$F$4:$F$153/B8)*LOG(('4. CountrySubject Buckets'!$F$4:$F$153/B8),2),0),0)),0)</f>
        <v>-0</v>
      </c>
      <c r="D8" s="16"/>
    </row>
    <row r="9" customFormat="false" ht="15" hidden="false" customHeight="false" outlineLevel="0" collapsed="false">
      <c r="A9" s="47"/>
      <c r="B9" s="4" t="n">
        <f aca="false">IFERROR(COUNTIF('1. Raw Votes Log'!B:B,A9),0)</f>
        <v>0</v>
      </c>
      <c r="C9" s="42" t="n">
        <f aca="false">IFERROR(-SUMPRODUCT(IF('4. CountrySubject Buckets'!$B$4:$B$153=A9,IF('4. CountrySubject Buckets'!$F$4:$F$153&gt;0,('4. CountrySubject Buckets'!$F$4:$F$153/B9)*LOG(('4. CountrySubject Buckets'!$F$4:$F$153/B9),2),0),0)),0)</f>
        <v>-0</v>
      </c>
      <c r="D9" s="17"/>
    </row>
    <row r="10" customFormat="false" ht="15" hidden="false" customHeight="false" outlineLevel="0" collapsed="false">
      <c r="A10" s="46"/>
      <c r="B10" s="7" t="n">
        <f aca="false">IFERROR(COUNTIF('1. Raw Votes Log'!B:B,A10),0)</f>
        <v>0</v>
      </c>
      <c r="C10" s="39" t="n">
        <f aca="false">IFERROR(-SUMPRODUCT(IF('4. CountrySubject Buckets'!$B$4:$B$153=A10,IF('4. CountrySubject Buckets'!$F$4:$F$153&gt;0,('4. CountrySubject Buckets'!$F$4:$F$153/B10)*LOG(('4. CountrySubject Buckets'!$F$4:$F$153/B10),2),0),0)),0)</f>
        <v>-0</v>
      </c>
      <c r="D10" s="16"/>
    </row>
    <row r="11" customFormat="false" ht="15" hidden="false" customHeight="false" outlineLevel="0" collapsed="false">
      <c r="A11" s="47"/>
      <c r="B11" s="4" t="n">
        <f aca="false">IFERROR(COUNTIF('1. Raw Votes Log'!B:B,A11),0)</f>
        <v>0</v>
      </c>
      <c r="C11" s="42" t="n">
        <f aca="false">IFERROR(-SUMPRODUCT(IF('4. CountrySubject Buckets'!$B$4:$B$153=A11,IF('4. CountrySubject Buckets'!$F$4:$F$153&gt;0,('4. CountrySubject Buckets'!$F$4:$F$153/B11)*LOG(('4. CountrySubject Buckets'!$F$4:$F$153/B11),2),0),0)),0)</f>
        <v>-0</v>
      </c>
      <c r="D11" s="17"/>
    </row>
    <row r="12" customFormat="false" ht="15" hidden="false" customHeight="false" outlineLevel="0" collapsed="false">
      <c r="A12" s="46"/>
      <c r="B12" s="7" t="n">
        <f aca="false">IFERROR(COUNTIF('1. Raw Votes Log'!B:B,A12),0)</f>
        <v>0</v>
      </c>
      <c r="C12" s="39" t="n">
        <f aca="false">IFERROR(-SUMPRODUCT(IF('4. CountrySubject Buckets'!$B$4:$B$153=A12,IF('4. CountrySubject Buckets'!$F$4:$F$153&gt;0,('4. CountrySubject Buckets'!$F$4:$F$153/B12)*LOG(('4. CountrySubject Buckets'!$F$4:$F$153/B12),2),0),0)),0)</f>
        <v>-0</v>
      </c>
      <c r="D12" s="16"/>
    </row>
    <row r="13" customFormat="false" ht="15" hidden="false" customHeight="false" outlineLevel="0" collapsed="false">
      <c r="A13" s="47"/>
      <c r="B13" s="4" t="n">
        <f aca="false">IFERROR(COUNTIF('1. Raw Votes Log'!B:B,A13),0)</f>
        <v>0</v>
      </c>
      <c r="C13" s="42" t="n">
        <f aca="false">IFERROR(-SUMPRODUCT(IF('4. CountrySubject Buckets'!$B$4:$B$153=A13,IF('4. CountrySubject Buckets'!$F$4:$F$153&gt;0,('4. CountrySubject Buckets'!$F$4:$F$153/B13)*LOG(('4. CountrySubject Buckets'!$F$4:$F$153/B13),2),0),0)),0)</f>
        <v>-0</v>
      </c>
      <c r="D13" s="17"/>
    </row>
    <row r="14" customFormat="false" ht="15" hidden="false" customHeight="false" outlineLevel="0" collapsed="false">
      <c r="A14" s="46"/>
      <c r="B14" s="7" t="n">
        <f aca="false">IFERROR(COUNTIF('1. Raw Votes Log'!B:B,A14),0)</f>
        <v>0</v>
      </c>
      <c r="C14" s="39" t="n">
        <f aca="false">IFERROR(-SUMPRODUCT(IF('4. CountrySubject Buckets'!$B$4:$B$153=A14,IF('4. CountrySubject Buckets'!$F$4:$F$153&gt;0,('4. CountrySubject Buckets'!$F$4:$F$153/B14)*LOG(('4. CountrySubject Buckets'!$F$4:$F$153/B14),2),0),0)),0)</f>
        <v>-0</v>
      </c>
      <c r="D14" s="16"/>
    </row>
    <row r="15" customFormat="false" ht="15" hidden="false" customHeight="false" outlineLevel="0" collapsed="false">
      <c r="A15" s="47"/>
      <c r="B15" s="4" t="n">
        <f aca="false">IFERROR(COUNTIF('1. Raw Votes Log'!B:B,A15),0)</f>
        <v>0</v>
      </c>
      <c r="C15" s="42" t="n">
        <f aca="false">IFERROR(-SUMPRODUCT(IF('4. CountrySubject Buckets'!$B$4:$B$153=A15,IF('4. CountrySubject Buckets'!$F$4:$F$153&gt;0,('4. CountrySubject Buckets'!$F$4:$F$153/B15)*LOG(('4. CountrySubject Buckets'!$F$4:$F$153/B15),2),0),0)),0)</f>
        <v>-0</v>
      </c>
      <c r="D15" s="17"/>
    </row>
    <row r="16" customFormat="false" ht="15" hidden="false" customHeight="false" outlineLevel="0" collapsed="false">
      <c r="A16" s="46"/>
      <c r="B16" s="7" t="n">
        <f aca="false">IFERROR(COUNTIF('1. Raw Votes Log'!B:B,A16),0)</f>
        <v>0</v>
      </c>
      <c r="C16" s="39" t="n">
        <f aca="false">IFERROR(-SUMPRODUCT(IF('4. CountrySubject Buckets'!$B$4:$B$153=A16,IF('4. CountrySubject Buckets'!$F$4:$F$153&gt;0,('4. CountrySubject Buckets'!$F$4:$F$153/B16)*LOG(('4. CountrySubject Buckets'!$F$4:$F$153/B16),2),0),0)),0)</f>
        <v>-0</v>
      </c>
      <c r="D16" s="16"/>
    </row>
    <row r="17" customFormat="false" ht="15" hidden="false" customHeight="false" outlineLevel="0" collapsed="false">
      <c r="A17" s="47"/>
      <c r="B17" s="4" t="n">
        <f aca="false">IFERROR(COUNTIF('1. Raw Votes Log'!B:B,A17),0)</f>
        <v>0</v>
      </c>
      <c r="C17" s="42" t="n">
        <f aca="false">IFERROR(-SUMPRODUCT(IF('4. CountrySubject Buckets'!$B$4:$B$153=A17,IF('4. CountrySubject Buckets'!$F$4:$F$153&gt;0,('4. CountrySubject Buckets'!$F$4:$F$153/B17)*LOG(('4. CountrySubject Buckets'!$F$4:$F$153/B17),2),0),0)),0)</f>
        <v>-0</v>
      </c>
      <c r="D17" s="17"/>
    </row>
    <row r="18" customFormat="false" ht="15" hidden="false" customHeight="false" outlineLevel="0" collapsed="false">
      <c r="A18" s="46"/>
      <c r="B18" s="7" t="n">
        <f aca="false">IFERROR(COUNTIF('1. Raw Votes Log'!B:B,A18),0)</f>
        <v>0</v>
      </c>
      <c r="C18" s="39" t="n">
        <f aca="false">IFERROR(-SUMPRODUCT(IF('4. CountrySubject Buckets'!$B$4:$B$153=A18,IF('4. CountrySubject Buckets'!$F$4:$F$153&gt;0,('4. CountrySubject Buckets'!$F$4:$F$153/B18)*LOG(('4. CountrySubject Buckets'!$F$4:$F$153/B18),2),0),0)),0)</f>
        <v>-0</v>
      </c>
      <c r="D18" s="16"/>
    </row>
    <row r="19" customFormat="false" ht="15" hidden="false" customHeight="false" outlineLevel="0" collapsed="false">
      <c r="A19" s="47"/>
      <c r="B19" s="4" t="n">
        <f aca="false">IFERROR(COUNTIF('1. Raw Votes Log'!B:B,A19),0)</f>
        <v>0</v>
      </c>
      <c r="C19" s="42" t="n">
        <f aca="false">IFERROR(-SUMPRODUCT(IF('4. CountrySubject Buckets'!$B$4:$B$153=A19,IF('4. CountrySubject Buckets'!$F$4:$F$153&gt;0,('4. CountrySubject Buckets'!$F$4:$F$153/B19)*LOG(('4. CountrySubject Buckets'!$F$4:$F$153/B19),2),0),0)),0)</f>
        <v>-0</v>
      </c>
      <c r="D19" s="17"/>
    </row>
    <row r="20" customFormat="false" ht="15" hidden="false" customHeight="false" outlineLevel="0" collapsed="false">
      <c r="A20" s="46"/>
      <c r="B20" s="7" t="n">
        <f aca="false">IFERROR(COUNTIF('1. Raw Votes Log'!B:B,A20),0)</f>
        <v>0</v>
      </c>
      <c r="C20" s="39" t="n">
        <f aca="false">IFERROR(-SUMPRODUCT(IF('4. CountrySubject Buckets'!$B$4:$B$153=A20,IF('4. CountrySubject Buckets'!$F$4:$F$153&gt;0,('4. CountrySubject Buckets'!$F$4:$F$153/B20)*LOG(('4. CountrySubject Buckets'!$F$4:$F$153/B20),2),0),0)),0)</f>
        <v>-0</v>
      </c>
      <c r="D20" s="16"/>
    </row>
    <row r="21" customFormat="false" ht="15" hidden="false" customHeight="false" outlineLevel="0" collapsed="false">
      <c r="A21" s="47"/>
      <c r="B21" s="4" t="n">
        <f aca="false">IFERROR(COUNTIF('1. Raw Votes Log'!B:B,A21),0)</f>
        <v>0</v>
      </c>
      <c r="C21" s="42" t="n">
        <f aca="false">IFERROR(-SUMPRODUCT(IF('4. CountrySubject Buckets'!$B$4:$B$153=A21,IF('4. CountrySubject Buckets'!$F$4:$F$153&gt;0,('4. CountrySubject Buckets'!$F$4:$F$153/B21)*LOG(('4. CountrySubject Buckets'!$F$4:$F$153/B21),2),0),0)),0)</f>
        <v>-0</v>
      </c>
      <c r="D21" s="17"/>
    </row>
    <row r="22" customFormat="false" ht="15" hidden="false" customHeight="false" outlineLevel="0" collapsed="false">
      <c r="A22" s="46"/>
      <c r="B22" s="7" t="n">
        <f aca="false">IFERROR(COUNTIF('1. Raw Votes Log'!B:B,A22),0)</f>
        <v>0</v>
      </c>
      <c r="C22" s="39" t="n">
        <f aca="false">IFERROR(-SUMPRODUCT(IF('4. CountrySubject Buckets'!$B$4:$B$153=A22,IF('4. CountrySubject Buckets'!$F$4:$F$153&gt;0,('4. CountrySubject Buckets'!$F$4:$F$153/B22)*LOG(('4. CountrySubject Buckets'!$F$4:$F$153/B22),2),0),0)),0)</f>
        <v>-0</v>
      </c>
      <c r="D22" s="16"/>
    </row>
    <row r="23" customFormat="false" ht="15" hidden="false" customHeight="false" outlineLevel="0" collapsed="false">
      <c r="A23" s="47"/>
      <c r="B23" s="4" t="n">
        <f aca="false">IFERROR(COUNTIF('1. Raw Votes Log'!B:B,A23),0)</f>
        <v>0</v>
      </c>
      <c r="C23" s="42" t="n">
        <f aca="false">IFERROR(-SUMPRODUCT(IF('4. CountrySubject Buckets'!$B$4:$B$153=A23,IF('4. CountrySubject Buckets'!$F$4:$F$153&gt;0,('4. CountrySubject Buckets'!$F$4:$F$153/B23)*LOG(('4. CountrySubject Buckets'!$F$4:$F$153/B23),2),0),0)),0)</f>
        <v>-0</v>
      </c>
      <c r="D23" s="17"/>
    </row>
    <row r="24" customFormat="false" ht="15" hidden="false" customHeight="false" outlineLevel="0" collapsed="false">
      <c r="A24" s="46"/>
      <c r="B24" s="7" t="n">
        <f aca="false">IFERROR(COUNTIF('1. Raw Votes Log'!B:B,A24),0)</f>
        <v>0</v>
      </c>
      <c r="C24" s="39" t="n">
        <f aca="false">IFERROR(-SUMPRODUCT(IF('4. CountrySubject Buckets'!$B$4:$B$153=A24,IF('4. CountrySubject Buckets'!$F$4:$F$153&gt;0,('4. CountrySubject Buckets'!$F$4:$F$153/B24)*LOG(('4. CountrySubject Buckets'!$F$4:$F$153/B24),2),0),0)),0)</f>
        <v>-0</v>
      </c>
      <c r="D24" s="16"/>
    </row>
    <row r="25" customFormat="false" ht="15" hidden="false" customHeight="false" outlineLevel="0" collapsed="false">
      <c r="A25" s="47"/>
      <c r="B25" s="4" t="n">
        <f aca="false">IFERROR(COUNTIF('1. Raw Votes Log'!B:B,A25),0)</f>
        <v>0</v>
      </c>
      <c r="C25" s="42" t="n">
        <f aca="false">IFERROR(-SUMPRODUCT(IF('4. CountrySubject Buckets'!$B$4:$B$153=A25,IF('4. CountrySubject Buckets'!$F$4:$F$153&gt;0,('4. CountrySubject Buckets'!$F$4:$F$153/B25)*LOG(('4. CountrySubject Buckets'!$F$4:$F$153/B25),2),0),0)),0)</f>
        <v>-0</v>
      </c>
      <c r="D25" s="17"/>
    </row>
    <row r="26" customFormat="false" ht="15" hidden="false" customHeight="false" outlineLevel="0" collapsed="false">
      <c r="A26" s="46"/>
      <c r="B26" s="7" t="n">
        <f aca="false">IFERROR(COUNTIF('1. Raw Votes Log'!B:B,A26),0)</f>
        <v>0</v>
      </c>
      <c r="C26" s="39" t="n">
        <f aca="false">IFERROR(-SUMPRODUCT(IF('4. CountrySubject Buckets'!$B$4:$B$153=A26,IF('4. CountrySubject Buckets'!$F$4:$F$153&gt;0,('4. CountrySubject Buckets'!$F$4:$F$153/B26)*LOG(('4. CountrySubject Buckets'!$F$4:$F$153/B26),2),0),0)),0)</f>
        <v>-0</v>
      </c>
      <c r="D26" s="16"/>
    </row>
    <row r="27" customFormat="false" ht="15" hidden="false" customHeight="false" outlineLevel="0" collapsed="false">
      <c r="A27" s="47"/>
      <c r="B27" s="4" t="n">
        <f aca="false">IFERROR(COUNTIF('1. Raw Votes Log'!B:B,A27),0)</f>
        <v>0</v>
      </c>
      <c r="C27" s="42" t="n">
        <f aca="false">IFERROR(-SUMPRODUCT(IF('4. CountrySubject Buckets'!$B$4:$B$153=A27,IF('4. CountrySubject Buckets'!$F$4:$F$153&gt;0,('4. CountrySubject Buckets'!$F$4:$F$153/B27)*LOG(('4. CountrySubject Buckets'!$F$4:$F$153/B27),2),0),0)),0)</f>
        <v>-0</v>
      </c>
      <c r="D27" s="17"/>
    </row>
    <row r="28" customFormat="false" ht="15" hidden="false" customHeight="false" outlineLevel="0" collapsed="false">
      <c r="A28" s="46"/>
      <c r="B28" s="7" t="n">
        <f aca="false">IFERROR(COUNTIF('1. Raw Votes Log'!B:B,A28),0)</f>
        <v>0</v>
      </c>
      <c r="C28" s="39" t="n">
        <f aca="false">IFERROR(-SUMPRODUCT(IF('4. CountrySubject Buckets'!$B$4:$B$153=A28,IF('4. CountrySubject Buckets'!$F$4:$F$153&gt;0,('4. CountrySubject Buckets'!$F$4:$F$153/B28)*LOG(('4. CountrySubject Buckets'!$F$4:$F$153/B28),2),0),0)),0)</f>
        <v>-0</v>
      </c>
      <c r="D28" s="16"/>
    </row>
    <row r="29" customFormat="false" ht="15" hidden="false" customHeight="false" outlineLevel="0" collapsed="false">
      <c r="A29" s="47"/>
      <c r="B29" s="4" t="n">
        <f aca="false">IFERROR(COUNTIF('1. Raw Votes Log'!B:B,A29),0)</f>
        <v>0</v>
      </c>
      <c r="C29" s="42" t="n">
        <f aca="false">IFERROR(-SUMPRODUCT(IF('4. CountrySubject Buckets'!$B$4:$B$153=A29,IF('4. CountrySubject Buckets'!$F$4:$F$153&gt;0,('4. CountrySubject Buckets'!$F$4:$F$153/B29)*LOG(('4. CountrySubject Buckets'!$F$4:$F$153/B29),2),0),0)),0)</f>
        <v>-0</v>
      </c>
      <c r="D29" s="17"/>
    </row>
    <row r="30" customFormat="false" ht="15" hidden="false" customHeight="false" outlineLevel="0" collapsed="false">
      <c r="A30" s="46"/>
      <c r="B30" s="7" t="n">
        <f aca="false">IFERROR(COUNTIF('1. Raw Votes Log'!B:B,A30),0)</f>
        <v>0</v>
      </c>
      <c r="C30" s="39" t="n">
        <f aca="false">IFERROR(-SUMPRODUCT(IF('4. CountrySubject Buckets'!$B$4:$B$153=A30,IF('4. CountrySubject Buckets'!$F$4:$F$153&gt;0,('4. CountrySubject Buckets'!$F$4:$F$153/B30)*LOG(('4. CountrySubject Buckets'!$F$4:$F$153/B30),2),0),0)),0)</f>
        <v>-0</v>
      </c>
      <c r="D30" s="16"/>
    </row>
    <row r="31" customFormat="false" ht="15" hidden="false" customHeight="false" outlineLevel="0" collapsed="false">
      <c r="A31" s="47"/>
      <c r="B31" s="4" t="n">
        <f aca="false">IFERROR(COUNTIF('1. Raw Votes Log'!B:B,A31),0)</f>
        <v>0</v>
      </c>
      <c r="C31" s="42" t="n">
        <f aca="false">IFERROR(-SUMPRODUCT(IF('4. CountrySubject Buckets'!$B$4:$B$153=A31,IF('4. CountrySubject Buckets'!$F$4:$F$153&gt;0,('4. CountrySubject Buckets'!$F$4:$F$153/B31)*LOG(('4. CountrySubject Buckets'!$F$4:$F$153/B31),2),0),0)),0)</f>
        <v>-0</v>
      </c>
      <c r="D31" s="17"/>
    </row>
    <row r="32" customFormat="false" ht="15" hidden="false" customHeight="false" outlineLevel="0" collapsed="false">
      <c r="A32" s="46"/>
      <c r="B32" s="7" t="n">
        <f aca="false">IFERROR(COUNTIF('1. Raw Votes Log'!B:B,A32),0)</f>
        <v>0</v>
      </c>
      <c r="C32" s="39" t="n">
        <f aca="false">IFERROR(-SUMPRODUCT(IF('4. CountrySubject Buckets'!$B$4:$B$153=A32,IF('4. CountrySubject Buckets'!$F$4:$F$153&gt;0,('4. CountrySubject Buckets'!$F$4:$F$153/B32)*LOG(('4. CountrySubject Buckets'!$F$4:$F$153/B32),2),0),0)),0)</f>
        <v>-0</v>
      </c>
      <c r="D32" s="16"/>
    </row>
    <row r="33" customFormat="false" ht="15" hidden="false" customHeight="false" outlineLevel="0" collapsed="false">
      <c r="A33" s="47"/>
      <c r="B33" s="4" t="n">
        <f aca="false">IFERROR(COUNTIF('1. Raw Votes Log'!B:B,A33),0)</f>
        <v>0</v>
      </c>
      <c r="C33" s="42" t="n">
        <f aca="false">IFERROR(-SUMPRODUCT(IF('4. CountrySubject Buckets'!$B$4:$B$153=A33,IF('4. CountrySubject Buckets'!$F$4:$F$153&gt;0,('4. CountrySubject Buckets'!$F$4:$F$153/B33)*LOG(('4. CountrySubject Buckets'!$F$4:$F$153/B33),2),0),0)),0)</f>
        <v>-0</v>
      </c>
      <c r="D33" s="1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3" t="s">
        <v>392</v>
      </c>
      <c r="B1" s="23"/>
      <c r="C1" s="23"/>
      <c r="D1" s="23"/>
      <c r="E1" s="23"/>
      <c r="F1" s="23"/>
      <c r="G1" s="23"/>
      <c r="H1" s="23"/>
      <c r="I1" s="23"/>
    </row>
    <row r="2" customFormat="false" ht="25.5" hidden="false" customHeight="true" outlineLevel="0" collapsed="false">
      <c r="A2" s="38" t="s">
        <v>393</v>
      </c>
      <c r="B2" s="38"/>
      <c r="C2" s="38"/>
      <c r="D2" s="38"/>
      <c r="E2" s="38"/>
      <c r="F2" s="38"/>
      <c r="G2" s="38"/>
      <c r="H2" s="38"/>
      <c r="I2" s="38"/>
    </row>
    <row r="3" customFormat="false" ht="23.85" hidden="false" customHeight="false" outlineLevel="0" collapsed="false">
      <c r="A3" s="24" t="s">
        <v>394</v>
      </c>
      <c r="B3" s="24" t="s">
        <v>157</v>
      </c>
      <c r="C3" s="24" t="s">
        <v>369</v>
      </c>
      <c r="D3" s="24" t="s">
        <v>370</v>
      </c>
      <c r="E3" s="24" t="s">
        <v>374</v>
      </c>
      <c r="F3" s="24" t="s">
        <v>395</v>
      </c>
      <c r="G3" s="24" t="s">
        <v>396</v>
      </c>
      <c r="H3" s="24" t="s">
        <v>388</v>
      </c>
      <c r="I3" s="24" t="s">
        <v>397</v>
      </c>
    </row>
    <row r="4" customFormat="false" ht="15" hidden="false" customHeight="false" outlineLevel="0" collapsed="false">
      <c r="A4" s="21" t="n">
        <f aca="false">IFERROR(RANK(H4,$H$4:$H$33,0),"")</f>
        <v>1</v>
      </c>
      <c r="B4" s="16"/>
      <c r="C4" s="7" t="n">
        <f aca="false">IFERROR(VLOOKUP(B4,'5. Entropy Calculation'!B:J,2,FALSE()),0)</f>
        <v>0</v>
      </c>
      <c r="D4" s="7" t="n">
        <f aca="false">IFERROR(VLOOKUP(B4,'5. Entropy Calculation'!B:J,3,FALSE()),0)</f>
        <v>0</v>
      </c>
      <c r="E4" s="7" t="n">
        <f aca="false">IFERROR(VLOOKUP(B4,'5. Entropy Calculation'!B:J,4,FALSE()),0)</f>
        <v>0</v>
      </c>
      <c r="F4" s="7" t="n">
        <f aca="false">IFERROR(VLOOKUP(B4,'5. Entropy Calculation'!B:J,5,FALSE()),0)</f>
        <v>0</v>
      </c>
      <c r="G4" s="40" t="n">
        <f aca="false">IFERROR(VLOOKUP(B4,'5. Entropy Calculation'!B:J,6,FALSE()),0)</f>
        <v>0</v>
      </c>
      <c r="H4" s="41" t="n">
        <f aca="false">IFERROR(VLOOKUP(B4,'5. Entropy Calculation'!B:J,9,FALSE()),0)</f>
        <v>0</v>
      </c>
      <c r="I4" s="21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22" t="n">
        <f aca="false">IFERROR(RANK(H5,$H$4:$H$33,0),"")</f>
        <v>1</v>
      </c>
      <c r="B5" s="17"/>
      <c r="C5" s="4" t="n">
        <f aca="false">IFERROR(VLOOKUP(B5,'5. Entropy Calculation'!B:J,2,FALSE()),0)</f>
        <v>0</v>
      </c>
      <c r="D5" s="4" t="n">
        <f aca="false">IFERROR(VLOOKUP(B5,'5. Entropy Calculation'!B:J,3,FALSE()),0)</f>
        <v>0</v>
      </c>
      <c r="E5" s="4" t="n">
        <f aca="false">IFERROR(VLOOKUP(B5,'5. Entropy Calculation'!B:J,4,FALSE()),0)</f>
        <v>0</v>
      </c>
      <c r="F5" s="4" t="n">
        <f aca="false">IFERROR(VLOOKUP(B5,'5. Entropy Calculation'!B:J,5,FALSE()),0)</f>
        <v>0</v>
      </c>
      <c r="G5" s="43" t="n">
        <f aca="false">IFERROR(VLOOKUP(B5,'5. Entropy Calculation'!B:J,6,FALSE()),0)</f>
        <v>0</v>
      </c>
      <c r="H5" s="44" t="n">
        <f aca="false">IFERROR(VLOOKUP(B5,'5. Entropy Calculation'!B:J,9,FALSE()),0)</f>
        <v>0</v>
      </c>
      <c r="I5" s="22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21" t="n">
        <f aca="false">IFERROR(RANK(H6,$H$4:$H$33,0),"")</f>
        <v>1</v>
      </c>
      <c r="B6" s="16"/>
      <c r="C6" s="7" t="n">
        <f aca="false">IFERROR(VLOOKUP(B6,'5. Entropy Calculation'!B:J,2,FALSE()),0)</f>
        <v>0</v>
      </c>
      <c r="D6" s="7" t="n">
        <f aca="false">IFERROR(VLOOKUP(B6,'5. Entropy Calculation'!B:J,3,FALSE()),0)</f>
        <v>0</v>
      </c>
      <c r="E6" s="7" t="n">
        <f aca="false">IFERROR(VLOOKUP(B6,'5. Entropy Calculation'!B:J,4,FALSE()),0)</f>
        <v>0</v>
      </c>
      <c r="F6" s="7" t="n">
        <f aca="false">IFERROR(VLOOKUP(B6,'5. Entropy Calculation'!B:J,5,FALSE()),0)</f>
        <v>0</v>
      </c>
      <c r="G6" s="40" t="n">
        <f aca="false">IFERROR(VLOOKUP(B6,'5. Entropy Calculation'!B:J,6,FALSE()),0)</f>
        <v>0</v>
      </c>
      <c r="H6" s="41" t="n">
        <f aca="false">IFERROR(VLOOKUP(B6,'5. Entropy Calculation'!B:J,9,FALSE()),0)</f>
        <v>0</v>
      </c>
      <c r="I6" s="21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22" t="n">
        <f aca="false">IFERROR(RANK(H7,$H$4:$H$33,0),"")</f>
        <v>1</v>
      </c>
      <c r="B7" s="17"/>
      <c r="C7" s="4" t="n">
        <f aca="false">IFERROR(VLOOKUP(B7,'5. Entropy Calculation'!B:J,2,FALSE()),0)</f>
        <v>0</v>
      </c>
      <c r="D7" s="4" t="n">
        <f aca="false">IFERROR(VLOOKUP(B7,'5. Entropy Calculation'!B:J,3,FALSE()),0)</f>
        <v>0</v>
      </c>
      <c r="E7" s="4" t="n">
        <f aca="false">IFERROR(VLOOKUP(B7,'5. Entropy Calculation'!B:J,4,FALSE()),0)</f>
        <v>0</v>
      </c>
      <c r="F7" s="4" t="n">
        <f aca="false">IFERROR(VLOOKUP(B7,'5. Entropy Calculation'!B:J,5,FALSE()),0)</f>
        <v>0</v>
      </c>
      <c r="G7" s="43" t="n">
        <f aca="false">IFERROR(VLOOKUP(B7,'5. Entropy Calculation'!B:J,6,FALSE()),0)</f>
        <v>0</v>
      </c>
      <c r="H7" s="44" t="n">
        <f aca="false">IFERROR(VLOOKUP(B7,'5. Entropy Calculation'!B:J,9,FALSE()),0)</f>
        <v>0</v>
      </c>
      <c r="I7" s="22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21" t="n">
        <f aca="false">IFERROR(RANK(H8,$H$4:$H$33,0),"")</f>
        <v>1</v>
      </c>
      <c r="B8" s="16"/>
      <c r="C8" s="7" t="n">
        <f aca="false">IFERROR(VLOOKUP(B8,'5. Entropy Calculation'!B:J,2,FALSE()),0)</f>
        <v>0</v>
      </c>
      <c r="D8" s="7" t="n">
        <f aca="false">IFERROR(VLOOKUP(B8,'5. Entropy Calculation'!B:J,3,FALSE()),0)</f>
        <v>0</v>
      </c>
      <c r="E8" s="7" t="n">
        <f aca="false">IFERROR(VLOOKUP(B8,'5. Entropy Calculation'!B:J,4,FALSE()),0)</f>
        <v>0</v>
      </c>
      <c r="F8" s="7" t="n">
        <f aca="false">IFERROR(VLOOKUP(B8,'5. Entropy Calculation'!B:J,5,FALSE()),0)</f>
        <v>0</v>
      </c>
      <c r="G8" s="40" t="n">
        <f aca="false">IFERROR(VLOOKUP(B8,'5. Entropy Calculation'!B:J,6,FALSE()),0)</f>
        <v>0</v>
      </c>
      <c r="H8" s="41" t="n">
        <f aca="false">IFERROR(VLOOKUP(B8,'5. Entropy Calculation'!B:J,9,FALSE()),0)</f>
        <v>0</v>
      </c>
      <c r="I8" s="21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22" t="n">
        <f aca="false">IFERROR(RANK(H9,$H$4:$H$33,0),"")</f>
        <v>1</v>
      </c>
      <c r="B9" s="17"/>
      <c r="C9" s="4" t="n">
        <f aca="false">IFERROR(VLOOKUP(B9,'5. Entropy Calculation'!B:J,2,FALSE()),0)</f>
        <v>0</v>
      </c>
      <c r="D9" s="4" t="n">
        <f aca="false">IFERROR(VLOOKUP(B9,'5. Entropy Calculation'!B:J,3,FALSE()),0)</f>
        <v>0</v>
      </c>
      <c r="E9" s="4" t="n">
        <f aca="false">IFERROR(VLOOKUP(B9,'5. Entropy Calculation'!B:J,4,FALSE()),0)</f>
        <v>0</v>
      </c>
      <c r="F9" s="4" t="n">
        <f aca="false">IFERROR(VLOOKUP(B9,'5. Entropy Calculation'!B:J,5,FALSE()),0)</f>
        <v>0</v>
      </c>
      <c r="G9" s="43" t="n">
        <f aca="false">IFERROR(VLOOKUP(B9,'5. Entropy Calculation'!B:J,6,FALSE()),0)</f>
        <v>0</v>
      </c>
      <c r="H9" s="44" t="n">
        <f aca="false">IFERROR(VLOOKUP(B9,'5. Entropy Calculation'!B:J,9,FALSE()),0)</f>
        <v>0</v>
      </c>
      <c r="I9" s="22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21" t="n">
        <f aca="false">IFERROR(RANK(H10,$H$4:$H$33,0),"")</f>
        <v>1</v>
      </c>
      <c r="B10" s="16"/>
      <c r="C10" s="7" t="n">
        <f aca="false">IFERROR(VLOOKUP(B10,'5. Entropy Calculation'!B:J,2,FALSE()),0)</f>
        <v>0</v>
      </c>
      <c r="D10" s="7" t="n">
        <f aca="false">IFERROR(VLOOKUP(B10,'5. Entropy Calculation'!B:J,3,FALSE()),0)</f>
        <v>0</v>
      </c>
      <c r="E10" s="7" t="n">
        <f aca="false">IFERROR(VLOOKUP(B10,'5. Entropy Calculation'!B:J,4,FALSE()),0)</f>
        <v>0</v>
      </c>
      <c r="F10" s="7" t="n">
        <f aca="false">IFERROR(VLOOKUP(B10,'5. Entropy Calculation'!B:J,5,FALSE()),0)</f>
        <v>0</v>
      </c>
      <c r="G10" s="40" t="n">
        <f aca="false">IFERROR(VLOOKUP(B10,'5. Entropy Calculation'!B:J,6,FALSE()),0)</f>
        <v>0</v>
      </c>
      <c r="H10" s="41" t="n">
        <f aca="false">IFERROR(VLOOKUP(B10,'5. Entropy Calculation'!B:J,9,FALSE()),0)</f>
        <v>0</v>
      </c>
      <c r="I10" s="21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22" t="n">
        <f aca="false">IFERROR(RANK(H11,$H$4:$H$33,0),"")</f>
        <v>1</v>
      </c>
      <c r="B11" s="17"/>
      <c r="C11" s="4" t="n">
        <f aca="false">IFERROR(VLOOKUP(B11,'5. Entropy Calculation'!B:J,2,FALSE()),0)</f>
        <v>0</v>
      </c>
      <c r="D11" s="4" t="n">
        <f aca="false">IFERROR(VLOOKUP(B11,'5. Entropy Calculation'!B:J,3,FALSE()),0)</f>
        <v>0</v>
      </c>
      <c r="E11" s="4" t="n">
        <f aca="false">IFERROR(VLOOKUP(B11,'5. Entropy Calculation'!B:J,4,FALSE()),0)</f>
        <v>0</v>
      </c>
      <c r="F11" s="4" t="n">
        <f aca="false">IFERROR(VLOOKUP(B11,'5. Entropy Calculation'!B:J,5,FALSE()),0)</f>
        <v>0</v>
      </c>
      <c r="G11" s="43" t="n">
        <f aca="false">IFERROR(VLOOKUP(B11,'5. Entropy Calculation'!B:J,6,FALSE()),0)</f>
        <v>0</v>
      </c>
      <c r="H11" s="44" t="n">
        <f aca="false">IFERROR(VLOOKUP(B11,'5. Entropy Calculation'!B:J,9,FALSE()),0)</f>
        <v>0</v>
      </c>
      <c r="I11" s="22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21" t="n">
        <f aca="false">IFERROR(RANK(H12,$H$4:$H$33,0),"")</f>
        <v>1</v>
      </c>
      <c r="B12" s="16"/>
      <c r="C12" s="7" t="n">
        <f aca="false">IFERROR(VLOOKUP(B12,'5. Entropy Calculation'!B:J,2,FALSE()),0)</f>
        <v>0</v>
      </c>
      <c r="D12" s="7" t="n">
        <f aca="false">IFERROR(VLOOKUP(B12,'5. Entropy Calculation'!B:J,3,FALSE()),0)</f>
        <v>0</v>
      </c>
      <c r="E12" s="7" t="n">
        <f aca="false">IFERROR(VLOOKUP(B12,'5. Entropy Calculation'!B:J,4,FALSE()),0)</f>
        <v>0</v>
      </c>
      <c r="F12" s="7" t="n">
        <f aca="false">IFERROR(VLOOKUP(B12,'5. Entropy Calculation'!B:J,5,FALSE()),0)</f>
        <v>0</v>
      </c>
      <c r="G12" s="40" t="n">
        <f aca="false">IFERROR(VLOOKUP(B12,'5. Entropy Calculation'!B:J,6,FALSE()),0)</f>
        <v>0</v>
      </c>
      <c r="H12" s="41" t="n">
        <f aca="false">IFERROR(VLOOKUP(B12,'5. Entropy Calculation'!B:J,9,FALSE()),0)</f>
        <v>0</v>
      </c>
      <c r="I12" s="21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22" t="n">
        <f aca="false">IFERROR(RANK(H13,$H$4:$H$33,0),"")</f>
        <v>1</v>
      </c>
      <c r="B13" s="17"/>
      <c r="C13" s="4" t="n">
        <f aca="false">IFERROR(VLOOKUP(B13,'5. Entropy Calculation'!B:J,2,FALSE()),0)</f>
        <v>0</v>
      </c>
      <c r="D13" s="4" t="n">
        <f aca="false">IFERROR(VLOOKUP(B13,'5. Entropy Calculation'!B:J,3,FALSE()),0)</f>
        <v>0</v>
      </c>
      <c r="E13" s="4" t="n">
        <f aca="false">IFERROR(VLOOKUP(B13,'5. Entropy Calculation'!B:J,4,FALSE()),0)</f>
        <v>0</v>
      </c>
      <c r="F13" s="4" t="n">
        <f aca="false">IFERROR(VLOOKUP(B13,'5. Entropy Calculation'!B:J,5,FALSE()),0)</f>
        <v>0</v>
      </c>
      <c r="G13" s="43" t="n">
        <f aca="false">IFERROR(VLOOKUP(B13,'5. Entropy Calculation'!B:J,6,FALSE()),0)</f>
        <v>0</v>
      </c>
      <c r="H13" s="44" t="n">
        <f aca="false">IFERROR(VLOOKUP(B13,'5. Entropy Calculation'!B:J,9,FALSE()),0)</f>
        <v>0</v>
      </c>
      <c r="I13" s="22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21" t="n">
        <f aca="false">IFERROR(RANK(H14,$H$4:$H$33,0),"")</f>
        <v>1</v>
      </c>
      <c r="B14" s="16"/>
      <c r="C14" s="7" t="n">
        <f aca="false">IFERROR(VLOOKUP(B14,'5. Entropy Calculation'!B:J,2,FALSE()),0)</f>
        <v>0</v>
      </c>
      <c r="D14" s="7" t="n">
        <f aca="false">IFERROR(VLOOKUP(B14,'5. Entropy Calculation'!B:J,3,FALSE()),0)</f>
        <v>0</v>
      </c>
      <c r="E14" s="7" t="n">
        <f aca="false">IFERROR(VLOOKUP(B14,'5. Entropy Calculation'!B:J,4,FALSE()),0)</f>
        <v>0</v>
      </c>
      <c r="F14" s="7" t="n">
        <f aca="false">IFERROR(VLOOKUP(B14,'5. Entropy Calculation'!B:J,5,FALSE()),0)</f>
        <v>0</v>
      </c>
      <c r="G14" s="40" t="n">
        <f aca="false">IFERROR(VLOOKUP(B14,'5. Entropy Calculation'!B:J,6,FALSE()),0)</f>
        <v>0</v>
      </c>
      <c r="H14" s="41" t="n">
        <f aca="false">IFERROR(VLOOKUP(B14,'5. Entropy Calculation'!B:J,9,FALSE()),0)</f>
        <v>0</v>
      </c>
      <c r="I14" s="21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22" t="n">
        <f aca="false">IFERROR(RANK(H15,$H$4:$H$33,0),"")</f>
        <v>1</v>
      </c>
      <c r="B15" s="17"/>
      <c r="C15" s="4" t="n">
        <f aca="false">IFERROR(VLOOKUP(B15,'5. Entropy Calculation'!B:J,2,FALSE()),0)</f>
        <v>0</v>
      </c>
      <c r="D15" s="4" t="n">
        <f aca="false">IFERROR(VLOOKUP(B15,'5. Entropy Calculation'!B:J,3,FALSE()),0)</f>
        <v>0</v>
      </c>
      <c r="E15" s="4" t="n">
        <f aca="false">IFERROR(VLOOKUP(B15,'5. Entropy Calculation'!B:J,4,FALSE()),0)</f>
        <v>0</v>
      </c>
      <c r="F15" s="4" t="n">
        <f aca="false">IFERROR(VLOOKUP(B15,'5. Entropy Calculation'!B:J,5,FALSE()),0)</f>
        <v>0</v>
      </c>
      <c r="G15" s="43" t="n">
        <f aca="false">IFERROR(VLOOKUP(B15,'5. Entropy Calculation'!B:J,6,FALSE()),0)</f>
        <v>0</v>
      </c>
      <c r="H15" s="44" t="n">
        <f aca="false">IFERROR(VLOOKUP(B15,'5. Entropy Calculation'!B:J,9,FALSE()),0)</f>
        <v>0</v>
      </c>
      <c r="I15" s="22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21" t="n">
        <f aca="false">IFERROR(RANK(H16,$H$4:$H$33,0),"")</f>
        <v>1</v>
      </c>
      <c r="B16" s="16"/>
      <c r="C16" s="7" t="n">
        <f aca="false">IFERROR(VLOOKUP(B16,'5. Entropy Calculation'!B:J,2,FALSE()),0)</f>
        <v>0</v>
      </c>
      <c r="D16" s="7" t="n">
        <f aca="false">IFERROR(VLOOKUP(B16,'5. Entropy Calculation'!B:J,3,FALSE()),0)</f>
        <v>0</v>
      </c>
      <c r="E16" s="7" t="n">
        <f aca="false">IFERROR(VLOOKUP(B16,'5. Entropy Calculation'!B:J,4,FALSE()),0)</f>
        <v>0</v>
      </c>
      <c r="F16" s="7" t="n">
        <f aca="false">IFERROR(VLOOKUP(B16,'5. Entropy Calculation'!B:J,5,FALSE()),0)</f>
        <v>0</v>
      </c>
      <c r="G16" s="40" t="n">
        <f aca="false">IFERROR(VLOOKUP(B16,'5. Entropy Calculation'!B:J,6,FALSE()),0)</f>
        <v>0</v>
      </c>
      <c r="H16" s="41" t="n">
        <f aca="false">IFERROR(VLOOKUP(B16,'5. Entropy Calculation'!B:J,9,FALSE()),0)</f>
        <v>0</v>
      </c>
      <c r="I16" s="21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22" t="n">
        <f aca="false">IFERROR(RANK(H17,$H$4:$H$33,0),"")</f>
        <v>1</v>
      </c>
      <c r="B17" s="17"/>
      <c r="C17" s="4" t="n">
        <f aca="false">IFERROR(VLOOKUP(B17,'5. Entropy Calculation'!B:J,2,FALSE()),0)</f>
        <v>0</v>
      </c>
      <c r="D17" s="4" t="n">
        <f aca="false">IFERROR(VLOOKUP(B17,'5. Entropy Calculation'!B:J,3,FALSE()),0)</f>
        <v>0</v>
      </c>
      <c r="E17" s="4" t="n">
        <f aca="false">IFERROR(VLOOKUP(B17,'5. Entropy Calculation'!B:J,4,FALSE()),0)</f>
        <v>0</v>
      </c>
      <c r="F17" s="4" t="n">
        <f aca="false">IFERROR(VLOOKUP(B17,'5. Entropy Calculation'!B:J,5,FALSE()),0)</f>
        <v>0</v>
      </c>
      <c r="G17" s="43" t="n">
        <f aca="false">IFERROR(VLOOKUP(B17,'5. Entropy Calculation'!B:J,6,FALSE()),0)</f>
        <v>0</v>
      </c>
      <c r="H17" s="44" t="n">
        <f aca="false">IFERROR(VLOOKUP(B17,'5. Entropy Calculation'!B:J,9,FALSE()),0)</f>
        <v>0</v>
      </c>
      <c r="I17" s="22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21" t="n">
        <f aca="false">IFERROR(RANK(H18,$H$4:$H$33,0),"")</f>
        <v>1</v>
      </c>
      <c r="B18" s="16"/>
      <c r="C18" s="7" t="n">
        <f aca="false">IFERROR(VLOOKUP(B18,'5. Entropy Calculation'!B:J,2,FALSE()),0)</f>
        <v>0</v>
      </c>
      <c r="D18" s="7" t="n">
        <f aca="false">IFERROR(VLOOKUP(B18,'5. Entropy Calculation'!B:J,3,FALSE()),0)</f>
        <v>0</v>
      </c>
      <c r="E18" s="7" t="n">
        <f aca="false">IFERROR(VLOOKUP(B18,'5. Entropy Calculation'!B:J,4,FALSE()),0)</f>
        <v>0</v>
      </c>
      <c r="F18" s="7" t="n">
        <f aca="false">IFERROR(VLOOKUP(B18,'5. Entropy Calculation'!B:J,5,FALSE()),0)</f>
        <v>0</v>
      </c>
      <c r="G18" s="40" t="n">
        <f aca="false">IFERROR(VLOOKUP(B18,'5. Entropy Calculation'!B:J,6,FALSE()),0)</f>
        <v>0</v>
      </c>
      <c r="H18" s="41" t="n">
        <f aca="false">IFERROR(VLOOKUP(B18,'5. Entropy Calculation'!B:J,9,FALSE()),0)</f>
        <v>0</v>
      </c>
      <c r="I18" s="21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22" t="n">
        <f aca="false">IFERROR(RANK(H19,$H$4:$H$33,0),"")</f>
        <v>1</v>
      </c>
      <c r="B19" s="17"/>
      <c r="C19" s="4" t="n">
        <f aca="false">IFERROR(VLOOKUP(B19,'5. Entropy Calculation'!B:J,2,FALSE()),0)</f>
        <v>0</v>
      </c>
      <c r="D19" s="4" t="n">
        <f aca="false">IFERROR(VLOOKUP(B19,'5. Entropy Calculation'!B:J,3,FALSE()),0)</f>
        <v>0</v>
      </c>
      <c r="E19" s="4" t="n">
        <f aca="false">IFERROR(VLOOKUP(B19,'5. Entropy Calculation'!B:J,4,FALSE()),0)</f>
        <v>0</v>
      </c>
      <c r="F19" s="4" t="n">
        <f aca="false">IFERROR(VLOOKUP(B19,'5. Entropy Calculation'!B:J,5,FALSE()),0)</f>
        <v>0</v>
      </c>
      <c r="G19" s="43" t="n">
        <f aca="false">IFERROR(VLOOKUP(B19,'5. Entropy Calculation'!B:J,6,FALSE()),0)</f>
        <v>0</v>
      </c>
      <c r="H19" s="44" t="n">
        <f aca="false">IFERROR(VLOOKUP(B19,'5. Entropy Calculation'!B:J,9,FALSE()),0)</f>
        <v>0</v>
      </c>
      <c r="I19" s="22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21" t="n">
        <f aca="false">IFERROR(RANK(H20,$H$4:$H$33,0),"")</f>
        <v>1</v>
      </c>
      <c r="B20" s="16"/>
      <c r="C20" s="7" t="n">
        <f aca="false">IFERROR(VLOOKUP(B20,'5. Entropy Calculation'!B:J,2,FALSE()),0)</f>
        <v>0</v>
      </c>
      <c r="D20" s="7" t="n">
        <f aca="false">IFERROR(VLOOKUP(B20,'5. Entropy Calculation'!B:J,3,FALSE()),0)</f>
        <v>0</v>
      </c>
      <c r="E20" s="7" t="n">
        <f aca="false">IFERROR(VLOOKUP(B20,'5. Entropy Calculation'!B:J,4,FALSE()),0)</f>
        <v>0</v>
      </c>
      <c r="F20" s="7" t="n">
        <f aca="false">IFERROR(VLOOKUP(B20,'5. Entropy Calculation'!B:J,5,FALSE()),0)</f>
        <v>0</v>
      </c>
      <c r="G20" s="40" t="n">
        <f aca="false">IFERROR(VLOOKUP(B20,'5. Entropy Calculation'!B:J,6,FALSE()),0)</f>
        <v>0</v>
      </c>
      <c r="H20" s="41" t="n">
        <f aca="false">IFERROR(VLOOKUP(B20,'5. Entropy Calculation'!B:J,9,FALSE()),0)</f>
        <v>0</v>
      </c>
      <c r="I20" s="21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22" t="n">
        <f aca="false">IFERROR(RANK(H21,$H$4:$H$33,0),"")</f>
        <v>1</v>
      </c>
      <c r="B21" s="17"/>
      <c r="C21" s="4" t="n">
        <f aca="false">IFERROR(VLOOKUP(B21,'5. Entropy Calculation'!B:J,2,FALSE()),0)</f>
        <v>0</v>
      </c>
      <c r="D21" s="4" t="n">
        <f aca="false">IFERROR(VLOOKUP(B21,'5. Entropy Calculation'!B:J,3,FALSE()),0)</f>
        <v>0</v>
      </c>
      <c r="E21" s="4" t="n">
        <f aca="false">IFERROR(VLOOKUP(B21,'5. Entropy Calculation'!B:J,4,FALSE()),0)</f>
        <v>0</v>
      </c>
      <c r="F21" s="4" t="n">
        <f aca="false">IFERROR(VLOOKUP(B21,'5. Entropy Calculation'!B:J,5,FALSE()),0)</f>
        <v>0</v>
      </c>
      <c r="G21" s="43" t="n">
        <f aca="false">IFERROR(VLOOKUP(B21,'5. Entropy Calculation'!B:J,6,FALSE()),0)</f>
        <v>0</v>
      </c>
      <c r="H21" s="44" t="n">
        <f aca="false">IFERROR(VLOOKUP(B21,'5. Entropy Calculation'!B:J,9,FALSE()),0)</f>
        <v>0</v>
      </c>
      <c r="I21" s="22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21" t="n">
        <f aca="false">IFERROR(RANK(H22,$H$4:$H$33,0),"")</f>
        <v>1</v>
      </c>
      <c r="B22" s="16"/>
      <c r="C22" s="7" t="n">
        <f aca="false">IFERROR(VLOOKUP(B22,'5. Entropy Calculation'!B:J,2,FALSE()),0)</f>
        <v>0</v>
      </c>
      <c r="D22" s="7" t="n">
        <f aca="false">IFERROR(VLOOKUP(B22,'5. Entropy Calculation'!B:J,3,FALSE()),0)</f>
        <v>0</v>
      </c>
      <c r="E22" s="7" t="n">
        <f aca="false">IFERROR(VLOOKUP(B22,'5. Entropy Calculation'!B:J,4,FALSE()),0)</f>
        <v>0</v>
      </c>
      <c r="F22" s="7" t="n">
        <f aca="false">IFERROR(VLOOKUP(B22,'5. Entropy Calculation'!B:J,5,FALSE()),0)</f>
        <v>0</v>
      </c>
      <c r="G22" s="40" t="n">
        <f aca="false">IFERROR(VLOOKUP(B22,'5. Entropy Calculation'!B:J,6,FALSE()),0)</f>
        <v>0</v>
      </c>
      <c r="H22" s="41" t="n">
        <f aca="false">IFERROR(VLOOKUP(B22,'5. Entropy Calculation'!B:J,9,FALSE()),0)</f>
        <v>0</v>
      </c>
      <c r="I22" s="21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22" t="n">
        <f aca="false">IFERROR(RANK(H23,$H$4:$H$33,0),"")</f>
        <v>1</v>
      </c>
      <c r="B23" s="17"/>
      <c r="C23" s="4" t="n">
        <f aca="false">IFERROR(VLOOKUP(B23,'5. Entropy Calculation'!B:J,2,FALSE()),0)</f>
        <v>0</v>
      </c>
      <c r="D23" s="4" t="n">
        <f aca="false">IFERROR(VLOOKUP(B23,'5. Entropy Calculation'!B:J,3,FALSE()),0)</f>
        <v>0</v>
      </c>
      <c r="E23" s="4" t="n">
        <f aca="false">IFERROR(VLOOKUP(B23,'5. Entropy Calculation'!B:J,4,FALSE()),0)</f>
        <v>0</v>
      </c>
      <c r="F23" s="4" t="n">
        <f aca="false">IFERROR(VLOOKUP(B23,'5. Entropy Calculation'!B:J,5,FALSE()),0)</f>
        <v>0</v>
      </c>
      <c r="G23" s="43" t="n">
        <f aca="false">IFERROR(VLOOKUP(B23,'5. Entropy Calculation'!B:J,6,FALSE()),0)</f>
        <v>0</v>
      </c>
      <c r="H23" s="44" t="n">
        <f aca="false">IFERROR(VLOOKUP(B23,'5. Entropy Calculation'!B:J,9,FALSE()),0)</f>
        <v>0</v>
      </c>
      <c r="I23" s="22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21" t="n">
        <f aca="false">IFERROR(RANK(H24,$H$4:$H$33,0),"")</f>
        <v>1</v>
      </c>
      <c r="B24" s="16"/>
      <c r="C24" s="7" t="n">
        <f aca="false">IFERROR(VLOOKUP(B24,'5. Entropy Calculation'!B:J,2,FALSE()),0)</f>
        <v>0</v>
      </c>
      <c r="D24" s="7" t="n">
        <f aca="false">IFERROR(VLOOKUP(B24,'5. Entropy Calculation'!B:J,3,FALSE()),0)</f>
        <v>0</v>
      </c>
      <c r="E24" s="7" t="n">
        <f aca="false">IFERROR(VLOOKUP(B24,'5. Entropy Calculation'!B:J,4,FALSE()),0)</f>
        <v>0</v>
      </c>
      <c r="F24" s="7" t="n">
        <f aca="false">IFERROR(VLOOKUP(B24,'5. Entropy Calculation'!B:J,5,FALSE()),0)</f>
        <v>0</v>
      </c>
      <c r="G24" s="40" t="n">
        <f aca="false">IFERROR(VLOOKUP(B24,'5. Entropy Calculation'!B:J,6,FALSE()),0)</f>
        <v>0</v>
      </c>
      <c r="H24" s="41" t="n">
        <f aca="false">IFERROR(VLOOKUP(B24,'5. Entropy Calculation'!B:J,9,FALSE()),0)</f>
        <v>0</v>
      </c>
      <c r="I24" s="21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22" t="n">
        <f aca="false">IFERROR(RANK(H25,$H$4:$H$33,0),"")</f>
        <v>1</v>
      </c>
      <c r="B25" s="17"/>
      <c r="C25" s="4" t="n">
        <f aca="false">IFERROR(VLOOKUP(B25,'5. Entropy Calculation'!B:J,2,FALSE()),0)</f>
        <v>0</v>
      </c>
      <c r="D25" s="4" t="n">
        <f aca="false">IFERROR(VLOOKUP(B25,'5. Entropy Calculation'!B:J,3,FALSE()),0)</f>
        <v>0</v>
      </c>
      <c r="E25" s="4" t="n">
        <f aca="false">IFERROR(VLOOKUP(B25,'5. Entropy Calculation'!B:J,4,FALSE()),0)</f>
        <v>0</v>
      </c>
      <c r="F25" s="4" t="n">
        <f aca="false">IFERROR(VLOOKUP(B25,'5. Entropy Calculation'!B:J,5,FALSE()),0)</f>
        <v>0</v>
      </c>
      <c r="G25" s="43" t="n">
        <f aca="false">IFERROR(VLOOKUP(B25,'5. Entropy Calculation'!B:J,6,FALSE()),0)</f>
        <v>0</v>
      </c>
      <c r="H25" s="44" t="n">
        <f aca="false">IFERROR(VLOOKUP(B25,'5. Entropy Calculation'!B:J,9,FALSE()),0)</f>
        <v>0</v>
      </c>
      <c r="I25" s="22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21" t="n">
        <f aca="false">IFERROR(RANK(H26,$H$4:$H$33,0),"")</f>
        <v>1</v>
      </c>
      <c r="B26" s="16"/>
      <c r="C26" s="7" t="n">
        <f aca="false">IFERROR(VLOOKUP(B26,'5. Entropy Calculation'!B:J,2,FALSE()),0)</f>
        <v>0</v>
      </c>
      <c r="D26" s="7" t="n">
        <f aca="false">IFERROR(VLOOKUP(B26,'5. Entropy Calculation'!B:J,3,FALSE()),0)</f>
        <v>0</v>
      </c>
      <c r="E26" s="7" t="n">
        <f aca="false">IFERROR(VLOOKUP(B26,'5. Entropy Calculation'!B:J,4,FALSE()),0)</f>
        <v>0</v>
      </c>
      <c r="F26" s="7" t="n">
        <f aca="false">IFERROR(VLOOKUP(B26,'5. Entropy Calculation'!B:J,5,FALSE()),0)</f>
        <v>0</v>
      </c>
      <c r="G26" s="40" t="n">
        <f aca="false">IFERROR(VLOOKUP(B26,'5. Entropy Calculation'!B:J,6,FALSE()),0)</f>
        <v>0</v>
      </c>
      <c r="H26" s="41" t="n">
        <f aca="false">IFERROR(VLOOKUP(B26,'5. Entropy Calculation'!B:J,9,FALSE()),0)</f>
        <v>0</v>
      </c>
      <c r="I26" s="21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22" t="n">
        <f aca="false">IFERROR(RANK(H27,$H$4:$H$33,0),"")</f>
        <v>1</v>
      </c>
      <c r="B27" s="17"/>
      <c r="C27" s="4" t="n">
        <f aca="false">IFERROR(VLOOKUP(B27,'5. Entropy Calculation'!B:J,2,FALSE()),0)</f>
        <v>0</v>
      </c>
      <c r="D27" s="4" t="n">
        <f aca="false">IFERROR(VLOOKUP(B27,'5. Entropy Calculation'!B:J,3,FALSE()),0)</f>
        <v>0</v>
      </c>
      <c r="E27" s="4" t="n">
        <f aca="false">IFERROR(VLOOKUP(B27,'5. Entropy Calculation'!B:J,4,FALSE()),0)</f>
        <v>0</v>
      </c>
      <c r="F27" s="4" t="n">
        <f aca="false">IFERROR(VLOOKUP(B27,'5. Entropy Calculation'!B:J,5,FALSE()),0)</f>
        <v>0</v>
      </c>
      <c r="G27" s="43" t="n">
        <f aca="false">IFERROR(VLOOKUP(B27,'5. Entropy Calculation'!B:J,6,FALSE()),0)</f>
        <v>0</v>
      </c>
      <c r="H27" s="44" t="n">
        <f aca="false">IFERROR(VLOOKUP(B27,'5. Entropy Calculation'!B:J,9,FALSE()),0)</f>
        <v>0</v>
      </c>
      <c r="I27" s="22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21" t="n">
        <f aca="false">IFERROR(RANK(H28,$H$4:$H$33,0),"")</f>
        <v>1</v>
      </c>
      <c r="B28" s="16"/>
      <c r="C28" s="7" t="n">
        <f aca="false">IFERROR(VLOOKUP(B28,'5. Entropy Calculation'!B:J,2,FALSE()),0)</f>
        <v>0</v>
      </c>
      <c r="D28" s="7" t="n">
        <f aca="false">IFERROR(VLOOKUP(B28,'5. Entropy Calculation'!B:J,3,FALSE()),0)</f>
        <v>0</v>
      </c>
      <c r="E28" s="7" t="n">
        <f aca="false">IFERROR(VLOOKUP(B28,'5. Entropy Calculation'!B:J,4,FALSE()),0)</f>
        <v>0</v>
      </c>
      <c r="F28" s="7" t="n">
        <f aca="false">IFERROR(VLOOKUP(B28,'5. Entropy Calculation'!B:J,5,FALSE()),0)</f>
        <v>0</v>
      </c>
      <c r="G28" s="40" t="n">
        <f aca="false">IFERROR(VLOOKUP(B28,'5. Entropy Calculation'!B:J,6,FALSE()),0)</f>
        <v>0</v>
      </c>
      <c r="H28" s="41" t="n">
        <f aca="false">IFERROR(VLOOKUP(B28,'5. Entropy Calculation'!B:J,9,FALSE()),0)</f>
        <v>0</v>
      </c>
      <c r="I28" s="21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22" t="n">
        <f aca="false">IFERROR(RANK(H29,$H$4:$H$33,0),"")</f>
        <v>1</v>
      </c>
      <c r="B29" s="17"/>
      <c r="C29" s="4" t="n">
        <f aca="false">IFERROR(VLOOKUP(B29,'5. Entropy Calculation'!B:J,2,FALSE()),0)</f>
        <v>0</v>
      </c>
      <c r="D29" s="4" t="n">
        <f aca="false">IFERROR(VLOOKUP(B29,'5. Entropy Calculation'!B:J,3,FALSE()),0)</f>
        <v>0</v>
      </c>
      <c r="E29" s="4" t="n">
        <f aca="false">IFERROR(VLOOKUP(B29,'5. Entropy Calculation'!B:J,4,FALSE()),0)</f>
        <v>0</v>
      </c>
      <c r="F29" s="4" t="n">
        <f aca="false">IFERROR(VLOOKUP(B29,'5. Entropy Calculation'!B:J,5,FALSE()),0)</f>
        <v>0</v>
      </c>
      <c r="G29" s="43" t="n">
        <f aca="false">IFERROR(VLOOKUP(B29,'5. Entropy Calculation'!B:J,6,FALSE()),0)</f>
        <v>0</v>
      </c>
      <c r="H29" s="44" t="n">
        <f aca="false">IFERROR(VLOOKUP(B29,'5. Entropy Calculation'!B:J,9,FALSE()),0)</f>
        <v>0</v>
      </c>
      <c r="I29" s="22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21" t="n">
        <f aca="false">IFERROR(RANK(H30,$H$4:$H$33,0),"")</f>
        <v>1</v>
      </c>
      <c r="B30" s="16"/>
      <c r="C30" s="7" t="n">
        <f aca="false">IFERROR(VLOOKUP(B30,'5. Entropy Calculation'!B:J,2,FALSE()),0)</f>
        <v>0</v>
      </c>
      <c r="D30" s="7" t="n">
        <f aca="false">IFERROR(VLOOKUP(B30,'5. Entropy Calculation'!B:J,3,FALSE()),0)</f>
        <v>0</v>
      </c>
      <c r="E30" s="7" t="n">
        <f aca="false">IFERROR(VLOOKUP(B30,'5. Entropy Calculation'!B:J,4,FALSE()),0)</f>
        <v>0</v>
      </c>
      <c r="F30" s="7" t="n">
        <f aca="false">IFERROR(VLOOKUP(B30,'5. Entropy Calculation'!B:J,5,FALSE()),0)</f>
        <v>0</v>
      </c>
      <c r="G30" s="40" t="n">
        <f aca="false">IFERROR(VLOOKUP(B30,'5. Entropy Calculation'!B:J,6,FALSE()),0)</f>
        <v>0</v>
      </c>
      <c r="H30" s="41" t="n">
        <f aca="false">IFERROR(VLOOKUP(B30,'5. Entropy Calculation'!B:J,9,FALSE()),0)</f>
        <v>0</v>
      </c>
      <c r="I30" s="21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22" t="n">
        <f aca="false">IFERROR(RANK(H31,$H$4:$H$33,0),"")</f>
        <v>1</v>
      </c>
      <c r="B31" s="17"/>
      <c r="C31" s="4" t="n">
        <f aca="false">IFERROR(VLOOKUP(B31,'5. Entropy Calculation'!B:J,2,FALSE()),0)</f>
        <v>0</v>
      </c>
      <c r="D31" s="4" t="n">
        <f aca="false">IFERROR(VLOOKUP(B31,'5. Entropy Calculation'!B:J,3,FALSE()),0)</f>
        <v>0</v>
      </c>
      <c r="E31" s="4" t="n">
        <f aca="false">IFERROR(VLOOKUP(B31,'5. Entropy Calculation'!B:J,4,FALSE()),0)</f>
        <v>0</v>
      </c>
      <c r="F31" s="4" t="n">
        <f aca="false">IFERROR(VLOOKUP(B31,'5. Entropy Calculation'!B:J,5,FALSE()),0)</f>
        <v>0</v>
      </c>
      <c r="G31" s="43" t="n">
        <f aca="false">IFERROR(VLOOKUP(B31,'5. Entropy Calculation'!B:J,6,FALSE()),0)</f>
        <v>0</v>
      </c>
      <c r="H31" s="44" t="n">
        <f aca="false">IFERROR(VLOOKUP(B31,'5. Entropy Calculation'!B:J,9,FALSE()),0)</f>
        <v>0</v>
      </c>
      <c r="I31" s="22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21" t="n">
        <f aca="false">IFERROR(RANK(H32,$H$4:$H$33,0),"")</f>
        <v>1</v>
      </c>
      <c r="B32" s="16"/>
      <c r="C32" s="7" t="n">
        <f aca="false">IFERROR(VLOOKUP(B32,'5. Entropy Calculation'!B:J,2,FALSE()),0)</f>
        <v>0</v>
      </c>
      <c r="D32" s="7" t="n">
        <f aca="false">IFERROR(VLOOKUP(B32,'5. Entropy Calculation'!B:J,3,FALSE()),0)</f>
        <v>0</v>
      </c>
      <c r="E32" s="7" t="n">
        <f aca="false">IFERROR(VLOOKUP(B32,'5. Entropy Calculation'!B:J,4,FALSE()),0)</f>
        <v>0</v>
      </c>
      <c r="F32" s="7" t="n">
        <f aca="false">IFERROR(VLOOKUP(B32,'5. Entropy Calculation'!B:J,5,FALSE()),0)</f>
        <v>0</v>
      </c>
      <c r="G32" s="40" t="n">
        <f aca="false">IFERROR(VLOOKUP(B32,'5. Entropy Calculation'!B:J,6,FALSE()),0)</f>
        <v>0</v>
      </c>
      <c r="H32" s="41" t="n">
        <f aca="false">IFERROR(VLOOKUP(B32,'5. Entropy Calculation'!B:J,9,FALSE()),0)</f>
        <v>0</v>
      </c>
      <c r="I32" s="21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22" t="n">
        <f aca="false">IFERROR(RANK(H33,$H$4:$H$33,0),"")</f>
        <v>1</v>
      </c>
      <c r="B33" s="17"/>
      <c r="C33" s="4" t="n">
        <f aca="false">IFERROR(VLOOKUP(B33,'5. Entropy Calculation'!B:J,2,FALSE()),0)</f>
        <v>0</v>
      </c>
      <c r="D33" s="4" t="n">
        <f aca="false">IFERROR(VLOOKUP(B33,'5. Entropy Calculation'!B:J,3,FALSE()),0)</f>
        <v>0</v>
      </c>
      <c r="E33" s="4" t="n">
        <f aca="false">IFERROR(VLOOKUP(B33,'5. Entropy Calculation'!B:J,4,FALSE()),0)</f>
        <v>0</v>
      </c>
      <c r="F33" s="4" t="n">
        <f aca="false">IFERROR(VLOOKUP(B33,'5. Entropy Calculation'!B:J,5,FALSE()),0)</f>
        <v>0</v>
      </c>
      <c r="G33" s="43" t="n">
        <f aca="false">IFERROR(VLOOKUP(B33,'5. Entropy Calculation'!B:J,6,FALSE()),0)</f>
        <v>0</v>
      </c>
      <c r="H33" s="44" t="n">
        <f aca="false">IFERROR(VLOOKUP(B33,'5. Entropy Calculation'!B:J,9,FALSE()),0)</f>
        <v>0</v>
      </c>
      <c r="I33" s="22" t="str">
        <f aca="false">IF(H33&gt;=80,"Very High",IF(H33&gt;=60,"High",IF(H33&gt;=40,"Medium",IF(H33&gt;=20,"Low","Very Low"))))</f>
        <v>Very Low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23" t="s">
        <v>398</v>
      </c>
      <c r="B1" s="23"/>
      <c r="C1" s="23"/>
      <c r="D1" s="23"/>
      <c r="E1" s="23"/>
      <c r="F1" s="23"/>
    </row>
    <row r="2" customFormat="false" ht="25.5" hidden="false" customHeight="true" outlineLevel="0" collapsed="false">
      <c r="A2" s="38" t="s">
        <v>399</v>
      </c>
      <c r="B2" s="38"/>
      <c r="C2" s="38"/>
      <c r="D2" s="38"/>
      <c r="E2" s="38"/>
      <c r="F2" s="38"/>
    </row>
    <row r="3" customFormat="false" ht="15" hidden="false" customHeight="false" outlineLevel="0" collapsed="false">
      <c r="A3" s="24" t="s">
        <v>2</v>
      </c>
      <c r="B3" s="24" t="s">
        <v>400</v>
      </c>
      <c r="C3" s="24" t="s">
        <v>4</v>
      </c>
      <c r="D3" s="24" t="s">
        <v>401</v>
      </c>
      <c r="E3" s="24" t="s">
        <v>402</v>
      </c>
      <c r="F3" s="24" t="s">
        <v>403</v>
      </c>
    </row>
    <row r="4" customFormat="false" ht="31.5" hidden="false" customHeight="true" outlineLevel="0" collapsed="false">
      <c r="A4" s="7" t="n">
        <v>1</v>
      </c>
      <c r="B4" s="8" t="s">
        <v>404</v>
      </c>
      <c r="C4" s="9" t="s">
        <v>405</v>
      </c>
      <c r="D4" s="16"/>
      <c r="E4" s="16"/>
      <c r="F4" s="16"/>
    </row>
    <row r="5" customFormat="false" ht="31.5" hidden="false" customHeight="true" outlineLevel="0" collapsed="false">
      <c r="A5" s="4" t="n">
        <v>2</v>
      </c>
      <c r="B5" s="5" t="s">
        <v>406</v>
      </c>
      <c r="C5" s="6" t="s">
        <v>407</v>
      </c>
      <c r="D5" s="17"/>
      <c r="E5" s="17"/>
      <c r="F5" s="17"/>
    </row>
    <row r="6" customFormat="false" ht="31.5" hidden="false" customHeight="true" outlineLevel="0" collapsed="false">
      <c r="A6" s="7" t="n">
        <v>3</v>
      </c>
      <c r="B6" s="8" t="s">
        <v>408</v>
      </c>
      <c r="C6" s="9" t="s">
        <v>409</v>
      </c>
      <c r="D6" s="16"/>
      <c r="E6" s="16"/>
      <c r="F6" s="16"/>
    </row>
    <row r="7" customFormat="false" ht="31.5" hidden="false" customHeight="true" outlineLevel="0" collapsed="false">
      <c r="A7" s="4" t="n">
        <v>4</v>
      </c>
      <c r="B7" s="5" t="s">
        <v>410</v>
      </c>
      <c r="C7" s="6" t="s">
        <v>411</v>
      </c>
      <c r="D7" s="17"/>
      <c r="E7" s="17"/>
      <c r="F7" s="17"/>
    </row>
    <row r="8" customFormat="false" ht="31.5" hidden="false" customHeight="true" outlineLevel="0" collapsed="false">
      <c r="A8" s="7" t="n">
        <v>5</v>
      </c>
      <c r="B8" s="8" t="s">
        <v>412</v>
      </c>
      <c r="C8" s="9" t="s">
        <v>413</v>
      </c>
      <c r="D8" s="16"/>
      <c r="E8" s="16"/>
      <c r="F8" s="16"/>
    </row>
    <row r="9" customFormat="false" ht="31.5" hidden="false" customHeight="true" outlineLevel="0" collapsed="false">
      <c r="A9" s="4" t="n">
        <v>6</v>
      </c>
      <c r="B9" s="5" t="s">
        <v>414</v>
      </c>
      <c r="C9" s="6" t="s">
        <v>415</v>
      </c>
      <c r="D9" s="17"/>
      <c r="E9" s="17"/>
      <c r="F9" s="17"/>
    </row>
    <row r="10" customFormat="false" ht="31.5" hidden="false" customHeight="true" outlineLevel="0" collapsed="false">
      <c r="A10" s="7" t="n">
        <v>7</v>
      </c>
      <c r="B10" s="8" t="s">
        <v>416</v>
      </c>
      <c r="C10" s="9" t="s">
        <v>417</v>
      </c>
      <c r="D10" s="16"/>
      <c r="E10" s="16"/>
      <c r="F10" s="16"/>
    </row>
    <row r="11" customFormat="false" ht="31.5" hidden="false" customHeight="true" outlineLevel="0" collapsed="false">
      <c r="A11" s="4" t="n">
        <v>8</v>
      </c>
      <c r="B11" s="5" t="s">
        <v>418</v>
      </c>
      <c r="C11" s="6" t="s">
        <v>419</v>
      </c>
      <c r="D11" s="17"/>
      <c r="E11" s="17"/>
      <c r="F11" s="17"/>
    </row>
    <row r="12" customFormat="false" ht="31.5" hidden="false" customHeight="true" outlineLevel="0" collapsed="false">
      <c r="A12" s="7" t="n">
        <v>9</v>
      </c>
      <c r="B12" s="8" t="s">
        <v>420</v>
      </c>
      <c r="C12" s="9" t="s">
        <v>421</v>
      </c>
      <c r="D12" s="16"/>
      <c r="E12" s="16"/>
      <c r="F12" s="16"/>
    </row>
    <row r="13" customFormat="false" ht="31.5" hidden="false" customHeight="true" outlineLevel="0" collapsed="false">
      <c r="A13" s="4" t="n">
        <v>10</v>
      </c>
      <c r="B13" s="5" t="s">
        <v>422</v>
      </c>
      <c r="C13" s="6" t="s">
        <v>423</v>
      </c>
      <c r="D13" s="17"/>
      <c r="E13" s="17"/>
      <c r="F13" s="17"/>
    </row>
    <row r="14" customFormat="false" ht="31.5" hidden="false" customHeight="true" outlineLevel="0" collapsed="false">
      <c r="A14" s="7" t="n">
        <v>11</v>
      </c>
      <c r="B14" s="8" t="s">
        <v>424</v>
      </c>
      <c r="C14" s="9" t="s">
        <v>425</v>
      </c>
      <c r="D14" s="16"/>
      <c r="E14" s="16"/>
      <c r="F14" s="16"/>
    </row>
    <row r="15" customFormat="false" ht="31.5" hidden="false" customHeight="true" outlineLevel="0" collapsed="false">
      <c r="A15" s="4" t="n">
        <v>12</v>
      </c>
      <c r="B15" s="5" t="s">
        <v>426</v>
      </c>
      <c r="C15" s="6" t="s">
        <v>427</v>
      </c>
      <c r="D15" s="17"/>
      <c r="E15" s="17"/>
      <c r="F15" s="17"/>
    </row>
    <row r="16" customFormat="false" ht="31.5" hidden="false" customHeight="true" outlineLevel="0" collapsed="false">
      <c r="A16" s="7" t="n">
        <v>13</v>
      </c>
      <c r="B16" s="8" t="s">
        <v>428</v>
      </c>
      <c r="C16" s="9" t="s">
        <v>429</v>
      </c>
      <c r="D16" s="16"/>
      <c r="E16" s="16"/>
      <c r="F16" s="16"/>
    </row>
    <row r="17" customFormat="false" ht="31.5" hidden="false" customHeight="true" outlineLevel="0" collapsed="false">
      <c r="A17" s="4" t="n">
        <v>14</v>
      </c>
      <c r="B17" s="5" t="s">
        <v>430</v>
      </c>
      <c r="C17" s="6" t="s">
        <v>431</v>
      </c>
      <c r="D17" s="17"/>
      <c r="E17" s="17"/>
      <c r="F17" s="17"/>
    </row>
    <row r="18" customFormat="false" ht="31.5" hidden="false" customHeight="true" outlineLevel="0" collapsed="false">
      <c r="A18" s="7" t="n">
        <v>15</v>
      </c>
      <c r="B18" s="8" t="s">
        <v>432</v>
      </c>
      <c r="C18" s="9" t="s">
        <v>433</v>
      </c>
      <c r="D18" s="16"/>
      <c r="E18" s="16"/>
      <c r="F18" s="16"/>
    </row>
    <row r="19" customFormat="false" ht="31.5" hidden="false" customHeight="true" outlineLevel="0" collapsed="false">
      <c r="A19" s="4" t="n">
        <v>16</v>
      </c>
      <c r="B19" s="5" t="s">
        <v>434</v>
      </c>
      <c r="C19" s="6" t="s">
        <v>435</v>
      </c>
      <c r="D19" s="17"/>
      <c r="E19" s="17"/>
      <c r="F19" s="17"/>
    </row>
    <row r="20" customFormat="false" ht="31.5" hidden="false" customHeight="true" outlineLevel="0" collapsed="false">
      <c r="A20" s="7" t="n">
        <v>17</v>
      </c>
      <c r="B20" s="8" t="s">
        <v>436</v>
      </c>
      <c r="C20" s="9" t="s">
        <v>437</v>
      </c>
      <c r="D20" s="16"/>
      <c r="E20" s="16"/>
      <c r="F20" s="16"/>
    </row>
    <row r="21" customFormat="false" ht="31.5" hidden="false" customHeight="true" outlineLevel="0" collapsed="false">
      <c r="A21" s="4" t="n">
        <v>18</v>
      </c>
      <c r="B21" s="5" t="s">
        <v>438</v>
      </c>
      <c r="C21" s="6" t="s">
        <v>439</v>
      </c>
      <c r="D21" s="17"/>
      <c r="E21" s="17"/>
      <c r="F21" s="17"/>
    </row>
    <row r="22" customFormat="false" ht="31.5" hidden="false" customHeight="true" outlineLevel="0" collapsed="false">
      <c r="A22" s="7" t="n">
        <v>19</v>
      </c>
      <c r="B22" s="8" t="s">
        <v>440</v>
      </c>
      <c r="C22" s="9" t="s">
        <v>441</v>
      </c>
      <c r="D22" s="16"/>
      <c r="E22" s="16"/>
      <c r="F22" s="16"/>
    </row>
    <row r="23" customFormat="false" ht="31.5" hidden="false" customHeight="true" outlineLevel="0" collapsed="false">
      <c r="A23" s="4" t="n">
        <v>20</v>
      </c>
      <c r="B23" s="5" t="s">
        <v>442</v>
      </c>
      <c r="C23" s="6" t="s">
        <v>443</v>
      </c>
      <c r="D23" s="17"/>
      <c r="E23" s="17"/>
      <c r="F23" s="1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2026-04-16T05:16:22Z</dcterms:created>
  <dc:creator>openpyxl</dc:creator>
  <dc:description/>
  <dc:language>en-US</dc:language>
  <cp:lastModifiedBy/>
  <dcterms:modified xsi:type="dcterms:W3CDTF">2026-04-16T05:16:22Z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