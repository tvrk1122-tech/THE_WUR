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ation Impact" sheetId="1" state="visible" r:id="rId3"/>
    <sheet name="Research Strength" sheetId="2" state="visible" r:id="rId4"/>
    <sheet name="Research Excellence" sheetId="3" state="visible" r:id="rId5"/>
    <sheet name="Research Influence" sheetId="4" state="visible" r:id="rId6"/>
    <sheet name="Composite Quality Score" sheetId="5" state="visible" r:id="rId7"/>
    <sheet name="Faculty Citation Tracker" sheetId="6" state="visible" r:id="rId8"/>
    <sheet name="Year-on-Year Tracker" sheetId="7" state="visible" r:id="rId9"/>
    <sheet name="HEI Improvement Action Plan" sheetId="8" state="visible" r:id="rId10"/>
    <sheet name="Metadata &amp; 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<sst xmlns="http://schemas.openxmlformats.org/spreadsheetml/2006/main" count="245" uniqueCount="194">
  <si>
    <t xml:space="preserve">THE Research Quality — Citation Impact (Field-Weighted Citation Impact) — Weight: 15%</t>
  </si>
  <si>
    <t xml:space="preserve">FWCI: Average Citations per Paper Normalized by Subject, Year &amp; Document Type | Scopus 5-Year Window | Score 0-100</t>
  </si>
  <si>
    <t xml:space="preserve">S.No.</t>
  </si>
  <si>
    <t xml:space="preserve">HEI Name</t>
  </si>
  <si>
    <t xml:space="preserve">Country</t>
  </si>
  <si>
    <t xml:space="preserve">Year</t>
  </si>
  <si>
    <t xml:space="preserve">Total Publications (5-yr)</t>
  </si>
  <si>
    <t xml:space="preserve">Total Citations (5-yr)</t>
  </si>
  <si>
    <t xml:space="preserve">Citations per Publication</t>
  </si>
  <si>
    <t xml:space="preserve">FWCI (Field-Weighted)</t>
  </si>
  <si>
    <t xml:space="preserve">Citation Impact Score (0-100)</t>
  </si>
  <si>
    <t xml:space="preserve">Global Rank (Citation)</t>
  </si>
  <si>
    <t xml:space="preserve">% Self-Citations</t>
  </si>
  <si>
    <t xml:space="preserve">% International Collab Citations</t>
  </si>
  <si>
    <t xml:space="preserve">Subject Normalization (Y/N)</t>
  </si>
  <si>
    <t xml:space="preserve">Top 10% Cited Papers (No.)</t>
  </si>
  <si>
    <t xml:space="preserve">Data Source</t>
  </si>
  <si>
    <t xml:space="preserve">Remarks</t>
  </si>
  <si>
    <t xml:space="preserve">THE Research Quality — Research Strength (Total Citations Normalized) — Weight: 5%</t>
  </si>
  <si>
    <t xml:space="preserve">Measures Absolute Citation Volume Normalized by Subject | Reflects Breadth &amp; Depth of Research Output</t>
  </si>
  <si>
    <t xml:space="preserve">Subject-Normalized Citation Count</t>
  </si>
  <si>
    <t xml:space="preserve">Research Strength Score (0-100)</t>
  </si>
  <si>
    <t xml:space="preserve">Global Rank (Strength)</t>
  </si>
  <si>
    <t xml:space="preserve">Active Research Disciplines</t>
  </si>
  <si>
    <t xml:space="preserve">Publications in Top Journals</t>
  </si>
  <si>
    <t xml:space="preserve">Multi-Disciplinary Publications</t>
  </si>
  <si>
    <t xml:space="preserve">Citation Distribution (Gini)</t>
  </si>
  <si>
    <t xml:space="preserve">THE Research Quality — Research Excellence (Top 10% Most-Cited Papers) — Weight: 5%</t>
  </si>
  <si>
    <t xml:space="preserve">Proportion of Publications in Global Top 10% Most-Cited | Subject &amp; Year Normalized | Measures Elite Output</t>
  </si>
  <si>
    <t xml:space="preserve">Papers in Global Top 10%</t>
  </si>
  <si>
    <t xml:space="preserve">% in Top 10%</t>
  </si>
  <si>
    <t xml:space="preserve">Research Excellence Score (0-100)</t>
  </si>
  <si>
    <t xml:space="preserve">Papers in Top 1%</t>
  </si>
  <si>
    <t xml:space="preserve">% in Top 1%</t>
  </si>
  <si>
    <t xml:space="preserve">Papers in Top 25%</t>
  </si>
  <si>
    <t xml:space="preserve">Highly Cited Researchers (No.)</t>
  </si>
  <si>
    <t xml:space="preserve">THE Research Quality — Research Influence (Citation Power Beyond Own Institution) — Weight: 5%</t>
  </si>
  <si>
    <t xml:space="preserve">Measures How Widely Research Is Cited Beyond the Originating Institution | External Citation Impact | Knowledge Diffusion</t>
  </si>
  <si>
    <t xml:space="preserve">Total Citations Received (5-yr)</t>
  </si>
  <si>
    <t xml:space="preserve">External Citations (non-self)</t>
  </si>
  <si>
    <t xml:space="preserve">% External Citations</t>
  </si>
  <si>
    <t xml:space="preserve">Research Influence Score (0-100)</t>
  </si>
  <si>
    <t xml:space="preserve">International Citations (%)</t>
  </si>
  <si>
    <t xml:space="preserve">Cross-Disciplinary Citations (%)</t>
  </si>
  <si>
    <t xml:space="preserve">Industry Citations (%)</t>
  </si>
  <si>
    <t xml:space="preserve">Policy Document Citations (No.)</t>
  </si>
  <si>
    <t xml:space="preserve">THE Research Quality — Composite Score Calculation (30% of Overall THE Rankings)</t>
  </si>
  <si>
    <t xml:space="preserve">Citation Impact 15% | Research Strength 5% | Research Excellence 5% | Research Influence 5% = 30% Total</t>
  </si>
  <si>
    <t xml:space="preserve">Citation Impact (0-100)</t>
  </si>
  <si>
    <t xml:space="preserve">Strength Score (0-100)</t>
  </si>
  <si>
    <t xml:space="preserve">Excellence Score (0-100)</t>
  </si>
  <si>
    <t xml:space="preserve">Influence Score (0-100)</t>
  </si>
  <si>
    <t xml:space="preserve">Wtd Citation (15%)</t>
  </si>
  <si>
    <t xml:space="preserve">Wtd Strength (5%)</t>
  </si>
  <si>
    <t xml:space="preserve">Wtd Excellence (5%)</t>
  </si>
  <si>
    <t xml:space="preserve">Wtd Influence (5%)</t>
  </si>
  <si>
    <t xml:space="preserve">Total Research Quality (30%)</t>
  </si>
  <si>
    <t xml:space="preserve">Global Rank</t>
  </si>
  <si>
    <t xml:space="preserve">THE Research Quality — Faculty-Wise Citation, H-Index &amp; Impact Tracker</t>
  </si>
  <si>
    <t xml:space="preserve">Individual Researcher Scopus Data | H-Index | i10-Index | FWCI | Top 10% | International Co-authorship</t>
  </si>
  <si>
    <t xml:space="preserve">Faculty Name</t>
  </si>
  <si>
    <t xml:space="preserve">Department</t>
  </si>
  <si>
    <t xml:space="preserve">Scopus Author ID</t>
  </si>
  <si>
    <t xml:space="preserve">Publications (5-yr)</t>
  </si>
  <si>
    <t xml:space="preserve">Citations (5-yr)</t>
  </si>
  <si>
    <t xml:space="preserve">Citations/Paper</t>
  </si>
  <si>
    <t xml:space="preserve">H-Index</t>
  </si>
  <si>
    <t xml:space="preserve">i10-Index</t>
  </si>
  <si>
    <t xml:space="preserve">FWCI</t>
  </si>
  <si>
    <t xml:space="preserve">Papers in Top 10%</t>
  </si>
  <si>
    <t xml:space="preserve">% Top 10%</t>
  </si>
  <si>
    <t xml:space="preserve">Intl Co-authored (%)</t>
  </si>
  <si>
    <t xml:space="preserve">Self-Citation (%)</t>
  </si>
  <si>
    <t xml:space="preserve">Open Access (%)</t>
  </si>
  <si>
    <t xml:space="preserve">THE Research Quality — Year-on-Year Performance Tracker (5-Year Trend)</t>
  </si>
  <si>
    <t xml:space="preserve">Track Annual Quality Scores &amp; Component Trends | Identify Improvement Areas | Benchmark Against Peers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</si>
  <si>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</si>
  <si>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</si>
  <si>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</si>
  <si>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</si>
  <si>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</si>
  <si>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</si>
  <si>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Change</t>
  </si>
  <si>
    <t xml:space="preserve">5-Yr Avg</t>
  </si>
  <si>
    <t xml:space="preserve">Best</t>
  </si>
  <si>
    <t xml:space="preserve">Worst</t>
  </si>
  <si>
    <t xml:space="preserve">Trend (↑/↓/→)</t>
  </si>
  <si>
    <t xml:space="preserve">Peer Benchmark</t>
  </si>
  <si>
    <t xml:space="preserve">Citation Impact / FWCI (15%)</t>
  </si>
  <si>
    <t xml:space="preserve">Research Strength (5%)</t>
  </si>
  <si>
    <t xml:space="preserve">Research Excellence — Top 10% (5%)</t>
  </si>
  <si>
    <t xml:space="preserve">Research Influence (5%)</t>
  </si>
  <si>
    <t xml:space="preserve">Composite Research Quality Score (30%)</t>
  </si>
  <si>
    <t xml:space="preserve">THE Research Quality — HEI Improvement Action Plan &amp; Evidence Matrix</t>
  </si>
  <si>
    <t xml:space="preserve">Targeted Actions to Improve Each Quality Indicator | Responsible | Timeline | Evidence | Status</t>
  </si>
  <si>
    <t xml:space="preserve">THE Indicator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</si>
  <si>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</si>
  <si>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</si>
  <si>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</si>
  <si>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</si>
  <si>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</si>
  <si>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</si>
  <si>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</si>
  <si>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</si>
  <si>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</si>
  <si>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Citation Impact (15%)</t>
  </si>
  <si>
    <t xml:space="preserve">Low FWCI / citations per paper</t>
  </si>
  <si>
    <t xml:space="preserve">Publish in high-impact Scopus/WoS journals; improve abstract/keyword quality; cite strategically</t>
  </si>
  <si>
    <t xml:space="preserve">FWCI ≥1.0</t>
  </si>
  <si>
    <t xml:space="preserve">High self-citation rate</t>
  </si>
  <si>
    <t xml:space="preserve">Reduce self-citations; promote external collaboration; diversify co-author networks</t>
  </si>
  <si>
    <t xml:space="preserve">Self-citation &lt;20%</t>
  </si>
  <si>
    <t xml:space="preserve">Low international co-authorship</t>
  </si>
  <si>
    <t xml:space="preserve">Joint projects with international universities; dual-affiliation; sabbaticals; co-authored papers</t>
  </si>
  <si>
    <t xml:space="preserve">Intl co-auth ≥30%</t>
  </si>
  <si>
    <t xml:space="preserve">Low total citation volume</t>
  </si>
  <si>
    <t xml:space="preserve">Increase publication output in Scopus journals; encourage all departments to publish</t>
  </si>
  <si>
    <t xml:space="preserve">Volume growing</t>
  </si>
  <si>
    <t xml:space="preserve">Narrow disciplinary coverage</t>
  </si>
  <si>
    <t xml:space="preserve">Promote multi-disciplinary research; incentivize cross-department collaboration</t>
  </si>
  <si>
    <t xml:space="preserve">Disciplines expanding</t>
  </si>
  <si>
    <t xml:space="preserve">Research Excellence (5%)</t>
  </si>
  <si>
    <t xml:space="preserve">Low share of top 10% cited papers</t>
  </si>
  <si>
    <t xml:space="preserve">Target high-impact journals (Q1/Q2); collaborate with Highly Cited Researchers; pre-print strategies</t>
  </si>
  <si>
    <t xml:space="preserve">Top 10% share ≥15%</t>
  </si>
  <si>
    <t xml:space="preserve">No Highly Cited Researchers</t>
  </si>
  <si>
    <t xml:space="preserve">Recruit/retain star researchers; provide seed grants for high-impact projects; nominate for HCR lists</t>
  </si>
  <si>
    <t xml:space="preserve">HCR identified</t>
  </si>
  <si>
    <t xml:space="preserve">Low external citation spread</t>
  </si>
  <si>
    <t xml:space="preserve">Promote open access; institutional repository; social media for research; policy briefs</t>
  </si>
  <si>
    <t xml:space="preserve">External citations ↑</t>
  </si>
  <si>
    <t xml:space="preserve">Low industry/policy citations</t>
  </si>
  <si>
    <t xml:space="preserve">Engage with industry R&amp;D; publish policy papers; present at practitioner conferences</t>
  </si>
  <si>
    <t xml:space="preserve">Policy citations ↑</t>
  </si>
  <si>
    <t xml:space="preserve">Overall Quality</t>
  </si>
  <si>
    <t xml:space="preserve">No citation analytics cell</t>
  </si>
  <si>
    <t xml:space="preserve">Establish Bibliometrics &amp; Research Analytics Cell; train staff in Scopus/SciVal/InCites tools</t>
  </si>
  <si>
    <t xml:space="preserve">Cell operational</t>
  </si>
  <si>
    <t xml:space="preserve">Faculty unaware of citation metrics</t>
  </si>
  <si>
    <t xml:space="preserve">Conduct workshops on H-index, FWCI, Scopus profile optimization, journal selection strategies</t>
  </si>
  <si>
    <t xml:space="preserve">Faculty trained</t>
  </si>
  <si>
    <t xml:space="preserve">Predatory journal publications</t>
  </si>
  <si>
    <t xml:space="preserve">Implement journal whitelist (UGC-CARE/Scopus/WoS); penalize predatory publications; awareness</t>
  </si>
  <si>
    <t xml:space="preserve">Predatory eliminated</t>
  </si>
  <si>
    <t xml:space="preserve">THE World University Rankings — Research Quality — Metadata &amp; Instructions</t>
  </si>
  <si>
    <t xml:space="preserve">THE Research Quality Indicator Framework (30% of Overall Score)</t>
  </si>
  <si>
    <t xml:space="preserve">#</t>
  </si>
  <si>
    <t xml:space="preserve">Indicator</t>
  </si>
  <si>
    <t xml:space="preserve">Weight</t>
  </si>
  <si>
    <t xml:space="preserve">Description &amp; Calculation</t>
  </si>
  <si>
    <t xml:space="preserve">Key Data Points</t>
  </si>
  <si>
    <t xml:space="preserve">Freq.</t>
  </si>
  <si>
    <t xml:space="preserve">Citation Impact (FWCI)</t>
  </si>
  <si>
    <t xml:space="preserve">15%</t>
  </si>
  <si>
    <t xml:space="preserve">Field-Weighted Citation Impact: average citations per paper normalized by subject field, publication year, and document type. Measured over 5-year Scopus window. FWCI of 1.0 = world average; &gt;1.0 = above average. Largest single component.</t>
  </si>
  <si>
    <t xml:space="preserve">Publications (5-yr), citations (5-yr), FWCI, self-citations %, intl collab citations %, subject normalization</t>
  </si>
  <si>
    <t xml:space="preserve">Annual</t>
  </si>
  <si>
    <t xml:space="preserve">Research Strength</t>
  </si>
  <si>
    <t xml:space="preserve">5%</t>
  </si>
  <si>
    <t xml:space="preserve">Total citation volume normalized by subject. Measures absolute breadth and depth of research output across disciplines. Rewards institutions with high volume AND quality.</t>
  </si>
  <si>
    <t xml:space="preserve">Total citations (5-yr), subject-normalized count, active disciplines, top journal publications, multi-disciplinary output</t>
  </si>
  <si>
    <t xml:space="preserve">Research Excellence</t>
  </si>
  <si>
    <t xml:space="preserve">Proportion of publications in the global top 10% most-cited papers, normalized by subject and year. Measures elite research output — the ability to produce world-leading work.</t>
  </si>
  <si>
    <t xml:space="preserve">Publications (5-yr), papers in top 10%/1%/25%, % in top 10%, Highly Cited Researchers</t>
  </si>
  <si>
    <t xml:space="preserve">Research Influence</t>
  </si>
  <si>
    <t xml:space="preserve">Measures how widely research is cited beyond the originating institution. Tracks external (non-self) citations, international citations, cross-disciplinary spread, and industry/policy impact.</t>
  </si>
  <si>
    <t xml:space="preserve">Total/external citations, % external, international %, cross-disciplinary %, industry/policy citations</t>
  </si>
  <si>
    <t xml:space="preserve">—</t>
  </si>
  <si>
    <t xml:space="preserve">Composite Quality</t>
  </si>
  <si>
    <t xml:space="preserve">30%</t>
  </si>
  <si>
    <t xml:space="preserve">Weighted sum: Citation Impact(15%) + Strength(5%) + Excellence(5%) + Influence(5%). This pillar accounts for 30% of the overall THE World University Rankings score.</t>
  </si>
  <si>
    <t xml:space="preserve">All 4 component scores, weighted calculations, composite score</t>
  </si>
  <si>
    <t xml:space="preserve">Data Collection Instructions</t>
  </si>
  <si>
    <t xml:space="preserve">1. Blue font = INPUT. Black font = AUTO-CALCULATED — do NOT overwrite formulas.</t>
  </si>
  <si>
    <t xml:space="preserve">2. FWCI (Field-Weighted Citation Impact): A paper with FWCI = 1.5 is cited 50% more than the world average for its field/year/type. THE uses Scopus FWCI as the primary citation metric.</t>
  </si>
  <si>
    <t xml:space="preserve">3. 5-Year Window: THE uses a rolling 5-year publication/citation window from Scopus. Include all document types: articles, reviews, conference papers, books/chapters.</t>
  </si>
  <si>
    <t xml:space="preserve">4. Self-Citations: THE may cap or discount excessive self-citations. Track and aim to keep institutional self-citation rate below 20% of total citations.</t>
  </si>
  <si>
    <t xml:space="preserve">5. Top 10% Most-Cited: Papers ranked in the global top 10% by citation count within their subject field and publication year. Higher % = more elite research output.</t>
  </si>
  <si>
    <t xml:space="preserve">6. Top 1% / Highly Cited Researchers: Track papers in global top 1%; identify faculty listed as Clarivate Highly Cited Researchers (HCR). Powerful signal of research excellence.</t>
  </si>
  <si>
    <t xml:space="preserve">7. Research Influence: Focus on broadening citation reach — encourage open access, deposit in repositories, engage on academic social networks (ResearchGate, ORCID), write policy briefs.</t>
  </si>
  <si>
    <t xml:space="preserve">8. Faculty Citation Tracker: Use sheet 6 to record individual faculty Scopus data — H-index, i10-index, FWCI, top 10% papers, international co-authorship %, self-citation %, open access %.</t>
  </si>
  <si>
    <t xml:space="preserve">9. Scopus Author Profiles: Ensure ALL faculty have verified Scopus Author IDs with correct institutional affiliation. Merge duplicates. Missing profiles = lost citations for institution.</t>
  </si>
  <si>
    <t xml:space="preserve">10. Composite Score: Auto-calculated using THE weights: 15% + 5% + 5% + 5% = 30% of total THE World University Rankings.</t>
  </si>
  <si>
    <t xml:space="preserve">11. Action Plan: 12 pre-filled targeted improvement actions covering FWCI, strength, excellence, influence, analytics, and predatory journal elimination.</t>
  </si>
  <si>
    <t xml:space="preserve">12. Key tools: SciVal (Elsevier) for FWCI/benchmarking, InCites (Clarivate) for ESI/HCR, Scopus for author profiles, Dimensions for policy citations.</t>
  </si>
  <si>
    <t xml:space="preserve">13. UGC-CARE List: Ensure publications are in UGC-CARE approved journals and/or Scopus/WoS indexed. Avoid predatory journals which damage institutional reputation.</t>
  </si>
  <si>
    <t xml:space="preserve">14. Validate: Scopus, Web of Science, SciVal, InCites, Google Scholar, AISHE, NIRF, institutional annual reports, NAAC SSR.</t>
  </si>
  <si>
    <t xml:space="preserve">THE Overall Rankings Pillar Structure (for context)</t>
  </si>
  <si>
    <t xml:space="preserve">• TEACHING (The Learning Environment) — 30%: Reputation (15%) + Staff:Student (4.5%) + Doct:Bachelor (2.25%) + Doct:Staff (6%) + Income:Staff (2.25%)</t>
  </si>
  <si>
    <t xml:space="preserve">• RESEARCH ENVIRONMENT — 30%: Reputation (18%) + Research Income (6%) + Research Productivity (6%)</t>
  </si>
  <si>
    <t xml:space="preserve">• RESEARCH QUALITY — 30%: Citation Impact/FWCI (15%) + Research Strength (5%) + Research Excellence (5%) + Research Influence (5%)</t>
  </si>
  <si>
    <t xml:space="preserve">• INTERNATIONAL OUTLOOK — 7.5%: International Students (2.5%) + International Staff (2.5%) + International Co-authorship (2.5%)</t>
  </si>
  <si>
    <t xml:space="preserve">• INDUSTRY — 2.5%: Industry Income from Knowledge Transfer (2.5%)</t>
  </si>
  <si>
    <t xml:space="preserve">• TOTAL = 100% — Teaching 30% + Research Environment 30% + Research Quality 30% + International 7.5% + Industry 2.5%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</si>
</sst>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62828"/>
        <bgColor rgb="FFD32F2F"/>
      </patternFill>
    </fill>
    <fill>
      <patternFill patternType="solid">
        <fgColor rgb="FFD32F2F"/>
        <bgColor rgb="FFC6282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B71C1C"/>
        <bgColor rgb="FFC62828"/>
      </patternFill>
    </fill>
    <fill>
      <patternFill patternType="solid">
        <fgColor rgb="FF880E4F"/>
        <bgColor rgb="FF800080"/>
      </patternFill>
    </fill>
    <fill>
      <patternFill patternType="solid">
        <fgColor rgb="FF4A148C"/>
        <bgColor rgb="FF1A237E"/>
      </patternFill>
    </fill>
    <fill>
      <patternFill patternType="solid">
        <fgColor rgb="FF1A237E"/>
        <bgColor rgb="FF4A148C"/>
      </patternFill>
    </fill>
    <fill>
      <patternFill patternType="solid">
        <fgColor rgb="FFE65100"/>
        <bgColor rgb="FFD32F2F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6064"/>
      <rgbColor rgb="FFB4B4B4"/>
      <rgbColor rgb="FF808080"/>
      <rgbColor rgb="FF9999FF"/>
      <rgbColor rgb="FFC62828"/>
      <rgbColor rgb="FFF2F2F2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339966"/>
      <rgbColor rgb="FF003300"/>
      <rgbColor rgb="FF333300"/>
      <rgbColor rgb="FFB71C1C"/>
      <rgbColor rgb="FFD32F2F"/>
      <rgbColor rgb="FF3747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7" min="6" style="0" width="22"/>
    <col collapsed="false" customWidth="true" hidden="false" outlineLevel="0" max="9" min="8" style="0" width="24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4" min="13" style="0" width="24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6" t="n">
        <f aca="false">IF(E5&gt;0,F5/E5,0)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9" t="n">
        <f aca="false">IF(E6&gt;0,F6/E6,0)</f>
        <v>0</v>
      </c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6" t="n">
        <f aca="false">IF(E7&gt;0,F7/E7,0)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9" t="n">
        <f aca="false">IF(E8&gt;0,F8/E8,0)</f>
        <v>0</v>
      </c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6" t="n">
        <f aca="false">IF(E9&gt;0,F9/E9,0)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9" t="n">
        <f aca="false">IF(E10&gt;0,F10/E10,0)</f>
        <v>0</v>
      </c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6" t="n">
        <f aca="false">IF(E11&gt;0,F11/E11,0)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9" t="n">
        <f aca="false">IF(E12&gt;0,F12/E12,0)</f>
        <v>0</v>
      </c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6" t="n">
        <f aca="false">IF(E13&gt;0,F13/E13,0)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9" t="n">
        <f aca="false">IF(E14&gt;0,F14/E14,0)</f>
        <v>0</v>
      </c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6" t="n">
        <f aca="false">IF(E15&gt;0,F15/E15,0)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9" t="n">
        <f aca="false">IF(E16&gt;0,F16/E16,0)</f>
        <v>0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6" t="n">
        <f aca="false">IF(E17&gt;0,F17/E17,0)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9" t="n">
        <f aca="false">IF(E18&gt;0,F18/E18,0)</f>
        <v>0</v>
      </c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6" t="n">
        <f aca="false">IF(E19&gt;0,F19/E19,0)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9" t="n">
        <f aca="false">IF(E20&gt;0,F20/E20,0)</f>
        <v>0</v>
      </c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6" t="n">
        <f aca="false">IF(E21&gt;0,F21/E21,0)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9" t="n">
        <f aca="false">IF(E22&gt;0,F22/E22,0)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6" t="n">
        <f aca="false">IF(E23&gt;0,F23/E23,0)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9" t="n">
        <f aca="false">IF(E24&gt;0,F24/E24,0)</f>
        <v>0</v>
      </c>
      <c r="H24" s="8"/>
      <c r="I24" s="8"/>
      <c r="J24" s="8"/>
      <c r="K24" s="8"/>
      <c r="L24" s="8"/>
      <c r="M24" s="8"/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24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5</v>
      </c>
      <c r="E4" s="10" t="s">
        <v>7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10" t="s">
        <v>26</v>
      </c>
      <c r="M4" s="10" t="s">
        <v>16</v>
      </c>
      <c r="N4" s="10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E4F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4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16</v>
      </c>
      <c r="N4" s="11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12" t="n">
        <f aca="false">IF(E5&gt;0,F5/E5*100,0)</f>
        <v>0</v>
      </c>
      <c r="H5" s="5"/>
      <c r="I5" s="5"/>
      <c r="J5" s="6" t="n">
        <f aca="false">IF(E5&gt;0,I5/E5*100,0)</f>
        <v>0</v>
      </c>
      <c r="K5" s="5"/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13" t="n">
        <f aca="false">IF(E6&gt;0,F6/E6*100,0)</f>
        <v>0</v>
      </c>
      <c r="H6" s="8"/>
      <c r="I6" s="8"/>
      <c r="J6" s="9" t="n">
        <f aca="false">IF(E6&gt;0,I6/E6*100,0)</f>
        <v>0</v>
      </c>
      <c r="K6" s="8"/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12" t="n">
        <f aca="false">IF(E7&gt;0,F7/E7*100,0)</f>
        <v>0</v>
      </c>
      <c r="H7" s="5"/>
      <c r="I7" s="5"/>
      <c r="J7" s="6" t="n">
        <f aca="false">IF(E7&gt;0,I7/E7*100,0)</f>
        <v>0</v>
      </c>
      <c r="K7" s="5"/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13" t="n">
        <f aca="false">IF(E8&gt;0,F8/E8*100,0)</f>
        <v>0</v>
      </c>
      <c r="H8" s="8"/>
      <c r="I8" s="8"/>
      <c r="J8" s="9" t="n">
        <f aca="false">IF(E8&gt;0,I8/E8*100,0)</f>
        <v>0</v>
      </c>
      <c r="K8" s="8"/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12" t="n">
        <f aca="false">IF(E9&gt;0,F9/E9*100,0)</f>
        <v>0</v>
      </c>
      <c r="H9" s="5"/>
      <c r="I9" s="5"/>
      <c r="J9" s="6" t="n">
        <f aca="false">IF(E9&gt;0,I9/E9*100,0)</f>
        <v>0</v>
      </c>
      <c r="K9" s="5"/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13" t="n">
        <f aca="false">IF(E10&gt;0,F10/E10*100,0)</f>
        <v>0</v>
      </c>
      <c r="H10" s="8"/>
      <c r="I10" s="8"/>
      <c r="J10" s="9" t="n">
        <f aca="false">IF(E10&gt;0,I10/E10*100,0)</f>
        <v>0</v>
      </c>
      <c r="K10" s="8"/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12" t="n">
        <f aca="false">IF(E11&gt;0,F11/E11*100,0)</f>
        <v>0</v>
      </c>
      <c r="H11" s="5"/>
      <c r="I11" s="5"/>
      <c r="J11" s="6" t="n">
        <f aca="false">IF(E11&gt;0,I11/E11*100,0)</f>
        <v>0</v>
      </c>
      <c r="K11" s="5"/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13" t="n">
        <f aca="false">IF(E12&gt;0,F12/E12*100,0)</f>
        <v>0</v>
      </c>
      <c r="H12" s="8"/>
      <c r="I12" s="8"/>
      <c r="J12" s="9" t="n">
        <f aca="false">IF(E12&gt;0,I12/E12*100,0)</f>
        <v>0</v>
      </c>
      <c r="K12" s="8"/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12" t="n">
        <f aca="false">IF(E13&gt;0,F13/E13*100,0)</f>
        <v>0</v>
      </c>
      <c r="H13" s="5"/>
      <c r="I13" s="5"/>
      <c r="J13" s="6" t="n">
        <f aca="false">IF(E13&gt;0,I13/E13*100,0)</f>
        <v>0</v>
      </c>
      <c r="K13" s="5"/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13" t="n">
        <f aca="false">IF(E14&gt;0,F14/E14*100,0)</f>
        <v>0</v>
      </c>
      <c r="H14" s="8"/>
      <c r="I14" s="8"/>
      <c r="J14" s="9" t="n">
        <f aca="false">IF(E14&gt;0,I14/E14*100,0)</f>
        <v>0</v>
      </c>
      <c r="K14" s="8"/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12" t="n">
        <f aca="false">IF(E15&gt;0,F15/E15*100,0)</f>
        <v>0</v>
      </c>
      <c r="H15" s="5"/>
      <c r="I15" s="5"/>
      <c r="J15" s="6" t="n">
        <f aca="false">IF(E15&gt;0,I15/E15*100,0)</f>
        <v>0</v>
      </c>
      <c r="K15" s="5"/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13" t="n">
        <f aca="false">IF(E16&gt;0,F16/E16*100,0)</f>
        <v>0</v>
      </c>
      <c r="H16" s="8"/>
      <c r="I16" s="8"/>
      <c r="J16" s="9" t="n">
        <f aca="false">IF(E16&gt;0,I16/E16*100,0)</f>
        <v>0</v>
      </c>
      <c r="K16" s="8"/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12" t="n">
        <f aca="false">IF(E17&gt;0,F17/E17*100,0)</f>
        <v>0</v>
      </c>
      <c r="H17" s="5"/>
      <c r="I17" s="5"/>
      <c r="J17" s="6" t="n">
        <f aca="false">IF(E17&gt;0,I17/E17*100,0)</f>
        <v>0</v>
      </c>
      <c r="K17" s="5"/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13" t="n">
        <f aca="false">IF(E18&gt;0,F18/E18*100,0)</f>
        <v>0</v>
      </c>
      <c r="H18" s="8"/>
      <c r="I18" s="8"/>
      <c r="J18" s="9" t="n">
        <f aca="false">IF(E18&gt;0,I18/E18*100,0)</f>
        <v>0</v>
      </c>
      <c r="K18" s="8"/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12" t="n">
        <f aca="false">IF(E19&gt;0,F19/E19*100,0)</f>
        <v>0</v>
      </c>
      <c r="H19" s="5"/>
      <c r="I19" s="5"/>
      <c r="J19" s="6" t="n">
        <f aca="false">IF(E19&gt;0,I19/E19*100,0)</f>
        <v>0</v>
      </c>
      <c r="K19" s="5"/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13" t="n">
        <f aca="false">IF(E20&gt;0,F20/E20*100,0)</f>
        <v>0</v>
      </c>
      <c r="H20" s="8"/>
      <c r="I20" s="8"/>
      <c r="J20" s="9" t="n">
        <f aca="false">IF(E20&gt;0,I20/E20*100,0)</f>
        <v>0</v>
      </c>
      <c r="K20" s="8"/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12" t="n">
        <f aca="false">IF(E21&gt;0,F21/E21*100,0)</f>
        <v>0</v>
      </c>
      <c r="H21" s="5"/>
      <c r="I21" s="5"/>
      <c r="J21" s="6" t="n">
        <f aca="false">IF(E21&gt;0,I21/E21*100,0)</f>
        <v>0</v>
      </c>
      <c r="K21" s="5"/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13" t="n">
        <f aca="false">IF(E22&gt;0,F22/E22*100,0)</f>
        <v>0</v>
      </c>
      <c r="H22" s="8"/>
      <c r="I22" s="8"/>
      <c r="J22" s="9" t="n">
        <f aca="false">IF(E22&gt;0,I22/E22*100,0)</f>
        <v>0</v>
      </c>
      <c r="K22" s="8"/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12" t="n">
        <f aca="false">IF(E23&gt;0,F23/E23*100,0)</f>
        <v>0</v>
      </c>
      <c r="H23" s="5"/>
      <c r="I23" s="5"/>
      <c r="J23" s="6" t="n">
        <f aca="false">IF(E23&gt;0,I23/E23*100,0)</f>
        <v>0</v>
      </c>
      <c r="K23" s="5"/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13" t="n">
        <f aca="false">IF(E24&gt;0,F24/E24*100,0)</f>
        <v>0</v>
      </c>
      <c r="H24" s="8"/>
      <c r="I24" s="8"/>
      <c r="J24" s="9" t="n">
        <f aca="false">IF(E24&gt;0,I24/E24*100,0)</f>
        <v>0</v>
      </c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4" t="s">
        <v>2</v>
      </c>
      <c r="B4" s="14" t="s">
        <v>3</v>
      </c>
      <c r="C4" s="14" t="s">
        <v>4</v>
      </c>
      <c r="D4" s="14" t="s">
        <v>5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44</v>
      </c>
      <c r="L4" s="14" t="s">
        <v>45</v>
      </c>
      <c r="M4" s="14" t="s">
        <v>16</v>
      </c>
      <c r="N4" s="14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12" t="n">
        <f aca="false">IF(E5&gt;0,F5/E5*100,0)</f>
        <v>0</v>
      </c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13" t="n">
        <f aca="false">IF(E6&gt;0,F6/E6*100,0)</f>
        <v>0</v>
      </c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12" t="n">
        <f aca="false">IF(E7&gt;0,F7/E7*100,0)</f>
        <v>0</v>
      </c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13" t="n">
        <f aca="false">IF(E8&gt;0,F8/E8*100,0)</f>
        <v>0</v>
      </c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12" t="n">
        <f aca="false">IF(E9&gt;0,F9/E9*100,0)</f>
        <v>0</v>
      </c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13" t="n">
        <f aca="false">IF(E10&gt;0,F10/E10*100,0)</f>
        <v>0</v>
      </c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12" t="n">
        <f aca="false">IF(E11&gt;0,F11/E11*100,0)</f>
        <v>0</v>
      </c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13" t="n">
        <f aca="false">IF(E12&gt;0,F12/E12*100,0)</f>
        <v>0</v>
      </c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12" t="n">
        <f aca="false">IF(E13&gt;0,F13/E13*100,0)</f>
        <v>0</v>
      </c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13" t="n">
        <f aca="false">IF(E14&gt;0,F14/E14*100,0)</f>
        <v>0</v>
      </c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12" t="n">
        <f aca="false">IF(E15&gt;0,F15/E15*100,0)</f>
        <v>0</v>
      </c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13" t="n">
        <f aca="false">IF(E16&gt;0,F16/E16*100,0)</f>
        <v>0</v>
      </c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12" t="n">
        <f aca="false">IF(E17&gt;0,F17/E17*100,0)</f>
        <v>0</v>
      </c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13" t="n">
        <f aca="false">IF(E18&gt;0,F18/E18*100,0)</f>
        <v>0</v>
      </c>
      <c r="H18" s="8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12" t="n">
        <f aca="false">IF(E19&gt;0,F19/E19*100,0)</f>
        <v>0</v>
      </c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13" t="n">
        <f aca="false">IF(E20&gt;0,F20/E20*100,0)</f>
        <v>0</v>
      </c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12" t="n">
        <f aca="false">IF(E21&gt;0,F21/E21*100,0)</f>
        <v>0</v>
      </c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13" t="n">
        <f aca="false">IF(E22&gt;0,F22/E22*100,0)</f>
        <v>0</v>
      </c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12" t="n">
        <f aca="false">IF(E23&gt;0,F23/E23*100,0)</f>
        <v>0</v>
      </c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13" t="n">
        <f aca="false">IF(E24&gt;0,F24/E24*100,0)</f>
        <v>0</v>
      </c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8" min="5" style="0" width="22"/>
    <col collapsed="false" customWidth="true" hidden="false" outlineLevel="0" max="12" min="9" style="0" width="20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5" t="s">
        <v>2</v>
      </c>
      <c r="B4" s="15" t="s">
        <v>3</v>
      </c>
      <c r="C4" s="15" t="s">
        <v>4</v>
      </c>
      <c r="D4" s="15" t="s">
        <v>5</v>
      </c>
      <c r="E4" s="15" t="s">
        <v>48</v>
      </c>
      <c r="F4" s="15" t="s">
        <v>49</v>
      </c>
      <c r="G4" s="15" t="s">
        <v>50</v>
      </c>
      <c r="H4" s="15" t="s">
        <v>51</v>
      </c>
      <c r="I4" s="15" t="s">
        <v>52</v>
      </c>
      <c r="J4" s="15" t="s">
        <v>53</v>
      </c>
      <c r="K4" s="15" t="s">
        <v>54</v>
      </c>
      <c r="L4" s="15" t="s">
        <v>55</v>
      </c>
      <c r="M4" s="15" t="s">
        <v>56</v>
      </c>
      <c r="N4" s="15" t="s">
        <v>57</v>
      </c>
      <c r="O4" s="15" t="s">
        <v>16</v>
      </c>
      <c r="P4" s="15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6" t="n">
        <f aca="false">E5*0.15</f>
        <v>0</v>
      </c>
      <c r="J5" s="6" t="n">
        <f aca="false">F5*0.05</f>
        <v>0</v>
      </c>
      <c r="K5" s="6" t="n">
        <f aca="false">G5*0.05</f>
        <v>0</v>
      </c>
      <c r="L5" s="6" t="n">
        <f aca="false">H5*0.05</f>
        <v>0</v>
      </c>
      <c r="M5" s="6" t="n">
        <f aca="false">I5+J5+K5+L5</f>
        <v>0</v>
      </c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9" t="n">
        <f aca="false">E6*0.15</f>
        <v>0</v>
      </c>
      <c r="J6" s="9" t="n">
        <f aca="false">F6*0.05</f>
        <v>0</v>
      </c>
      <c r="K6" s="9" t="n">
        <f aca="false">G6*0.05</f>
        <v>0</v>
      </c>
      <c r="L6" s="9" t="n">
        <f aca="false">H6*0.05</f>
        <v>0</v>
      </c>
      <c r="M6" s="9" t="n">
        <f aca="false">I6+J6+K6+L6</f>
        <v>0</v>
      </c>
      <c r="N6" s="8"/>
      <c r="O6" s="8"/>
      <c r="P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6" t="n">
        <f aca="false">E7*0.15</f>
        <v>0</v>
      </c>
      <c r="J7" s="6" t="n">
        <f aca="false">F7*0.05</f>
        <v>0</v>
      </c>
      <c r="K7" s="6" t="n">
        <f aca="false">G7*0.05</f>
        <v>0</v>
      </c>
      <c r="L7" s="6" t="n">
        <f aca="false">H7*0.05</f>
        <v>0</v>
      </c>
      <c r="M7" s="6" t="n">
        <f aca="false">I7+J7+K7+L7</f>
        <v>0</v>
      </c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9" t="n">
        <f aca="false">E8*0.15</f>
        <v>0</v>
      </c>
      <c r="J8" s="9" t="n">
        <f aca="false">F8*0.05</f>
        <v>0</v>
      </c>
      <c r="K8" s="9" t="n">
        <f aca="false">G8*0.05</f>
        <v>0</v>
      </c>
      <c r="L8" s="9" t="n">
        <f aca="false">H8*0.05</f>
        <v>0</v>
      </c>
      <c r="M8" s="9" t="n">
        <f aca="false">I8+J8+K8+L8</f>
        <v>0</v>
      </c>
      <c r="N8" s="8"/>
      <c r="O8" s="8"/>
      <c r="P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6" t="n">
        <f aca="false">E9*0.15</f>
        <v>0</v>
      </c>
      <c r="J9" s="6" t="n">
        <f aca="false">F9*0.05</f>
        <v>0</v>
      </c>
      <c r="K9" s="6" t="n">
        <f aca="false">G9*0.05</f>
        <v>0</v>
      </c>
      <c r="L9" s="6" t="n">
        <f aca="false">H9*0.05</f>
        <v>0</v>
      </c>
      <c r="M9" s="6" t="n">
        <f aca="false">I9+J9+K9+L9</f>
        <v>0</v>
      </c>
      <c r="N9" s="5"/>
      <c r="O9" s="5"/>
      <c r="P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9" t="n">
        <f aca="false">E10*0.15</f>
        <v>0</v>
      </c>
      <c r="J10" s="9" t="n">
        <f aca="false">F10*0.05</f>
        <v>0</v>
      </c>
      <c r="K10" s="9" t="n">
        <f aca="false">G10*0.05</f>
        <v>0</v>
      </c>
      <c r="L10" s="9" t="n">
        <f aca="false">H10*0.05</f>
        <v>0</v>
      </c>
      <c r="M10" s="9" t="n">
        <f aca="false">I10+J10+K10+L10</f>
        <v>0</v>
      </c>
      <c r="N10" s="8"/>
      <c r="O10" s="8"/>
      <c r="P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6" t="n">
        <f aca="false">E11*0.15</f>
        <v>0</v>
      </c>
      <c r="J11" s="6" t="n">
        <f aca="false">F11*0.05</f>
        <v>0</v>
      </c>
      <c r="K11" s="6" t="n">
        <f aca="false">G11*0.05</f>
        <v>0</v>
      </c>
      <c r="L11" s="6" t="n">
        <f aca="false">H11*0.05</f>
        <v>0</v>
      </c>
      <c r="M11" s="6" t="n">
        <f aca="false">I11+J11+K11+L11</f>
        <v>0</v>
      </c>
      <c r="N11" s="5"/>
      <c r="O11" s="5"/>
      <c r="P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9" t="n">
        <f aca="false">E12*0.15</f>
        <v>0</v>
      </c>
      <c r="J12" s="9" t="n">
        <f aca="false">F12*0.05</f>
        <v>0</v>
      </c>
      <c r="K12" s="9" t="n">
        <f aca="false">G12*0.05</f>
        <v>0</v>
      </c>
      <c r="L12" s="9" t="n">
        <f aca="false">H12*0.05</f>
        <v>0</v>
      </c>
      <c r="M12" s="9" t="n">
        <f aca="false">I12+J12+K12+L12</f>
        <v>0</v>
      </c>
      <c r="N12" s="8"/>
      <c r="O12" s="8"/>
      <c r="P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6" t="n">
        <f aca="false">E13*0.15</f>
        <v>0</v>
      </c>
      <c r="J13" s="6" t="n">
        <f aca="false">F13*0.05</f>
        <v>0</v>
      </c>
      <c r="K13" s="6" t="n">
        <f aca="false">G13*0.05</f>
        <v>0</v>
      </c>
      <c r="L13" s="6" t="n">
        <f aca="false">H13*0.05</f>
        <v>0</v>
      </c>
      <c r="M13" s="6" t="n">
        <f aca="false">I13+J13+K13+L13</f>
        <v>0</v>
      </c>
      <c r="N13" s="5"/>
      <c r="O13" s="5"/>
      <c r="P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9" t="n">
        <f aca="false">E14*0.15</f>
        <v>0</v>
      </c>
      <c r="J14" s="9" t="n">
        <f aca="false">F14*0.05</f>
        <v>0</v>
      </c>
      <c r="K14" s="9" t="n">
        <f aca="false">G14*0.05</f>
        <v>0</v>
      </c>
      <c r="L14" s="9" t="n">
        <f aca="false">H14*0.05</f>
        <v>0</v>
      </c>
      <c r="M14" s="9" t="n">
        <f aca="false">I14+J14+K14+L14</f>
        <v>0</v>
      </c>
      <c r="N14" s="8"/>
      <c r="O14" s="8"/>
      <c r="P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6" t="n">
        <f aca="false">E15*0.15</f>
        <v>0</v>
      </c>
      <c r="J15" s="6" t="n">
        <f aca="false">F15*0.05</f>
        <v>0</v>
      </c>
      <c r="K15" s="6" t="n">
        <f aca="false">G15*0.05</f>
        <v>0</v>
      </c>
      <c r="L15" s="6" t="n">
        <f aca="false">H15*0.05</f>
        <v>0</v>
      </c>
      <c r="M15" s="6" t="n">
        <f aca="false">I15+J15+K15+L15</f>
        <v>0</v>
      </c>
      <c r="N15" s="5"/>
      <c r="O15" s="5"/>
      <c r="P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9" t="n">
        <f aca="false">E16*0.15</f>
        <v>0</v>
      </c>
      <c r="J16" s="9" t="n">
        <f aca="false">F16*0.05</f>
        <v>0</v>
      </c>
      <c r="K16" s="9" t="n">
        <f aca="false">G16*0.05</f>
        <v>0</v>
      </c>
      <c r="L16" s="9" t="n">
        <f aca="false">H16*0.05</f>
        <v>0</v>
      </c>
      <c r="M16" s="9" t="n">
        <f aca="false">I16+J16+K16+L16</f>
        <v>0</v>
      </c>
      <c r="N16" s="8"/>
      <c r="O16" s="8"/>
      <c r="P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6" t="n">
        <f aca="false">E17*0.15</f>
        <v>0</v>
      </c>
      <c r="J17" s="6" t="n">
        <f aca="false">F17*0.05</f>
        <v>0</v>
      </c>
      <c r="K17" s="6" t="n">
        <f aca="false">G17*0.05</f>
        <v>0</v>
      </c>
      <c r="L17" s="6" t="n">
        <f aca="false">H17*0.05</f>
        <v>0</v>
      </c>
      <c r="M17" s="6" t="n">
        <f aca="false">I17+J17+K17+L17</f>
        <v>0</v>
      </c>
      <c r="N17" s="5"/>
      <c r="O17" s="5"/>
      <c r="P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9" t="n">
        <f aca="false">E18*0.15</f>
        <v>0</v>
      </c>
      <c r="J18" s="9" t="n">
        <f aca="false">F18*0.05</f>
        <v>0</v>
      </c>
      <c r="K18" s="9" t="n">
        <f aca="false">G18*0.05</f>
        <v>0</v>
      </c>
      <c r="L18" s="9" t="n">
        <f aca="false">H18*0.05</f>
        <v>0</v>
      </c>
      <c r="M18" s="9" t="n">
        <f aca="false">I18+J18+K18+L18</f>
        <v>0</v>
      </c>
      <c r="N18" s="8"/>
      <c r="O18" s="8"/>
      <c r="P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6" t="n">
        <f aca="false">E19*0.15</f>
        <v>0</v>
      </c>
      <c r="J19" s="6" t="n">
        <f aca="false">F19*0.05</f>
        <v>0</v>
      </c>
      <c r="K19" s="6" t="n">
        <f aca="false">G19*0.05</f>
        <v>0</v>
      </c>
      <c r="L19" s="6" t="n">
        <f aca="false">H19*0.05</f>
        <v>0</v>
      </c>
      <c r="M19" s="6" t="n">
        <f aca="false">I19+J19+K19+L19</f>
        <v>0</v>
      </c>
      <c r="N19" s="5"/>
      <c r="O19" s="5"/>
      <c r="P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9" t="n">
        <f aca="false">E20*0.15</f>
        <v>0</v>
      </c>
      <c r="J20" s="9" t="n">
        <f aca="false">F20*0.05</f>
        <v>0</v>
      </c>
      <c r="K20" s="9" t="n">
        <f aca="false">G20*0.05</f>
        <v>0</v>
      </c>
      <c r="L20" s="9" t="n">
        <f aca="false">H20*0.05</f>
        <v>0</v>
      </c>
      <c r="M20" s="9" t="n">
        <f aca="false">I20+J20+K20+L20</f>
        <v>0</v>
      </c>
      <c r="N20" s="8"/>
      <c r="O20" s="8"/>
      <c r="P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6" t="n">
        <f aca="false">E21*0.15</f>
        <v>0</v>
      </c>
      <c r="J21" s="6" t="n">
        <f aca="false">F21*0.05</f>
        <v>0</v>
      </c>
      <c r="K21" s="6" t="n">
        <f aca="false">G21*0.05</f>
        <v>0</v>
      </c>
      <c r="L21" s="6" t="n">
        <f aca="false">H21*0.05</f>
        <v>0</v>
      </c>
      <c r="M21" s="6" t="n">
        <f aca="false">I21+J21+K21+L21</f>
        <v>0</v>
      </c>
      <c r="N21" s="5"/>
      <c r="O21" s="5"/>
      <c r="P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9" t="n">
        <f aca="false">E22*0.15</f>
        <v>0</v>
      </c>
      <c r="J22" s="9" t="n">
        <f aca="false">F22*0.05</f>
        <v>0</v>
      </c>
      <c r="K22" s="9" t="n">
        <f aca="false">G22*0.05</f>
        <v>0</v>
      </c>
      <c r="L22" s="9" t="n">
        <f aca="false">H22*0.05</f>
        <v>0</v>
      </c>
      <c r="M22" s="9" t="n">
        <f aca="false">I22+J22+K22+L22</f>
        <v>0</v>
      </c>
      <c r="N22" s="8"/>
      <c r="O22" s="8"/>
      <c r="P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6" t="n">
        <f aca="false">E23*0.15</f>
        <v>0</v>
      </c>
      <c r="J23" s="6" t="n">
        <f aca="false">F23*0.05</f>
        <v>0</v>
      </c>
      <c r="K23" s="6" t="n">
        <f aca="false">G23*0.05</f>
        <v>0</v>
      </c>
      <c r="L23" s="6" t="n">
        <f aca="false">H23*0.05</f>
        <v>0</v>
      </c>
      <c r="M23" s="6" t="n">
        <f aca="false">I23+J23+K23+L23</f>
        <v>0</v>
      </c>
      <c r="N23" s="5"/>
      <c r="O23" s="5"/>
      <c r="P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9" t="n">
        <f aca="false">E24*0.15</f>
        <v>0</v>
      </c>
      <c r="J24" s="9" t="n">
        <f aca="false">F24*0.05</f>
        <v>0</v>
      </c>
      <c r="K24" s="9" t="n">
        <f aca="false">G24*0.05</f>
        <v>0</v>
      </c>
      <c r="L24" s="9" t="n">
        <f aca="false">H24*0.05</f>
        <v>0</v>
      </c>
      <c r="M24" s="9" t="n">
        <f aca="false">I24+J24+K24+L24</f>
        <v>0</v>
      </c>
      <c r="N24" s="8"/>
      <c r="O24" s="8"/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20"/>
    <col collapsed="false" customWidth="true" hidden="false" outlineLevel="0" max="8" min="8" style="0" width="18"/>
    <col collapsed="false" customWidth="true" hidden="false" outlineLevel="0" max="11" min="9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6" min="15" style="0" width="18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16" t="s">
        <v>2</v>
      </c>
      <c r="B4" s="16" t="s">
        <v>3</v>
      </c>
      <c r="C4" s="16" t="s">
        <v>60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I4" s="16" t="s">
        <v>66</v>
      </c>
      <c r="J4" s="16" t="s">
        <v>67</v>
      </c>
      <c r="K4" s="16" t="s">
        <v>68</v>
      </c>
      <c r="L4" s="16" t="s">
        <v>69</v>
      </c>
      <c r="M4" s="16" t="s">
        <v>70</v>
      </c>
      <c r="N4" s="16" t="s">
        <v>71</v>
      </c>
      <c r="O4" s="16" t="s">
        <v>72</v>
      </c>
      <c r="P4" s="16" t="s">
        <v>73</v>
      </c>
      <c r="Q4" s="16" t="s">
        <v>16</v>
      </c>
      <c r="R4" s="16" t="s">
        <v>17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6" t="n">
        <f aca="false">IF(F5&gt;0,G5/F5,0)</f>
        <v>0</v>
      </c>
      <c r="I5" s="5"/>
      <c r="J5" s="5"/>
      <c r="K5" s="5"/>
      <c r="L5" s="5"/>
      <c r="M5" s="12" t="n">
        <f aca="false">IF(F5&gt;0,L5/F5*100,0)</f>
        <v>0</v>
      </c>
      <c r="N5" s="5"/>
      <c r="O5" s="5"/>
      <c r="P5" s="5"/>
      <c r="Q5" s="5"/>
      <c r="R5" s="5"/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9" t="n">
        <f aca="false">IF(F6&gt;0,G6/F6,0)</f>
        <v>0</v>
      </c>
      <c r="I6" s="8"/>
      <c r="J6" s="8"/>
      <c r="K6" s="8"/>
      <c r="L6" s="8"/>
      <c r="M6" s="13" t="n">
        <f aca="false">IF(F6&gt;0,L6/F6*100,0)</f>
        <v>0</v>
      </c>
      <c r="N6" s="8"/>
      <c r="O6" s="8"/>
      <c r="P6" s="8"/>
      <c r="Q6" s="8"/>
      <c r="R6" s="8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6" t="n">
        <f aca="false">IF(F7&gt;0,G7/F7,0)</f>
        <v>0</v>
      </c>
      <c r="I7" s="5"/>
      <c r="J7" s="5"/>
      <c r="K7" s="5"/>
      <c r="L7" s="5"/>
      <c r="M7" s="12" t="n">
        <f aca="false">IF(F7&gt;0,L7/F7*100,0)</f>
        <v>0</v>
      </c>
      <c r="N7" s="5"/>
      <c r="O7" s="5"/>
      <c r="P7" s="5"/>
      <c r="Q7" s="5"/>
      <c r="R7" s="5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9" t="n">
        <f aca="false">IF(F8&gt;0,G8/F8,0)</f>
        <v>0</v>
      </c>
      <c r="I8" s="8"/>
      <c r="J8" s="8"/>
      <c r="K8" s="8"/>
      <c r="L8" s="8"/>
      <c r="M8" s="13" t="n">
        <f aca="false">IF(F8&gt;0,L8/F8*100,0)</f>
        <v>0</v>
      </c>
      <c r="N8" s="8"/>
      <c r="O8" s="8"/>
      <c r="P8" s="8"/>
      <c r="Q8" s="8"/>
      <c r="R8" s="8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6" t="n">
        <f aca="false">IF(F9&gt;0,G9/F9,0)</f>
        <v>0</v>
      </c>
      <c r="I9" s="5"/>
      <c r="J9" s="5"/>
      <c r="K9" s="5"/>
      <c r="L9" s="5"/>
      <c r="M9" s="12" t="n">
        <f aca="false">IF(F9&gt;0,L9/F9*100,0)</f>
        <v>0</v>
      </c>
      <c r="N9" s="5"/>
      <c r="O9" s="5"/>
      <c r="P9" s="5"/>
      <c r="Q9" s="5"/>
      <c r="R9" s="5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9" t="n">
        <f aca="false">IF(F10&gt;0,G10/F10,0)</f>
        <v>0</v>
      </c>
      <c r="I10" s="8"/>
      <c r="J10" s="8"/>
      <c r="K10" s="8"/>
      <c r="L10" s="8"/>
      <c r="M10" s="13" t="n">
        <f aca="false">IF(F10&gt;0,L10/F10*100,0)</f>
        <v>0</v>
      </c>
      <c r="N10" s="8"/>
      <c r="O10" s="8"/>
      <c r="P10" s="8"/>
      <c r="Q10" s="8"/>
      <c r="R10" s="8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6" t="n">
        <f aca="false">IF(F11&gt;0,G11/F11,0)</f>
        <v>0</v>
      </c>
      <c r="I11" s="5"/>
      <c r="J11" s="5"/>
      <c r="K11" s="5"/>
      <c r="L11" s="5"/>
      <c r="M11" s="12" t="n">
        <f aca="false">IF(F11&gt;0,L11/F11*100,0)</f>
        <v>0</v>
      </c>
      <c r="N11" s="5"/>
      <c r="O11" s="5"/>
      <c r="P11" s="5"/>
      <c r="Q11" s="5"/>
      <c r="R11" s="5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9" t="n">
        <f aca="false">IF(F12&gt;0,G12/F12,0)</f>
        <v>0</v>
      </c>
      <c r="I12" s="8"/>
      <c r="J12" s="8"/>
      <c r="K12" s="8"/>
      <c r="L12" s="8"/>
      <c r="M12" s="13" t="n">
        <f aca="false">IF(F12&gt;0,L12/F12*100,0)</f>
        <v>0</v>
      </c>
      <c r="N12" s="8"/>
      <c r="O12" s="8"/>
      <c r="P12" s="8"/>
      <c r="Q12" s="8"/>
      <c r="R12" s="8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6" t="n">
        <f aca="false">IF(F13&gt;0,G13/F13,0)</f>
        <v>0</v>
      </c>
      <c r="I13" s="5"/>
      <c r="J13" s="5"/>
      <c r="K13" s="5"/>
      <c r="L13" s="5"/>
      <c r="M13" s="12" t="n">
        <f aca="false">IF(F13&gt;0,L13/F13*100,0)</f>
        <v>0</v>
      </c>
      <c r="N13" s="5"/>
      <c r="O13" s="5"/>
      <c r="P13" s="5"/>
      <c r="Q13" s="5"/>
      <c r="R13" s="5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9" t="n">
        <f aca="false">IF(F14&gt;0,G14/F14,0)</f>
        <v>0</v>
      </c>
      <c r="I14" s="8"/>
      <c r="J14" s="8"/>
      <c r="K14" s="8"/>
      <c r="L14" s="8"/>
      <c r="M14" s="13" t="n">
        <f aca="false">IF(F14&gt;0,L14/F14*100,0)</f>
        <v>0</v>
      </c>
      <c r="N14" s="8"/>
      <c r="O14" s="8"/>
      <c r="P14" s="8"/>
      <c r="Q14" s="8"/>
      <c r="R14" s="8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6" t="n">
        <f aca="false">IF(F15&gt;0,G15/F15,0)</f>
        <v>0</v>
      </c>
      <c r="I15" s="5"/>
      <c r="J15" s="5"/>
      <c r="K15" s="5"/>
      <c r="L15" s="5"/>
      <c r="M15" s="12" t="n">
        <f aca="false">IF(F15&gt;0,L15/F15*100,0)</f>
        <v>0</v>
      </c>
      <c r="N15" s="5"/>
      <c r="O15" s="5"/>
      <c r="P15" s="5"/>
      <c r="Q15" s="5"/>
      <c r="R15" s="5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9" t="n">
        <f aca="false">IF(F16&gt;0,G16/F16,0)</f>
        <v>0</v>
      </c>
      <c r="I16" s="8"/>
      <c r="J16" s="8"/>
      <c r="K16" s="8"/>
      <c r="L16" s="8"/>
      <c r="M16" s="13" t="n">
        <f aca="false">IF(F16&gt;0,L16/F16*100,0)</f>
        <v>0</v>
      </c>
      <c r="N16" s="8"/>
      <c r="O16" s="8"/>
      <c r="P16" s="8"/>
      <c r="Q16" s="8"/>
      <c r="R16" s="8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6" t="n">
        <f aca="false">IF(F17&gt;0,G17/F17,0)</f>
        <v>0</v>
      </c>
      <c r="I17" s="5"/>
      <c r="J17" s="5"/>
      <c r="K17" s="5"/>
      <c r="L17" s="5"/>
      <c r="M17" s="12" t="n">
        <f aca="false">IF(F17&gt;0,L17/F17*100,0)</f>
        <v>0</v>
      </c>
      <c r="N17" s="5"/>
      <c r="O17" s="5"/>
      <c r="P17" s="5"/>
      <c r="Q17" s="5"/>
      <c r="R17" s="5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9" t="n">
        <f aca="false">IF(F18&gt;0,G18/F18,0)</f>
        <v>0</v>
      </c>
      <c r="I18" s="8"/>
      <c r="J18" s="8"/>
      <c r="K18" s="8"/>
      <c r="L18" s="8"/>
      <c r="M18" s="13" t="n">
        <f aca="false">IF(F18&gt;0,L18/F18*100,0)</f>
        <v>0</v>
      </c>
      <c r="N18" s="8"/>
      <c r="O18" s="8"/>
      <c r="P18" s="8"/>
      <c r="Q18" s="8"/>
      <c r="R18" s="8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6" t="n">
        <f aca="false">IF(F19&gt;0,G19/F19,0)</f>
        <v>0</v>
      </c>
      <c r="I19" s="5"/>
      <c r="J19" s="5"/>
      <c r="K19" s="5"/>
      <c r="L19" s="5"/>
      <c r="M19" s="12" t="n">
        <f aca="false">IF(F19&gt;0,L19/F19*100,0)</f>
        <v>0</v>
      </c>
      <c r="N19" s="5"/>
      <c r="O19" s="5"/>
      <c r="P19" s="5"/>
      <c r="Q19" s="5"/>
      <c r="R19" s="5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9" t="n">
        <f aca="false">IF(F20&gt;0,G20/F20,0)</f>
        <v>0</v>
      </c>
      <c r="I20" s="8"/>
      <c r="J20" s="8"/>
      <c r="K20" s="8"/>
      <c r="L20" s="8"/>
      <c r="M20" s="13" t="n">
        <f aca="false">IF(F20&gt;0,L20/F20*100,0)</f>
        <v>0</v>
      </c>
      <c r="N20" s="8"/>
      <c r="O20" s="8"/>
      <c r="P20" s="8"/>
      <c r="Q20" s="8"/>
      <c r="R20" s="8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6" t="n">
        <f aca="false">IF(F21&gt;0,G21/F21,0)</f>
        <v>0</v>
      </c>
      <c r="I21" s="5"/>
      <c r="J21" s="5"/>
      <c r="K21" s="5"/>
      <c r="L21" s="5"/>
      <c r="M21" s="12" t="n">
        <f aca="false">IF(F21&gt;0,L21/F21*100,0)</f>
        <v>0</v>
      </c>
      <c r="N21" s="5"/>
      <c r="O21" s="5"/>
      <c r="P21" s="5"/>
      <c r="Q21" s="5"/>
      <c r="R21" s="5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9" t="n">
        <f aca="false">IF(F22&gt;0,G22/F22,0)</f>
        <v>0</v>
      </c>
      <c r="I22" s="8"/>
      <c r="J22" s="8"/>
      <c r="K22" s="8"/>
      <c r="L22" s="8"/>
      <c r="M22" s="13" t="n">
        <f aca="false">IF(F22&gt;0,L22/F22*100,0)</f>
        <v>0</v>
      </c>
      <c r="N22" s="8"/>
      <c r="O22" s="8"/>
      <c r="P22" s="8"/>
      <c r="Q22" s="8"/>
      <c r="R22" s="8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6" t="n">
        <f aca="false">IF(F23&gt;0,G23/F23,0)</f>
        <v>0</v>
      </c>
      <c r="I23" s="5"/>
      <c r="J23" s="5"/>
      <c r="K23" s="5"/>
      <c r="L23" s="5"/>
      <c r="M23" s="12" t="n">
        <f aca="false">IF(F23&gt;0,L23/F23*100,0)</f>
        <v>0</v>
      </c>
      <c r="N23" s="5"/>
      <c r="O23" s="5"/>
      <c r="P23" s="5"/>
      <c r="Q23" s="5"/>
      <c r="R23" s="5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9" t="n">
        <f aca="false">IF(F24&gt;0,G24/F24,0)</f>
        <v>0</v>
      </c>
      <c r="I24" s="8"/>
      <c r="J24" s="8"/>
      <c r="K24" s="8"/>
      <c r="L24" s="8"/>
      <c r="M24" s="13" t="n">
        <f aca="false">IF(F24&gt;0,L24/F24*100,0)</f>
        <v>0</v>
      </c>
      <c r="N24" s="8"/>
      <c r="O24" s="8"/>
      <c r="P24" s="8"/>
      <c r="Q24" s="8"/>
      <c r="R24" s="8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6" t="n">
        <f aca="false">IF(F25&gt;0,G25/F25,0)</f>
        <v>0</v>
      </c>
      <c r="I25" s="5"/>
      <c r="J25" s="5"/>
      <c r="K25" s="5"/>
      <c r="L25" s="5"/>
      <c r="M25" s="12" t="n">
        <f aca="false">IF(F25&gt;0,L25/F25*100,0)</f>
        <v>0</v>
      </c>
      <c r="N25" s="5"/>
      <c r="O25" s="5"/>
      <c r="P25" s="5"/>
      <c r="Q25" s="5"/>
      <c r="R25" s="5"/>
    </row>
    <row r="26" customFormat="false" ht="15" hidden="false" customHeight="false" outlineLevel="0" collapsed="false">
      <c r="A26" s="7" t="n">
        <v>22</v>
      </c>
      <c r="B26" s="8"/>
      <c r="C26" s="8"/>
      <c r="D26" s="8"/>
      <c r="E26" s="8"/>
      <c r="F26" s="8"/>
      <c r="G26" s="8"/>
      <c r="H26" s="9" t="n">
        <f aca="false">IF(F26&gt;0,G26/F26,0)</f>
        <v>0</v>
      </c>
      <c r="I26" s="8"/>
      <c r="J26" s="8"/>
      <c r="K26" s="8"/>
      <c r="L26" s="8"/>
      <c r="M26" s="13" t="n">
        <f aca="false">IF(F26&gt;0,L26/F26*100,0)</f>
        <v>0</v>
      </c>
      <c r="N26" s="8"/>
      <c r="O26" s="8"/>
      <c r="P26" s="8"/>
      <c r="Q26" s="8"/>
      <c r="R26" s="8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6" t="n">
        <f aca="false">IF(F27&gt;0,G27/F27,0)</f>
        <v>0</v>
      </c>
      <c r="I27" s="5"/>
      <c r="J27" s="5"/>
      <c r="K27" s="5"/>
      <c r="L27" s="5"/>
      <c r="M27" s="12" t="n">
        <f aca="false">IF(F27&gt;0,L27/F27*100,0)</f>
        <v>0</v>
      </c>
      <c r="N27" s="5"/>
      <c r="O27" s="5"/>
      <c r="P27" s="5"/>
      <c r="Q27" s="5"/>
      <c r="R27" s="5"/>
    </row>
    <row r="28" customFormat="false" ht="15" hidden="false" customHeight="false" outlineLevel="0" collapsed="false">
      <c r="A28" s="7" t="n">
        <v>24</v>
      </c>
      <c r="B28" s="8"/>
      <c r="C28" s="8"/>
      <c r="D28" s="8"/>
      <c r="E28" s="8"/>
      <c r="F28" s="8"/>
      <c r="G28" s="8"/>
      <c r="H28" s="9" t="n">
        <f aca="false">IF(F28&gt;0,G28/F28,0)</f>
        <v>0</v>
      </c>
      <c r="I28" s="8"/>
      <c r="J28" s="8"/>
      <c r="K28" s="8"/>
      <c r="L28" s="8"/>
      <c r="M28" s="13" t="n">
        <f aca="false">IF(F28&gt;0,L28/F28*100,0)</f>
        <v>0</v>
      </c>
      <c r="N28" s="8"/>
      <c r="O28" s="8"/>
      <c r="P28" s="8"/>
      <c r="Q28" s="8"/>
      <c r="R28" s="8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6" t="n">
        <f aca="false">IF(F29&gt;0,G29/F29,0)</f>
        <v>0</v>
      </c>
      <c r="I29" s="5"/>
      <c r="J29" s="5"/>
      <c r="K29" s="5"/>
      <c r="L29" s="5"/>
      <c r="M29" s="12" t="n">
        <f aca="false">IF(F29&gt;0,L29/F29*100,0)</f>
        <v>0</v>
      </c>
      <c r="N29" s="5"/>
      <c r="O29" s="5"/>
      <c r="P29" s="5"/>
      <c r="Q29" s="5"/>
      <c r="R29" s="5"/>
    </row>
    <row r="30" customFormat="false" ht="15" hidden="false" customHeight="false" outlineLevel="0" collapsed="false">
      <c r="A30" s="7" t="n">
        <v>26</v>
      </c>
      <c r="B30" s="8"/>
      <c r="C30" s="8"/>
      <c r="D30" s="8"/>
      <c r="E30" s="8"/>
      <c r="F30" s="8"/>
      <c r="G30" s="8"/>
      <c r="H30" s="9" t="n">
        <f aca="false">IF(F30&gt;0,G30/F30,0)</f>
        <v>0</v>
      </c>
      <c r="I30" s="8"/>
      <c r="J30" s="8"/>
      <c r="K30" s="8"/>
      <c r="L30" s="8"/>
      <c r="M30" s="13" t="n">
        <f aca="false">IF(F30&gt;0,L30/F30*100,0)</f>
        <v>0</v>
      </c>
      <c r="N30" s="8"/>
      <c r="O30" s="8"/>
      <c r="P30" s="8"/>
      <c r="Q30" s="8"/>
      <c r="R30" s="8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6" t="n">
        <f aca="false">IF(F31&gt;0,G31/F31,0)</f>
        <v>0</v>
      </c>
      <c r="I31" s="5"/>
      <c r="J31" s="5"/>
      <c r="K31" s="5"/>
      <c r="L31" s="5"/>
      <c r="M31" s="12" t="n">
        <f aca="false">IF(F31&gt;0,L31/F31*100,0)</f>
        <v>0</v>
      </c>
      <c r="N31" s="5"/>
      <c r="O31" s="5"/>
      <c r="P31" s="5"/>
      <c r="Q31" s="5"/>
      <c r="R31" s="5"/>
    </row>
    <row r="32" customFormat="false" ht="15" hidden="false" customHeight="false" outlineLevel="0" collapsed="false">
      <c r="A32" s="7" t="n">
        <v>28</v>
      </c>
      <c r="B32" s="8"/>
      <c r="C32" s="8"/>
      <c r="D32" s="8"/>
      <c r="E32" s="8"/>
      <c r="F32" s="8"/>
      <c r="G32" s="8"/>
      <c r="H32" s="9" t="n">
        <f aca="false">IF(F32&gt;0,G32/F32,0)</f>
        <v>0</v>
      </c>
      <c r="I32" s="8"/>
      <c r="J32" s="8"/>
      <c r="K32" s="8"/>
      <c r="L32" s="8"/>
      <c r="M32" s="13" t="n">
        <f aca="false">IF(F32&gt;0,L32/F32*100,0)</f>
        <v>0</v>
      </c>
      <c r="N32" s="8"/>
      <c r="O32" s="8"/>
      <c r="P32" s="8"/>
      <c r="Q32" s="8"/>
      <c r="R32" s="8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6" t="n">
        <f aca="false">IF(F33&gt;0,G33/F33,0)</f>
        <v>0</v>
      </c>
      <c r="I33" s="5"/>
      <c r="J33" s="5"/>
      <c r="K33" s="5"/>
      <c r="L33" s="5"/>
      <c r="M33" s="12" t="n">
        <f aca="false">IF(F33&gt;0,L33/F33*100,0)</f>
        <v>0</v>
      </c>
      <c r="N33" s="5"/>
      <c r="O33" s="5"/>
      <c r="P33" s="5"/>
      <c r="Q33" s="5"/>
      <c r="R33" s="5"/>
    </row>
    <row r="34" customFormat="false" ht="15" hidden="false" customHeight="false" outlineLevel="0" collapsed="false">
      <c r="A34" s="7" t="n">
        <v>30</v>
      </c>
      <c r="B34" s="8"/>
      <c r="C34" s="8"/>
      <c r="D34" s="8"/>
      <c r="E34" s="8"/>
      <c r="F34" s="8"/>
      <c r="G34" s="8"/>
      <c r="H34" s="9" t="n">
        <f aca="false">IF(F34&gt;0,G34/F34,0)</f>
        <v>0</v>
      </c>
      <c r="I34" s="8"/>
      <c r="J34" s="8"/>
      <c r="K34" s="8"/>
      <c r="L34" s="8"/>
      <c r="M34" s="13" t="n">
        <f aca="false">IF(F34&gt;0,L34/F34*100,0)</f>
        <v>0</v>
      </c>
      <c r="N34" s="8"/>
      <c r="O34" s="8"/>
      <c r="P34" s="8"/>
      <c r="Q34" s="8"/>
      <c r="R34" s="8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8"/>
    <col collapsed="false" customWidth="true" hidden="false" outlineLevel="0" max="8" min="4" style="0" width="12"/>
    <col collapsed="false" customWidth="true" hidden="false" outlineLevel="0" max="10" min="9" style="0" width="14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7" t="s">
        <v>2</v>
      </c>
      <c r="B4" s="17" t="s">
        <v>3</v>
      </c>
      <c r="C4" s="17" t="s">
        <v>76</v>
      </c>
      <c r="D4" s="17" t="s">
        <v>77</v>
      </c>
      <c r="E4" s="17" t="s">
        <v>78</v>
      </c>
      <c r="F4" s="17" t="s">
        <v>79</v>
      </c>
      <c r="G4" s="17" t="s">
        <v>80</v>
      </c>
      <c r="H4" s="17" t="s">
        <v>81</v>
      </c>
      <c r="I4" s="17" t="s">
        <v>82</v>
      </c>
      <c r="J4" s="17" t="s">
        <v>83</v>
      </c>
      <c r="K4" s="17" t="s">
        <v>84</v>
      </c>
      <c r="L4" s="17" t="s">
        <v>85</v>
      </c>
      <c r="M4" s="17" t="s">
        <v>86</v>
      </c>
      <c r="N4" s="17" t="s">
        <v>87</v>
      </c>
      <c r="O4" s="17" t="s">
        <v>16</v>
      </c>
      <c r="P4" s="17" t="s">
        <v>17</v>
      </c>
    </row>
    <row r="5" customFormat="false" ht="15" hidden="false" customHeight="false" outlineLevel="0" collapsed="false">
      <c r="A5" s="4" t="n">
        <v>1</v>
      </c>
      <c r="B5" s="5"/>
      <c r="C5" s="18" t="s">
        <v>88</v>
      </c>
      <c r="D5" s="5"/>
      <c r="E5" s="5"/>
      <c r="F5" s="5"/>
      <c r="G5" s="5"/>
      <c r="H5" s="5"/>
      <c r="I5" s="19" t="n">
        <f aca="false">H5-D5</f>
        <v>0</v>
      </c>
      <c r="J5" s="19" t="n">
        <f aca="false">IF(COUNTA(D5:H5)&gt;0,AVERAGE(D5:H5),0)</f>
        <v>0</v>
      </c>
      <c r="K5" s="19" t="n">
        <f aca="false">MAX(D5:H5)</f>
        <v>0</v>
      </c>
      <c r="L5" s="19" t="n">
        <f aca="false">MIN(D5:H5)</f>
        <v>0</v>
      </c>
      <c r="M5" s="5"/>
      <c r="N5" s="5"/>
      <c r="O5" s="5"/>
      <c r="P5" s="5"/>
    </row>
    <row r="6" customFormat="false" ht="15" hidden="false" customHeight="false" outlineLevel="0" collapsed="false">
      <c r="A6" s="7" t="n">
        <v>2</v>
      </c>
      <c r="B6" s="8"/>
      <c r="C6" s="20" t="s">
        <v>89</v>
      </c>
      <c r="D6" s="8"/>
      <c r="E6" s="8"/>
      <c r="F6" s="8"/>
      <c r="G6" s="8"/>
      <c r="H6" s="8"/>
      <c r="I6" s="21" t="n">
        <f aca="false">H6-D6</f>
        <v>0</v>
      </c>
      <c r="J6" s="21" t="n">
        <f aca="false">IF(COUNTA(D6:H6)&gt;0,AVERAGE(D6:H6),0)</f>
        <v>0</v>
      </c>
      <c r="K6" s="21" t="n">
        <f aca="false">MAX(D6:H6)</f>
        <v>0</v>
      </c>
      <c r="L6" s="21" t="n">
        <f aca="false">MIN(D6:H6)</f>
        <v>0</v>
      </c>
      <c r="M6" s="8"/>
      <c r="N6" s="8"/>
      <c r="O6" s="8"/>
      <c r="P6" s="8"/>
    </row>
    <row r="7" customFormat="false" ht="23.85" hidden="false" customHeight="false" outlineLevel="0" collapsed="false">
      <c r="A7" s="4" t="n">
        <v>3</v>
      </c>
      <c r="B7" s="5"/>
      <c r="C7" s="18" t="s">
        <v>90</v>
      </c>
      <c r="D7" s="5"/>
      <c r="E7" s="5"/>
      <c r="F7" s="5"/>
      <c r="G7" s="5"/>
      <c r="H7" s="5"/>
      <c r="I7" s="19" t="n">
        <f aca="false">H7-D7</f>
        <v>0</v>
      </c>
      <c r="J7" s="19" t="n">
        <f aca="false">IF(COUNTA(D7:H7)&gt;0,AVERAGE(D7:H7),0)</f>
        <v>0</v>
      </c>
      <c r="K7" s="19" t="n">
        <f aca="false">MAX(D7:H7)</f>
        <v>0</v>
      </c>
      <c r="L7" s="19" t="n">
        <f aca="false">MIN(D7:H7)</f>
        <v>0</v>
      </c>
      <c r="M7" s="5"/>
      <c r="N7" s="5"/>
      <c r="O7" s="5"/>
      <c r="P7" s="5"/>
    </row>
    <row r="8" customFormat="false" ht="15" hidden="false" customHeight="false" outlineLevel="0" collapsed="false">
      <c r="A8" s="7" t="n">
        <v>4</v>
      </c>
      <c r="B8" s="8"/>
      <c r="C8" s="20" t="s">
        <v>91</v>
      </c>
      <c r="D8" s="8"/>
      <c r="E8" s="8"/>
      <c r="F8" s="8"/>
      <c r="G8" s="8"/>
      <c r="H8" s="8"/>
      <c r="I8" s="21" t="n">
        <f aca="false">H8-D8</f>
        <v>0</v>
      </c>
      <c r="J8" s="21" t="n">
        <f aca="false">IF(COUNTA(D8:H8)&gt;0,AVERAGE(D8:H8),0)</f>
        <v>0</v>
      </c>
      <c r="K8" s="21" t="n">
        <f aca="false">MAX(D8:H8)</f>
        <v>0</v>
      </c>
      <c r="L8" s="21" t="n">
        <f aca="false">MIN(D8:H8)</f>
        <v>0</v>
      </c>
      <c r="M8" s="8"/>
      <c r="N8" s="8"/>
      <c r="O8" s="8"/>
      <c r="P8" s="8"/>
    </row>
    <row r="9" customFormat="false" ht="23.85" hidden="false" customHeight="false" outlineLevel="0" collapsed="false">
      <c r="A9" s="4" t="n">
        <v>5</v>
      </c>
      <c r="B9" s="5"/>
      <c r="C9" s="18" t="s">
        <v>92</v>
      </c>
      <c r="D9" s="5"/>
      <c r="E9" s="5"/>
      <c r="F9" s="5"/>
      <c r="G9" s="5"/>
      <c r="H9" s="5"/>
      <c r="I9" s="19" t="n">
        <f aca="false">H9-D9</f>
        <v>0</v>
      </c>
      <c r="J9" s="19" t="n">
        <f aca="false">IF(COUNTA(D9:H9)&gt;0,AVERAGE(D9:H9),0)</f>
        <v>0</v>
      </c>
      <c r="K9" s="19" t="n">
        <f aca="false">MAX(D9:H9)</f>
        <v>0</v>
      </c>
      <c r="L9" s="19" t="n">
        <f aca="false">MIN(D9:H9)</f>
        <v>0</v>
      </c>
      <c r="M9" s="5"/>
      <c r="N9" s="5"/>
      <c r="O9" s="5"/>
      <c r="P9" s="5"/>
    </row>
    <row r="10" customFormat="false" ht="15" hidden="false" customHeight="false" outlineLevel="0" collapsed="false">
      <c r="A10" s="7" t="n">
        <v>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4" t="n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7" t="n">
        <v>3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4" t="n">
        <v>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7" t="n">
        <v>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2" t="s">
        <v>2</v>
      </c>
      <c r="B4" s="22" t="s">
        <v>95</v>
      </c>
      <c r="C4" s="22" t="s">
        <v>96</v>
      </c>
      <c r="D4" s="22" t="s">
        <v>97</v>
      </c>
      <c r="E4" s="22" t="s">
        <v>98</v>
      </c>
      <c r="F4" s="22" t="s">
        <v>99</v>
      </c>
      <c r="G4" s="22" t="s">
        <v>100</v>
      </c>
      <c r="H4" s="22" t="s">
        <v>101</v>
      </c>
      <c r="I4" s="22" t="s">
        <v>102</v>
      </c>
      <c r="J4" s="22" t="s">
        <v>103</v>
      </c>
      <c r="K4" s="22" t="s">
        <v>104</v>
      </c>
      <c r="L4" s="22" t="s">
        <v>17</v>
      </c>
    </row>
    <row r="5" customFormat="false" ht="35.05" hidden="false" customHeight="false" outlineLevel="0" collapsed="false">
      <c r="A5" s="4" t="n">
        <v>1</v>
      </c>
      <c r="B5" s="23" t="s">
        <v>105</v>
      </c>
      <c r="C5" s="24" t="s">
        <v>106</v>
      </c>
      <c r="D5" s="24" t="s">
        <v>107</v>
      </c>
      <c r="E5" s="4" t="s">
        <v>108</v>
      </c>
      <c r="F5" s="5"/>
      <c r="G5" s="5"/>
      <c r="H5" s="5"/>
      <c r="I5" s="5"/>
      <c r="J5" s="5"/>
      <c r="K5" s="5"/>
      <c r="L5" s="5"/>
    </row>
    <row r="6" customFormat="false" ht="23.85" hidden="false" customHeight="false" outlineLevel="0" collapsed="false">
      <c r="A6" s="7" t="n">
        <v>2</v>
      </c>
      <c r="B6" s="25" t="s">
        <v>105</v>
      </c>
      <c r="C6" s="26" t="s">
        <v>109</v>
      </c>
      <c r="D6" s="26" t="s">
        <v>110</v>
      </c>
      <c r="E6" s="7" t="s">
        <v>111</v>
      </c>
      <c r="F6" s="8"/>
      <c r="G6" s="8"/>
      <c r="H6" s="8"/>
      <c r="I6" s="8"/>
      <c r="J6" s="8"/>
      <c r="K6" s="8"/>
      <c r="L6" s="8"/>
    </row>
    <row r="7" customFormat="false" ht="35.05" hidden="false" customHeight="false" outlineLevel="0" collapsed="false">
      <c r="A7" s="4" t="n">
        <v>3</v>
      </c>
      <c r="B7" s="23" t="s">
        <v>105</v>
      </c>
      <c r="C7" s="24" t="s">
        <v>112</v>
      </c>
      <c r="D7" s="24" t="s">
        <v>113</v>
      </c>
      <c r="E7" s="4" t="s">
        <v>114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7" t="n">
        <v>4</v>
      </c>
      <c r="B8" s="25" t="s">
        <v>89</v>
      </c>
      <c r="C8" s="26" t="s">
        <v>115</v>
      </c>
      <c r="D8" s="26" t="s">
        <v>116</v>
      </c>
      <c r="E8" s="7" t="s">
        <v>117</v>
      </c>
      <c r="F8" s="8"/>
      <c r="G8" s="8"/>
      <c r="H8" s="8"/>
      <c r="I8" s="8"/>
      <c r="J8" s="8"/>
      <c r="K8" s="8"/>
      <c r="L8" s="8"/>
    </row>
    <row r="9" customFormat="false" ht="23.85" hidden="false" customHeight="false" outlineLevel="0" collapsed="false">
      <c r="A9" s="4" t="n">
        <v>5</v>
      </c>
      <c r="B9" s="23" t="s">
        <v>89</v>
      </c>
      <c r="C9" s="24" t="s">
        <v>118</v>
      </c>
      <c r="D9" s="24" t="s">
        <v>119</v>
      </c>
      <c r="E9" s="4" t="s">
        <v>120</v>
      </c>
      <c r="F9" s="5"/>
      <c r="G9" s="5"/>
      <c r="H9" s="5"/>
      <c r="I9" s="5"/>
      <c r="J9" s="5"/>
      <c r="K9" s="5"/>
      <c r="L9" s="5"/>
    </row>
    <row r="10" customFormat="false" ht="35.05" hidden="false" customHeight="false" outlineLevel="0" collapsed="false">
      <c r="A10" s="7" t="n">
        <v>6</v>
      </c>
      <c r="B10" s="25" t="s">
        <v>121</v>
      </c>
      <c r="C10" s="26" t="s">
        <v>122</v>
      </c>
      <c r="D10" s="26" t="s">
        <v>123</v>
      </c>
      <c r="E10" s="7" t="s">
        <v>124</v>
      </c>
      <c r="F10" s="8"/>
      <c r="G10" s="8"/>
      <c r="H10" s="8"/>
      <c r="I10" s="8"/>
      <c r="J10" s="8"/>
      <c r="K10" s="8"/>
      <c r="L10" s="8"/>
    </row>
    <row r="11" customFormat="false" ht="35.05" hidden="false" customHeight="false" outlineLevel="0" collapsed="false">
      <c r="A11" s="4" t="n">
        <v>7</v>
      </c>
      <c r="B11" s="23" t="s">
        <v>121</v>
      </c>
      <c r="C11" s="24" t="s">
        <v>125</v>
      </c>
      <c r="D11" s="24" t="s">
        <v>126</v>
      </c>
      <c r="E11" s="4" t="s">
        <v>127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7" t="n">
        <v>8</v>
      </c>
      <c r="B12" s="25" t="s">
        <v>91</v>
      </c>
      <c r="C12" s="26" t="s">
        <v>128</v>
      </c>
      <c r="D12" s="26" t="s">
        <v>129</v>
      </c>
      <c r="E12" s="7" t="s">
        <v>130</v>
      </c>
      <c r="F12" s="8"/>
      <c r="G12" s="8"/>
      <c r="H12" s="8"/>
      <c r="I12" s="8"/>
      <c r="J12" s="8"/>
      <c r="K12" s="8"/>
      <c r="L12" s="8"/>
    </row>
    <row r="13" customFormat="false" ht="23.85" hidden="false" customHeight="false" outlineLevel="0" collapsed="false">
      <c r="A13" s="4" t="n">
        <v>9</v>
      </c>
      <c r="B13" s="23" t="s">
        <v>91</v>
      </c>
      <c r="C13" s="24" t="s">
        <v>131</v>
      </c>
      <c r="D13" s="24" t="s">
        <v>132</v>
      </c>
      <c r="E13" s="4" t="s">
        <v>133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7" t="n">
        <v>10</v>
      </c>
      <c r="B14" s="25" t="s">
        <v>134</v>
      </c>
      <c r="C14" s="26" t="s">
        <v>135</v>
      </c>
      <c r="D14" s="26" t="s">
        <v>136</v>
      </c>
      <c r="E14" s="7" t="s">
        <v>137</v>
      </c>
      <c r="F14" s="8"/>
      <c r="G14" s="8"/>
      <c r="H14" s="8"/>
      <c r="I14" s="8"/>
      <c r="J14" s="8"/>
      <c r="K14" s="8"/>
      <c r="L14" s="8"/>
    </row>
    <row r="15" customFormat="false" ht="35.05" hidden="false" customHeight="false" outlineLevel="0" collapsed="false">
      <c r="A15" s="4" t="n">
        <v>11</v>
      </c>
      <c r="B15" s="23" t="s">
        <v>134</v>
      </c>
      <c r="C15" s="24" t="s">
        <v>138</v>
      </c>
      <c r="D15" s="24" t="s">
        <v>139</v>
      </c>
      <c r="E15" s="4" t="s">
        <v>140</v>
      </c>
      <c r="F15" s="5"/>
      <c r="G15" s="5"/>
      <c r="H15" s="5"/>
      <c r="I15" s="5"/>
      <c r="J15" s="5"/>
      <c r="K15" s="5"/>
      <c r="L15" s="5"/>
    </row>
    <row r="16" customFormat="false" ht="35.05" hidden="false" customHeight="false" outlineLevel="0" collapsed="false">
      <c r="A16" s="7" t="n">
        <v>12</v>
      </c>
      <c r="B16" s="25" t="s">
        <v>134</v>
      </c>
      <c r="C16" s="26" t="s">
        <v>141</v>
      </c>
      <c r="D16" s="26" t="s">
        <v>142</v>
      </c>
      <c r="E16" s="7" t="s">
        <v>143</v>
      </c>
      <c r="F16" s="8"/>
      <c r="G16" s="8"/>
      <c r="H16" s="8"/>
      <c r="I16" s="8"/>
      <c r="J16" s="8"/>
      <c r="K16" s="8"/>
      <c r="L16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144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145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</row>
    <row r="5" customFormat="false" ht="57.45" hidden="false" customHeight="false" outlineLevel="0" collapsed="false">
      <c r="A5" s="27" t="n">
        <v>1</v>
      </c>
      <c r="B5" s="28" t="s">
        <v>152</v>
      </c>
      <c r="C5" s="28" t="s">
        <v>153</v>
      </c>
      <c r="D5" s="28" t="s">
        <v>154</v>
      </c>
      <c r="E5" s="28" t="s">
        <v>155</v>
      </c>
      <c r="F5" s="28" t="s">
        <v>156</v>
      </c>
    </row>
    <row r="6" customFormat="false" ht="57.45" hidden="false" customHeight="false" outlineLevel="0" collapsed="false">
      <c r="A6" s="27" t="n">
        <v>2</v>
      </c>
      <c r="B6" s="28" t="s">
        <v>157</v>
      </c>
      <c r="C6" s="28" t="s">
        <v>158</v>
      </c>
      <c r="D6" s="28" t="s">
        <v>159</v>
      </c>
      <c r="E6" s="28" t="s">
        <v>160</v>
      </c>
      <c r="F6" s="28" t="s">
        <v>156</v>
      </c>
    </row>
    <row r="7" customFormat="false" ht="46.25" hidden="false" customHeight="false" outlineLevel="0" collapsed="false">
      <c r="A7" s="27" t="n">
        <v>3</v>
      </c>
      <c r="B7" s="28" t="s">
        <v>161</v>
      </c>
      <c r="C7" s="28" t="s">
        <v>158</v>
      </c>
      <c r="D7" s="28" t="s">
        <v>162</v>
      </c>
      <c r="E7" s="28" t="s">
        <v>163</v>
      </c>
      <c r="F7" s="28" t="s">
        <v>156</v>
      </c>
    </row>
    <row r="8" customFormat="false" ht="46.25" hidden="false" customHeight="false" outlineLevel="0" collapsed="false">
      <c r="A8" s="27" t="n">
        <v>4</v>
      </c>
      <c r="B8" s="28" t="s">
        <v>164</v>
      </c>
      <c r="C8" s="28" t="s">
        <v>158</v>
      </c>
      <c r="D8" s="28" t="s">
        <v>165</v>
      </c>
      <c r="E8" s="28" t="s">
        <v>166</v>
      </c>
      <c r="F8" s="28" t="s">
        <v>156</v>
      </c>
    </row>
    <row r="9" customFormat="false" ht="35.05" hidden="false" customHeight="false" outlineLevel="0" collapsed="false">
      <c r="A9" s="27" t="s">
        <v>167</v>
      </c>
      <c r="B9" s="28" t="s">
        <v>168</v>
      </c>
      <c r="C9" s="28" t="s">
        <v>169</v>
      </c>
      <c r="D9" s="28" t="s">
        <v>170</v>
      </c>
      <c r="E9" s="28" t="s">
        <v>171</v>
      </c>
      <c r="F9" s="28" t="s">
        <v>156</v>
      </c>
    </row>
    <row r="12" customFormat="false" ht="24.75" hidden="false" customHeight="true" outlineLevel="0" collapsed="false">
      <c r="A12" s="2" t="s">
        <v>172</v>
      </c>
      <c r="B12" s="2"/>
      <c r="C12" s="2"/>
      <c r="D12" s="2"/>
      <c r="E12" s="2"/>
      <c r="F12" s="2"/>
    </row>
    <row r="13" customFormat="false" ht="15" hidden="false" customHeight="true" outlineLevel="0" collapsed="false">
      <c r="A13" s="29" t="s">
        <v>173</v>
      </c>
      <c r="B13" s="29"/>
      <c r="C13" s="29"/>
      <c r="D13" s="29"/>
      <c r="E13" s="29"/>
      <c r="F13" s="29"/>
    </row>
    <row r="14" customFormat="false" ht="23.85" hidden="false" customHeight="true" outlineLevel="0" collapsed="false">
      <c r="A14" s="29" t="s">
        <v>174</v>
      </c>
      <c r="B14" s="29"/>
      <c r="C14" s="29"/>
      <c r="D14" s="29"/>
      <c r="E14" s="29"/>
      <c r="F14" s="29"/>
    </row>
    <row r="15" customFormat="false" ht="23.85" hidden="false" customHeight="true" outlineLevel="0" collapsed="false">
      <c r="A15" s="29" t="s">
        <v>175</v>
      </c>
      <c r="B15" s="29"/>
      <c r="C15" s="29"/>
      <c r="D15" s="29"/>
      <c r="E15" s="29"/>
      <c r="F15" s="29"/>
    </row>
    <row r="16" customFormat="false" ht="15" hidden="false" customHeight="true" outlineLevel="0" collapsed="false">
      <c r="A16" s="29" t="s">
        <v>176</v>
      </c>
      <c r="B16" s="29"/>
      <c r="C16" s="29"/>
      <c r="D16" s="29"/>
      <c r="E16" s="29"/>
      <c r="F16" s="29"/>
    </row>
    <row r="17" customFormat="false" ht="23.85" hidden="false" customHeight="true" outlineLevel="0" collapsed="false">
      <c r="A17" s="29" t="s">
        <v>177</v>
      </c>
      <c r="B17" s="29"/>
      <c r="C17" s="29"/>
      <c r="D17" s="29"/>
      <c r="E17" s="29"/>
      <c r="F17" s="29"/>
    </row>
    <row r="18" customFormat="false" ht="23.85" hidden="false" customHeight="true" outlineLevel="0" collapsed="false">
      <c r="A18" s="29" t="s">
        <v>178</v>
      </c>
      <c r="B18" s="29"/>
      <c r="C18" s="29"/>
      <c r="D18" s="29"/>
      <c r="E18" s="29"/>
      <c r="F18" s="29"/>
    </row>
    <row r="19" customFormat="false" ht="23.85" hidden="false" customHeight="true" outlineLevel="0" collapsed="false">
      <c r="A19" s="29" t="s">
        <v>179</v>
      </c>
      <c r="B19" s="29"/>
      <c r="C19" s="29"/>
      <c r="D19" s="29"/>
      <c r="E19" s="29"/>
      <c r="F19" s="29"/>
    </row>
    <row r="20" customFormat="false" ht="23.85" hidden="false" customHeight="true" outlineLevel="0" collapsed="false">
      <c r="A20" s="29" t="s">
        <v>180</v>
      </c>
      <c r="B20" s="29"/>
      <c r="C20" s="29"/>
      <c r="D20" s="29"/>
      <c r="E20" s="29"/>
      <c r="F20" s="29"/>
    </row>
    <row r="21" customFormat="false" ht="23.85" hidden="false" customHeight="true" outlineLevel="0" collapsed="false">
      <c r="A21" s="29" t="s">
        <v>181</v>
      </c>
      <c r="B21" s="29"/>
      <c r="C21" s="29"/>
      <c r="D21" s="29"/>
      <c r="E21" s="29"/>
      <c r="F21" s="29"/>
    </row>
    <row r="22" customFormat="false" ht="15" hidden="false" customHeight="true" outlineLevel="0" collapsed="false">
      <c r="A22" s="29" t="s">
        <v>182</v>
      </c>
      <c r="B22" s="29"/>
      <c r="C22" s="29"/>
      <c r="D22" s="29"/>
      <c r="E22" s="29"/>
      <c r="F22" s="29"/>
    </row>
    <row r="23" customFormat="false" ht="15" hidden="false" customHeight="true" outlineLevel="0" collapsed="false">
      <c r="A23" s="29" t="s">
        <v>183</v>
      </c>
      <c r="B23" s="29"/>
      <c r="C23" s="29"/>
      <c r="D23" s="29"/>
      <c r="E23" s="29"/>
      <c r="F23" s="29"/>
    </row>
    <row r="24" customFormat="false" ht="15" hidden="false" customHeight="true" outlineLevel="0" collapsed="false">
      <c r="A24" s="29" t="s">
        <v>184</v>
      </c>
      <c r="B24" s="29"/>
      <c r="C24" s="29"/>
      <c r="D24" s="29"/>
      <c r="E24" s="29"/>
      <c r="F24" s="29"/>
    </row>
    <row r="25" customFormat="false" ht="23.85" hidden="false" customHeight="true" outlineLevel="0" collapsed="false">
      <c r="A25" s="29" t="s">
        <v>185</v>
      </c>
      <c r="B25" s="29"/>
      <c r="C25" s="29"/>
      <c r="D25" s="29"/>
      <c r="E25" s="29"/>
      <c r="F25" s="29"/>
    </row>
    <row r="26" customFormat="false" ht="15" hidden="false" customHeight="true" outlineLevel="0" collapsed="false">
      <c r="A26" s="29" t="s">
        <v>186</v>
      </c>
      <c r="B26" s="29"/>
      <c r="C26" s="29"/>
      <c r="D26" s="29"/>
      <c r="E26" s="29"/>
      <c r="F26" s="29"/>
    </row>
    <row r="28" customFormat="false" ht="24.75" hidden="false" customHeight="true" outlineLevel="0" collapsed="false">
      <c r="A28" s="2" t="s">
        <v>187</v>
      </c>
      <c r="B28" s="2"/>
      <c r="C28" s="2"/>
      <c r="D28" s="2"/>
      <c r="E28" s="2"/>
      <c r="F28" s="2"/>
    </row>
    <row r="29" customFormat="false" ht="15" hidden="false" customHeight="true" outlineLevel="0" collapsed="false">
      <c r="A29" s="29" t="s">
        <v>188</v>
      </c>
      <c r="B29" s="29"/>
      <c r="C29" s="29"/>
      <c r="D29" s="29"/>
      <c r="E29" s="29"/>
      <c r="F29" s="29"/>
    </row>
    <row r="30" customFormat="false" ht="15" hidden="false" customHeight="true" outlineLevel="0" collapsed="false">
      <c r="A30" s="29" t="s">
        <v>189</v>
      </c>
      <c r="B30" s="29"/>
      <c r="C30" s="29"/>
      <c r="D30" s="29"/>
      <c r="E30" s="29"/>
      <c r="F30" s="29"/>
    </row>
    <row r="31" customFormat="false" ht="15" hidden="false" customHeight="true" outlineLevel="0" collapsed="false">
      <c r="A31" s="29" t="s">
        <v>190</v>
      </c>
      <c r="B31" s="29"/>
      <c r="C31" s="29"/>
      <c r="D31" s="29"/>
      <c r="E31" s="29"/>
      <c r="F31" s="29"/>
    </row>
    <row r="32" customFormat="false" ht="15" hidden="false" customHeight="true" outlineLevel="0" collapsed="false">
      <c r="A32" s="29" t="s">
        <v>191</v>
      </c>
      <c r="B32" s="29"/>
      <c r="C32" s="29"/>
      <c r="D32" s="29"/>
      <c r="E32" s="29"/>
      <c r="F32" s="29"/>
    </row>
    <row r="33" customFormat="false" ht="15" hidden="false" customHeight="true" outlineLevel="0" collapsed="false">
      <c r="A33" s="29" t="s">
        <v>192</v>
      </c>
      <c r="B33" s="29"/>
      <c r="C33" s="29"/>
      <c r="D33" s="29"/>
      <c r="E33" s="29"/>
      <c r="F33" s="29"/>
    </row>
    <row r="34" customFormat="false" ht="15" hidden="false" customHeight="true" outlineLevel="0" collapsed="false">
      <c r="A34" s="29" t="s">
        <v>193</v>
      </c>
      <c r="B34" s="29"/>
      <c r="C34" s="29"/>
      <c r="D34" s="29"/>
      <c r="E34" s="29"/>
      <c r="F34" s="29"/>
    </row>
  </sheetData>
  <mergeCells count="24">
    <mergeCell ref="A1:F1"/>
    <mergeCell ref="A3:F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  <mergeCell ref="A33:F33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2026-04-13T12:21:19Z</dcterms:created>
  <dc:creator>openpyxl</dc:creator>
  <dc:description/>
  <dc:language>en-US</dc:language>
  <cp:lastModifiedBy/>
  <dcterms:modified xsi:type="dcterms:W3CDTF">2026-04-13T12:21:19Z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