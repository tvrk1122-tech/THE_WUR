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Doctoral Student FTE" sheetId="2" state="visible" r:id="rId4"/>
    <sheet name="2. Bachelor Student FTE" sheetId="3" state="visible" r:id="rId5"/>
    <sheet name="3. Ratio Calculation" sheetId="4" state="visible" r:id="rId6"/>
    <sheet name="4. Dept-Level Ratios" sheetId="5" state="visible" r:id="rId7"/>
    <sheet name="5. YoY Trend" sheetId="6" state="visible" r:id="rId8"/>
    <sheet name="6. PhD Growth Plan" sheetId="7" state="visible" r:id="rId9"/>
    <sheet name="7. FTE Rules" sheetId="8" state="visible" r:id="rId10"/>
    <sheet name="8. Benchmarking" sheetId="9" state="visible" r:id="rId11"/>
    <sheet name="9. Risk Assessment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<sst xmlns="http://schemas.openxmlformats.org/spreadsheetml/2006/main" count="334" uniqueCount="261">
  <si>
    <t xml:space="preserve">THE World University Rankings — Teaching (29.5%) → Doctorate-to-Bachelor's Ratio (2%)</t>
  </si>
  <si>
    <t xml:space="preserve">Measures Research Intensity of the Student Body | Higher Ratio = Stronger Postgraduate Research Culture</t>
  </si>
  <si>
    <t xml:space="preserve">#</t>
  </si>
  <si>
    <t xml:space="preserve">Component</t>
  </si>
  <si>
    <t xml:space="preserve">Description &amp; Methodology</t>
  </si>
  <si>
    <t xml:space="preserve">Weight</t>
  </si>
  <si>
    <t xml:space="preserve">Doctorate-to-Bachelor's Ratio</t>
  </si>
  <si>
    <t xml:space="preserve">Ratio of doctoral (PhD) students to undergraduate (bachelor's) students at the institution. Computed as: PhD Student FTE ÷ Bachelor's Student FTE. A higher ratio signals a research-intensive institution where postgraduate research training is a significant part of the academic ecosystem. THE uses this as a proxy for the depth of the research environment within the teaching pillar.</t>
  </si>
  <si>
    <t xml:space="preserve">2% of WUR</t>
  </si>
  <si>
    <t xml:space="preserve">Doctoral Students (Numerator)</t>
  </si>
  <si>
    <t xml:space="preserve">Full-time equivalent count of students enrolled in doctoral / PhD programmes. Includes: full-time PhD students (1.0 FTE each), part-time PhD students (at proportional FTE, typically 0.5), and professional doctorate students (e.g., EdD, DBA, MD-PhD) if enrolled in a research-based doctoral programme. Excludes: MPhil students (unless registered for PhD conversion), postdoctoral researchers (they are staff, not students).</t>
  </si>
  <si>
    <t xml:space="preserve">Numerator</t>
  </si>
  <si>
    <t xml:space="preserve">Bachelor's Students (Denominator)</t>
  </si>
  <si>
    <t xml:space="preserve">Full-time equivalent count of students enrolled in bachelor's / undergraduate degree programmes. Includes: full-time UG (1.0 FTE), part-time UG (proportional FTE). Excludes: diploma students (sub-degree), certificate students, visiting/exchange students (&lt;1 semester), and non-degree audit students.</t>
  </si>
  <si>
    <t xml:space="preserve">Denominator</t>
  </si>
  <si>
    <t xml:space="preserve">Scoring Logic</t>
  </si>
  <si>
    <t xml:space="preserve">THE normalizes the raw ratio using z-scoring across all ranked universities. Higher ratio = higher z-score = better position. Research-intensive universities (e.g., Caltech, MIT, ETH Zurich) with large PhD cohorts relative to UG cohorts score highest. Teaching-focused universities with small PhD programmes relative to large UG enrolment score lower.</t>
  </si>
  <si>
    <t xml:space="preserve">Normalization</t>
  </si>
  <si>
    <t xml:space="preserve">Context: Teaching Pillar</t>
  </si>
  <si>
    <t xml:space="preserve">Teaching (29.5%) = Teaching Reputation (15%) + Staff-to-Student Ratio (4.5%) + Doctorates Awarded per Staff (5.5%) + Doctorate-to-Bachelor's Ratio (2%) + Institutional Income (2.5%). This indicator is rated 🟡 Moderate difficulty — gradually improves with improved postgraduate ecosystem (1–3 years).</t>
  </si>
  <si>
    <t xml:space="preserve">2% of 29.5%</t>
  </si>
  <si>
    <t xml:space="preserve">Improvement Strategies (from Strategic Roadmap)</t>
  </si>
  <si>
    <t xml:space="preserve">• Increase intake of PhD scholars — expand PhD admissions across departments.</t>
  </si>
  <si>
    <t xml:space="preserve">• Provide seed funding for PhD support (stipends, conference travel, lab access).</t>
  </si>
  <si>
    <t xml:space="preserve">• Strengthen supervisor training, doctoral review boards, and research labs.</t>
  </si>
  <si>
    <t xml:space="preserve">• Establish doctoral research grants and conference travel funding.</t>
  </si>
  <si>
    <t xml:space="preserve">• Set up Centres of Excellence (CoEs) in high-impact research areas to attract PhD students.</t>
  </si>
  <si>
    <t xml:space="preserve">• Build a postdoctoral fellowship programme feeding into PhD supervision capacity.</t>
  </si>
  <si>
    <t xml:space="preserve">• Improve PhD completion rates to demonstrate programme viability and attract more applicants.</t>
  </si>
  <si>
    <t xml:space="preserve">• Difficulty: 🟡 Moderate (1–3 years). Gradually improves with improved postgraduate ecosystem.</t>
  </si>
  <si>
    <t xml:space="preserve">Doctoral / PhD Student Enrolment — Full-Time Equivalent (FTE)</t>
  </si>
  <si>
    <t xml:space="preserve">All enrolled PhD students | Full-time at 1.0 FTE; part-time at proportional FTE | Includes professional doctorates</t>
  </si>
  <si>
    <t xml:space="preserve">S.No.</t>
  </si>
  <si>
    <t xml:space="preserve">University Name</t>
  </si>
  <si>
    <t xml:space="preserve">Country</t>
  </si>
  <si>
    <t xml:space="preserve">PhD Full-Time (Science/Engg)</t>
  </si>
  <si>
    <t xml:space="preserve">PhD Full-Time (Arts/Humanities/Social Sci)</t>
  </si>
  <si>
    <t xml:space="preserve">PhD Full-Time (Other Disciplines)</t>
  </si>
  <si>
    <t xml:space="preserve">PhD Part-Time (FTE equivalent)</t>
  </si>
  <si>
    <t xml:space="preserve">Professional Doctorates (EdD/DBA/MD-PhD) FTE</t>
  </si>
  <si>
    <t xml:space="preserve">Total Doctoral Student FTE</t>
  </si>
  <si>
    <t xml:space="preserve">Reporting Year</t>
  </si>
  <si>
    <t xml:space="preserve">Department-Level Doctoral Student Breakdown</t>
  </si>
  <si>
    <t xml:space="preserve">Department / School</t>
  </si>
  <si>
    <t xml:space="preserve">Faculty / College</t>
  </si>
  <si>
    <t xml:space="preserve">PhD FT (Current Year)</t>
  </si>
  <si>
    <t xml:space="preserve">PhD PT (FTE)</t>
  </si>
  <si>
    <t xml:space="preserve">Total PhD FTE</t>
  </si>
  <si>
    <t xml:space="preserve">New PhD Admissions (Year)</t>
  </si>
  <si>
    <t xml:space="preserve">PhD Completions (Year)</t>
  </si>
  <si>
    <t xml:space="preserve">Avg Time-to-Completion (Months)</t>
  </si>
  <si>
    <t xml:space="preserve">Bachelor's / Undergraduate Student Enrolment — Full-Time Equivalent (FTE)</t>
  </si>
  <si>
    <t xml:space="preserve">All enrolled bachelor's degree students | Full-time at 1.0 FTE; part-time at proportional FTE</t>
  </si>
  <si>
    <t xml:space="preserve">UG Full-Time (Science/Engg)</t>
  </si>
  <si>
    <t xml:space="preserve">UG Full-Time (Arts/Humanities/Social Sci)</t>
  </si>
  <si>
    <t xml:space="preserve">UG Full-Time (Other Disciplines)</t>
  </si>
  <si>
    <t xml:space="preserve">UG Part-Time (FTE equivalent)</t>
  </si>
  <si>
    <t xml:space="preserve">Total Bachelor's Student FTE</t>
  </si>
  <si>
    <t xml:space="preserve">Department-Level Bachelor's Student Breakdown</t>
  </si>
  <si>
    <t xml:space="preserve">UG FT (Current Year)</t>
  </si>
  <si>
    <t xml:space="preserve">UG PT (FTE)</t>
  </si>
  <si>
    <t xml:space="preserve">Total UG FTE</t>
  </si>
  <si>
    <t xml:space="preserve">New UG Admissions (Year)</t>
  </si>
  <si>
    <t xml:space="preserve">UG Graduations (Year)</t>
  </si>
  <si>
    <t xml:space="preserve">Doctorate-to-Bachelor's Ratio — Calculation &amp; Scoring</t>
  </si>
  <si>
    <t xml:space="preserve">Ratio = PhD Student FTE ÷ Bachelor's Student FTE | Higher ratio = better | Z-scored across all universities</t>
  </si>
  <si>
    <t xml:space="preserve">Doctoral Student FTE</t>
  </si>
  <si>
    <t xml:space="preserve">Bachelor's Student FTE</t>
  </si>
  <si>
    <t xml:space="preserve">Z-Score</t>
  </si>
  <si>
    <t xml:space="preserve">Normalized Score (0–100)</t>
  </si>
  <si>
    <t xml:space="preserve">Summary Statistics</t>
  </si>
  <si>
    <t xml:space="preserve">Average Ratio</t>
  </si>
  <si>
    <t xml:space="preserve">Highest Ratio (Best)</t>
  </si>
  <si>
    <t xml:space="preserve">Lowest Ratio</t>
  </si>
  <si>
    <t xml:space="preserve">Median Ratio</t>
  </si>
  <si>
    <t xml:space="preserve">Std Deviation</t>
  </si>
  <si>
    <t xml:space="preserve">Department-Level Doctorate-to-Bachelor's Ratios</t>
  </si>
  <si>
    <t xml:space="preserve">Identifies departments with strong/weak PhD-to-UG ratios | Prioritize PhD growth where ratio is lowest</t>
  </si>
  <si>
    <t xml:space="preserve">PhD FTE</t>
  </si>
  <si>
    <t xml:space="preserve">UG FTE</t>
  </si>
  <si>
    <t xml:space="preserve">PhD:UG Ratio</t>
  </si>
  <si>
    <t xml:space="preserve">Target Ratio</t>
  </si>
  <si>
    <t xml:space="preserve">Gap to Target</t>
  </si>
  <si>
    <t xml:space="preserve">Priority</t>
  </si>
  <si>
    <t xml:space="preserve">Doctorate-to-Bachelor's Ratio — 5-Year Trend Analysis</t>
  </si>
  <si>
    <t xml:space="preserve">Track ratio improvement | Demonstrates investment in doctoral ecosystem</t>
  </si>
  <si>
    <t xml:space="preserve">Year 1 Ratio</t>
  </si>
  <si>
    <t xml:space="preserve">Year 2</t>
  </si>
  <si>
    <t xml:space="preserve">Year 3</t>
  </si>
  <si>
    <t xml:space="preserve">Year 4</t>
  </si>
  <si>
    <t xml:space="preserve">Year 5 (Current)</t>
  </si>
  <si>
    <t xml:space="preserve">5-Year Change</t>
  </si>
  <si>
    <t xml:space="preserve">Improvement Rate (%)</t>
  </si>
  <si>
    <t xml:space="preserve">Trend</t>
  </si>
  <si>
    <t xml:space="preserve">PhD Enrolment Growth &amp; Doctoral Ecosystem Strengthening Plan</t>
  </si>
  <si>
    <t xml:space="preserve">Aligned with THE 3-Year Roadmap | Actions to increase PhD FTE and improve doctorate-to-bachelor's ratio</t>
  </si>
  <si>
    <t xml:space="preserve">Action Item</t>
  </si>
  <si>
    <t xml:space="preserve">Phase (1/2/3)</t>
  </si>
  <si>
    <t xml:space="preserve">Status (Done/IP/Planned)</t>
  </si>
  <si>
    <t xml:space="preserve">Target Date</t>
  </si>
  <si>
    <t xml:space="preserve">Remarks</t>
  </si>
  <si>
    <t xml:space="preserve">Increase PhD enrolment by 20–30% across departments</t>
  </si>
  <si>
    <t xml:space="preserve">1 (0–6mo)</t>
  </si>
  <si>
    <t xml:space="preserve">Provide seed funding for PhD stipends and conference travel</t>
  </si>
  <si>
    <t xml:space="preserve">Strengthen supervisor training and doctoral review boards</t>
  </si>
  <si>
    <t xml:space="preserve">Improve research lab infrastructure for PhD students</t>
  </si>
  <si>
    <t xml:space="preserve">Launch PhD admissions marketing targeting top master's graduates</t>
  </si>
  <si>
    <t xml:space="preserve">Establish 3 Centres of Excellence (CoEs) in high-impact areas</t>
  </si>
  <si>
    <t xml:space="preserve">2 (6–18mo)</t>
  </si>
  <si>
    <t xml:space="preserve">Build postdoctoral fellowship programme (feeds PhD supervision)</t>
  </si>
  <si>
    <t xml:space="preserve">Establish doctoral research grants and travel funding</t>
  </si>
  <si>
    <t xml:space="preserve">Create interdisciplinary PhD programmes to attract diverse candidates</t>
  </si>
  <si>
    <t xml:space="preserve">Partner with industry for co-funded PhD studentships</t>
  </si>
  <si>
    <t xml:space="preserve">Recruit international PhD students via scholarship schemes</t>
  </si>
  <si>
    <t xml:space="preserve">Set up joint / dual PhD programmes with international universities</t>
  </si>
  <si>
    <t xml:space="preserve">Grow PhD completions by 20–40% from Year 1 baseline</t>
  </si>
  <si>
    <t xml:space="preserve">3 (18–36mo)</t>
  </si>
  <si>
    <t xml:space="preserve">Develop world-class research labs and shared facilities for PhD work</t>
  </si>
  <si>
    <t xml:space="preserve">Target 8–12% international PhD students</t>
  </si>
  <si>
    <t xml:space="preserve">Embed PhD targets into departmental KPIs and faculty appraisal</t>
  </si>
  <si>
    <t xml:space="preserve">Progress Summary</t>
  </si>
  <si>
    <t xml:space="preserve">Actions Completed</t>
  </si>
  <si>
    <t xml:space="preserve">Actions In Progress</t>
  </si>
  <si>
    <t xml:space="preserve">Completion Rate (%)</t>
  </si>
  <si>
    <t xml:space="preserve">FTE Counting Rules — Doctoral &amp; Bachelor's Students per THE Definition</t>
  </si>
  <si>
    <t xml:space="preserve">Precise inclusions &amp; exclusions for THE-compliant student FTE counts</t>
  </si>
  <si>
    <t xml:space="preserve">Category</t>
  </si>
  <si>
    <t xml:space="preserve">Rule / Definition</t>
  </si>
  <si>
    <t xml:space="preserve">Include / Exclude</t>
  </si>
  <si>
    <t xml:space="preserve">Notes</t>
  </si>
  <si>
    <t xml:space="preserve">Doctoral</t>
  </si>
  <si>
    <t xml:space="preserve">Full-time PhD student</t>
  </si>
  <si>
    <t xml:space="preserve">Include</t>
  </si>
  <si>
    <t xml:space="preserve">Standard PhD enrolment</t>
  </si>
  <si>
    <t xml:space="preserve">Part-time PhD student</t>
  </si>
  <si>
    <t xml:space="preserve">Pro-rata based on registration</t>
  </si>
  <si>
    <t xml:space="preserve">Professional doctorate (EdD, DBA, MD-PhD)</t>
  </si>
  <si>
    <t xml:space="preserve">Must involve thesis/dissertation</t>
  </si>
  <si>
    <t xml:space="preserve">MPhil student (not converting to PhD)</t>
  </si>
  <si>
    <t xml:space="preserve">Exclude</t>
  </si>
  <si>
    <t xml:space="preserve">Not a doctoral degree</t>
  </si>
  <si>
    <t xml:space="preserve">MPhil converting to PhD (registered for PhD)</t>
  </si>
  <si>
    <t xml:space="preserve">Once PhD-registered</t>
  </si>
  <si>
    <t xml:space="preserve">Postdoctoral researcher</t>
  </si>
  <si>
    <t xml:space="preserve">Falls under staff FTE</t>
  </si>
  <si>
    <t xml:space="preserve">PhD student on leave of absence</t>
  </si>
  <si>
    <t xml:space="preserve">Not actively enrolled</t>
  </si>
  <si>
    <t xml:space="preserve">Visiting PhD from another institution</t>
  </si>
  <si>
    <t xml:space="preserve">Enrolled at home institution</t>
  </si>
  <si>
    <t xml:space="preserve">Bachelor's</t>
  </si>
  <si>
    <t xml:space="preserve">Full-time UG student (bachelor's degree)</t>
  </si>
  <si>
    <t xml:space="preserve">Standard UG enrolment</t>
  </si>
  <si>
    <t xml:space="preserve">Part-time UG student</t>
  </si>
  <si>
    <t xml:space="preserve">Pro-rata</t>
  </si>
  <si>
    <t xml:space="preserve">Integrated BS-MS / dual degree UG portion</t>
  </si>
  <si>
    <t xml:space="preserve">Split at transition point</t>
  </si>
  <si>
    <t xml:space="preserve">Diploma / sub-degree student</t>
  </si>
  <si>
    <t xml:space="preserve">Not bachelor's level</t>
  </si>
  <si>
    <t xml:space="preserve">Certificate / audit / non-degree student</t>
  </si>
  <si>
    <t xml:space="preserve">Not degree-seeking</t>
  </si>
  <si>
    <t xml:space="preserve">Short-term exchange student (&lt;1 semester)</t>
  </si>
  <si>
    <t xml:space="preserve">Temporary, non-degree</t>
  </si>
  <si>
    <t xml:space="preserve">Distance / online-only UG student</t>
  </si>
  <si>
    <t xml:space="preserve">Conditional</t>
  </si>
  <si>
    <t xml:space="preserve">May vary by cycle</t>
  </si>
  <si>
    <t xml:space="preserve">Benchmarking — Doctorate-to-Bachelor's Ratio</t>
  </si>
  <si>
    <t xml:space="preserve">Compare against peers, aspirational targets, and global top performers</t>
  </si>
  <si>
    <t xml:space="preserve">University / Benchmark</t>
  </si>
  <si>
    <t xml:space="preserve">Ratio</t>
  </si>
  <si>
    <t xml:space="preserve">Score (0–100)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</si>
  <si>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</si>
  <si>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</si>
  <si>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</si>
  <si>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</si>
  <si>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</si>
  <si>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</si>
  <si>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</si>
  <si>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</si>
  <si>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</si>
  <si>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Research-Intensive Benchmark</t>
  </si>
  <si>
    <t xml:space="preserve">~0.3–0.5 ratio</t>
  </si>
  <si>
    <t xml:space="preserve">Doctorate-to-Bachelor's Ratio — Risk Assessment &amp; Mitigation</t>
  </si>
  <si>
    <t xml:space="preserve">Risks specific to improving this ratio</t>
  </si>
  <si>
    <t xml:space="preserve">Risk</t>
  </si>
  <si>
    <t xml:space="preserve">Level</t>
  </si>
  <si>
    <t xml:space="preserve">Impact</t>
  </si>
  <si>
    <t xml:space="preserve">Mitigation</t>
  </si>
  <si>
    <t xml:space="preserve">Owner</t>
  </si>
  <si>
    <t xml:space="preserve">Insufficient PhD supervisors</t>
  </si>
  <si>
    <t xml:space="preserve">🟡 Medium</t>
  </si>
  <si>
    <t xml:space="preserve">Cannot grow PhD intake; ratio stagnates</t>
  </si>
  <si>
    <t xml:space="preserve">Recruit faculty with PhD supervision experience; mentor junior faculty</t>
  </si>
  <si>
    <t xml:space="preserve">PhD student attrition / dropout</t>
  </si>
  <si>
    <t xml:space="preserve">Enrolled FTE drops; completions fall; ratio worsens</t>
  </si>
  <si>
    <t xml:space="preserve">Stipends, mentoring, progress tracking, wellness support</t>
  </si>
  <si>
    <t xml:space="preserve">Rapid UG growth outpacing PhD</t>
  </si>
  <si>
    <t xml:space="preserve">Denominator grows faster than numerator; ratio drops</t>
  </si>
  <si>
    <t xml:space="preserve">Cap UG growth; proportionally grow PhD intake</t>
  </si>
  <si>
    <t xml:space="preserve">Weak research infrastructure for PhD</t>
  </si>
  <si>
    <t xml:space="preserve">Unattractive to PhD applicants; low intake</t>
  </si>
  <si>
    <t xml:space="preserve">Invest in labs, libraries, HPC, shared facilities</t>
  </si>
  <si>
    <t xml:space="preserve">Miscounting MPhil as PhD students</t>
  </si>
  <si>
    <t xml:space="preserve">🔴 High</t>
  </si>
  <si>
    <t xml:space="preserve">Inflated numerator; corrected during THE audit</t>
  </si>
  <si>
    <t xml:space="preserve">Strict registry classification; separate MPhil from PhD in database</t>
  </si>
  <si>
    <t xml:space="preserve">Counting postdocs as PhD students</t>
  </si>
  <si>
    <t xml:space="preserve">Inflated numerator; audit failure</t>
  </si>
  <si>
    <t xml:space="preserve">Postdocs classified under staff FTE, never student FTE</t>
  </si>
  <si>
    <t xml:space="preserve">Including diploma students in UG count</t>
  </si>
  <si>
    <t xml:space="preserve">Inflated denominator; ratio artificially depressed</t>
  </si>
  <si>
    <t xml:space="preserve">Exclude sub-degree students; verify registrar data</t>
  </si>
  <si>
    <t xml:space="preserve">Financial constraints for PhD stipends</t>
  </si>
  <si>
    <t xml:space="preserve">Low PhD intake due to funding gaps</t>
  </si>
  <si>
    <t xml:space="preserve">Government fellowships, industry co-funded PhDs, CSR funding</t>
  </si>
  <si>
    <t xml:space="preserve">Doctorate-to-Bachelor's Ratio — Data Quality &amp; Audit Checklist</t>
  </si>
  <si>
    <t xml:space="preserve">Validation checks for DBR data (2% of total WUR score)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</si>
  <si>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</si>
  <si>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</si>
  <si>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</si>
  <si>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</si>
  <si>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</si>
  <si>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Doctoral student FTE definition</t>
  </si>
  <si>
    <t xml:space="preserve">Only PhD / doctoral students counted; MPhil (non-converting), postdocs, and research assistants excluded</t>
  </si>
  <si>
    <t xml:space="preserve">Professional doctorate inclusion</t>
  </si>
  <si>
    <t xml:space="preserve">EdD, DBA, MD-PhD students included only if enrolled in research-based thesis programme</t>
  </si>
  <si>
    <t xml:space="preserve">PhD student on leave exclusion</t>
  </si>
  <si>
    <t xml:space="preserve">Students on approved leave of absence excluded from FTE count during leave period</t>
  </si>
  <si>
    <t xml:space="preserve">Part-time PhD FTE calculation</t>
  </si>
  <si>
    <t xml:space="preserve">Part-time PhD students at proportional FTE; method documented (e.g., 0.5 for half-time)</t>
  </si>
  <si>
    <t xml:space="preserve">Bachelor's student FTE definition</t>
  </si>
  <si>
    <t xml:space="preserve">Only bachelor's degree-seeking students counted; diploma, certificate, audit students excluded</t>
  </si>
  <si>
    <t xml:space="preserve">Integrated degree handling</t>
  </si>
  <si>
    <t xml:space="preserve">For BS-MS / dual degrees, only UG-phase years counted in bachelor's FTE</t>
  </si>
  <si>
    <t xml:space="preserve">Part-time UG FTE calculation</t>
  </si>
  <si>
    <t xml:space="preserve">Part-time UG students at proportional FTE; consistent methodology applied</t>
  </si>
  <si>
    <t xml:space="preserve">Distance / online student treatment</t>
  </si>
  <si>
    <t xml:space="preserve">Distance/online-only students included or excluded per current THE cycle guidelines</t>
  </si>
  <si>
    <t xml:space="preserve">Exchange student exclusion</t>
  </si>
  <si>
    <t xml:space="preserve">Short-term non-degree exchange students (&lt;1 semester) excluded from both numerator and denominator</t>
  </si>
  <si>
    <t xml:space="preserve">Registrar data cross-reference</t>
  </si>
  <si>
    <t xml:space="preserve">Both PhD and UG FTE verified against official registrar enrollment records</t>
  </si>
  <si>
    <t xml:space="preserve">Department-level reconciliation</t>
  </si>
  <si>
    <t xml:space="preserve">Sum of department-level FTEs equals university-level total for both PhD and UG</t>
  </si>
  <si>
    <t xml:space="preserve">Ratio calculation verification</t>
  </si>
  <si>
    <t xml:space="preserve">PhD FTE ÷ UG FTE verified independently by 2 reviewers; result matches portal submission</t>
  </si>
  <si>
    <t xml:space="preserve">Year-on-year consistency</t>
  </si>
  <si>
    <t xml:space="preserve">Current ratio compared with previous year; changes &gt;20% documented with explanation</t>
  </si>
  <si>
    <t xml:space="preserve">Z-score normalization check</t>
  </si>
  <si>
    <t xml:space="preserve">Higher ratio = higher z-score confirmed (direct scaling, not inverted)</t>
  </si>
  <si>
    <t xml:space="preserve">Outlier detection</t>
  </si>
  <si>
    <t xml:space="preserve">Universities with ratio &gt;3 SD from mean flagged for verification</t>
  </si>
  <si>
    <t xml:space="preserve">THE Portal field mapping</t>
  </si>
  <si>
    <t xml:space="preserve">PhD FTE and UG FTE correctly mapped to THE Portal submission fields</t>
  </si>
  <si>
    <t xml:space="preserve">Audit trail documentation</t>
  </si>
  <si>
    <t xml:space="preserve">Source enrolment reports archived for THE data audit queries</t>
  </si>
  <si>
    <t xml:space="preserve">Cross-check with doctoral-per-staff</t>
  </si>
  <si>
    <t xml:space="preserve">PhD FTE consistent between this ratio and the Doctorates Awarded per Staff (5.5%) indicator</t>
  </si>
  <si>
    <t xml:space="preserve">Postdoc misclassification check</t>
  </si>
  <si>
    <t xml:space="preserve">No postdoctoral researchers counted as PhD students; verified against HR records</t>
  </si>
  <si>
    <t xml:space="preserve">Reproducibility test</t>
  </si>
  <si>
    <t xml:space="preserve">Ratio independently reproducible from registrar records within ±2%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</si>
</sst>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8B0000"/>
      </patternFill>
    </fill>
    <fill>
      <patternFill patternType="solid">
        <fgColor rgb="FF3F51B5"/>
        <bgColor rgb="FF666699"/>
      </patternFill>
    </fill>
    <fill>
      <patternFill patternType="solid">
        <fgColor rgb="FFED7D31"/>
        <bgColor rgb="FFFF8080"/>
      </patternFill>
    </fill>
    <fill>
      <patternFill patternType="solid">
        <fgColor rgb="FF2F8F9D"/>
        <bgColor rgb="FF2E75B6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BF8F00"/>
        <bgColor rgb="FFED7D31"/>
      </patternFill>
    </fill>
    <fill>
      <patternFill patternType="solid">
        <fgColor rgb="FF8B0000"/>
        <bgColor rgb="FF800000"/>
      </patternFill>
    </fill>
    <fill>
      <patternFill patternType="solid">
        <fgColor rgb="FFFCE4D6"/>
        <bgColor rgb="FFFFF5D9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84.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84.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84.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84.7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84.75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1" customFormat="false" ht="25.5" hidden="false" customHeight="true" outlineLevel="0" collapsed="false">
      <c r="A11" s="12" t="s">
        <v>21</v>
      </c>
      <c r="B11" s="12"/>
      <c r="C11" s="12"/>
      <c r="D11" s="12"/>
    </row>
    <row r="12" customFormat="false" ht="15" hidden="false" customHeight="true" outlineLevel="0" collapsed="false">
      <c r="A12" s="13" t="s">
        <v>22</v>
      </c>
      <c r="B12" s="13"/>
      <c r="C12" s="13"/>
      <c r="D12" s="13"/>
    </row>
    <row r="13" customFormat="false" ht="15" hidden="false" customHeight="true" outlineLevel="0" collapsed="false">
      <c r="A13" s="13" t="s">
        <v>23</v>
      </c>
      <c r="B13" s="13"/>
      <c r="C13" s="13"/>
      <c r="D13" s="13"/>
    </row>
    <row r="14" customFormat="false" ht="15" hidden="false" customHeight="true" outlineLevel="0" collapsed="false">
      <c r="A14" s="13" t="s">
        <v>24</v>
      </c>
      <c r="B14" s="13"/>
      <c r="C14" s="13"/>
      <c r="D14" s="13"/>
    </row>
    <row r="15" customFormat="false" ht="15" hidden="false" customHeight="true" outlineLevel="0" collapsed="false">
      <c r="A15" s="13" t="s">
        <v>25</v>
      </c>
      <c r="B15" s="13"/>
      <c r="C15" s="13"/>
      <c r="D15" s="13"/>
    </row>
    <row r="16" customFormat="false" ht="15" hidden="false" customHeight="true" outlineLevel="0" collapsed="false">
      <c r="A16" s="13" t="s">
        <v>26</v>
      </c>
      <c r="B16" s="13"/>
      <c r="C16" s="13"/>
      <c r="D16" s="13"/>
    </row>
    <row r="17" customFormat="false" ht="15" hidden="false" customHeight="true" outlineLevel="0" collapsed="false">
      <c r="A17" s="13" t="s">
        <v>27</v>
      </c>
      <c r="B17" s="13"/>
      <c r="C17" s="13"/>
      <c r="D17" s="13"/>
    </row>
    <row r="18" customFormat="false" ht="15" hidden="false" customHeight="true" outlineLevel="0" collapsed="false">
      <c r="A18" s="13" t="s">
        <v>28</v>
      </c>
      <c r="B18" s="13"/>
      <c r="C18" s="13"/>
      <c r="D18" s="13"/>
    </row>
    <row r="19" customFormat="false" ht="15" hidden="false" customHeight="true" outlineLevel="0" collapsed="false">
      <c r="A19" s="13" t="s">
        <v>29</v>
      </c>
      <c r="B19" s="13"/>
      <c r="C19" s="13"/>
      <c r="D19" s="13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5.5" hidden="false" customHeight="true" outlineLevel="0" collapsed="false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46.25" hidden="false" customHeight="false" outlineLevel="0" collapsed="false">
      <c r="A3" s="16" t="s">
        <v>32</v>
      </c>
      <c r="B3" s="16" t="s">
        <v>33</v>
      </c>
      <c r="C3" s="16" t="s">
        <v>34</v>
      </c>
      <c r="D3" s="16" t="s">
        <v>35</v>
      </c>
      <c r="E3" s="16" t="s">
        <v>36</v>
      </c>
      <c r="F3" s="16" t="s">
        <v>37</v>
      </c>
      <c r="G3" s="16" t="s">
        <v>38</v>
      </c>
      <c r="H3" s="16" t="s">
        <v>39</v>
      </c>
      <c r="I3" s="16" t="s">
        <v>40</v>
      </c>
      <c r="J3" s="16" t="s">
        <v>41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8" t="n">
        <f aca="false">SUM(D4:H4)</f>
        <v>0</v>
      </c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4" t="n">
        <f aca="false">SUM(D5:H5)</f>
        <v>0</v>
      </c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8" t="n">
        <f aca="false">SUM(D6:H6)</f>
        <v>0</v>
      </c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4" t="n">
        <f aca="false">SUM(D7:H7)</f>
        <v>0</v>
      </c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8" t="n">
        <f aca="false">SUM(D8:H8)</f>
        <v>0</v>
      </c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4" t="n">
        <f aca="false">SUM(D9:H9)</f>
        <v>0</v>
      </c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8" t="n">
        <f aca="false">SUM(D10:H10)</f>
        <v>0</v>
      </c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4" t="n">
        <f aca="false">SUM(D11:H11)</f>
        <v>0</v>
      </c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8" t="n">
        <f aca="false">SUM(D12:H12)</f>
        <v>0</v>
      </c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4" t="n">
        <f aca="false">SUM(D13:H13)</f>
        <v>0</v>
      </c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8" t="n">
        <f aca="false">SUM(D14:H14)</f>
        <v>0</v>
      </c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4" t="n">
        <f aca="false">SUM(D15:H15)</f>
        <v>0</v>
      </c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8" t="n">
        <f aca="false">SUM(D16:H16)</f>
        <v>0</v>
      </c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4" t="n">
        <f aca="false">SUM(D17:H17)</f>
        <v>0</v>
      </c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8" t="n">
        <f aca="false">SUM(D18:H18)</f>
        <v>0</v>
      </c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4" t="n">
        <f aca="false">SUM(D19:H19)</f>
        <v>0</v>
      </c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8" t="n">
        <f aca="false">SUM(D20:H20)</f>
        <v>0</v>
      </c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4" t="n">
        <f aca="false">SUM(D21:H21)</f>
        <v>0</v>
      </c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8" t="n">
        <f aca="false">SUM(D22:H22)</f>
        <v>0</v>
      </c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4" t="n">
        <f aca="false">SUM(D23:H23)</f>
        <v>0</v>
      </c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8" t="n">
        <f aca="false">SUM(D24:H24)</f>
        <v>0</v>
      </c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4" t="n">
        <f aca="false">SUM(D25:H25)</f>
        <v>0</v>
      </c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8" t="n">
        <f aca="false">SUM(D26:H26)</f>
        <v>0</v>
      </c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4" t="n">
        <f aca="false">SUM(D27:H27)</f>
        <v>0</v>
      </c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8" t="n">
        <f aca="false">SUM(D28:H28)</f>
        <v>0</v>
      </c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4" t="n">
        <f aca="false">SUM(D29:H29)</f>
        <v>0</v>
      </c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8" t="n">
        <f aca="false">SUM(D30:H30)</f>
        <v>0</v>
      </c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4" t="n">
        <f aca="false">SUM(D31:H31)</f>
        <v>0</v>
      </c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8" t="n">
        <f aca="false">SUM(D32:H32)</f>
        <v>0</v>
      </c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4" t="n">
        <f aca="false">SUM(D33:H33)</f>
        <v>0</v>
      </c>
      <c r="J33" s="18"/>
    </row>
    <row r="35" customFormat="false" ht="25.5" hidden="false" customHeight="true" outlineLevel="0" collapsed="false">
      <c r="A35" s="19" t="s">
        <v>42</v>
      </c>
      <c r="B35" s="19"/>
      <c r="C35" s="19"/>
      <c r="D35" s="19"/>
      <c r="E35" s="19"/>
      <c r="F35" s="19"/>
      <c r="G35" s="19"/>
      <c r="H35" s="19"/>
      <c r="I35" s="19"/>
      <c r="J35" s="19"/>
    </row>
    <row r="36" customFormat="false" ht="35.05" hidden="false" customHeight="false" outlineLevel="0" collapsed="false">
      <c r="A36" s="20" t="s">
        <v>32</v>
      </c>
      <c r="B36" s="20" t="s">
        <v>43</v>
      </c>
      <c r="C36" s="20" t="s">
        <v>44</v>
      </c>
      <c r="D36" s="20" t="s">
        <v>45</v>
      </c>
      <c r="E36" s="20" t="s">
        <v>46</v>
      </c>
      <c r="F36" s="20" t="s">
        <v>47</v>
      </c>
      <c r="G36" s="20" t="s">
        <v>48</v>
      </c>
      <c r="H36" s="20" t="s">
        <v>49</v>
      </c>
      <c r="I36" s="20" t="s">
        <v>50</v>
      </c>
      <c r="J36" s="20" t="s">
        <v>33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7" t="n">
        <f aca="false">D37+E37</f>
        <v>0</v>
      </c>
      <c r="G37" s="18"/>
      <c r="H37" s="18"/>
      <c r="I37" s="18"/>
      <c r="J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1" t="n">
        <f aca="false">D38+E38</f>
        <v>0</v>
      </c>
      <c r="G38" s="17"/>
      <c r="H38" s="17"/>
      <c r="I38" s="17"/>
      <c r="J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7" t="n">
        <f aca="false">D39+E39</f>
        <v>0</v>
      </c>
      <c r="G39" s="18"/>
      <c r="H39" s="18"/>
      <c r="I39" s="18"/>
      <c r="J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1" t="n">
        <f aca="false">D40+E40</f>
        <v>0</v>
      </c>
      <c r="G40" s="17"/>
      <c r="H40" s="17"/>
      <c r="I40" s="17"/>
      <c r="J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7" t="n">
        <f aca="false">D41+E41</f>
        <v>0</v>
      </c>
      <c r="G41" s="18"/>
      <c r="H41" s="18"/>
      <c r="I41" s="18"/>
      <c r="J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1" t="n">
        <f aca="false">D42+E42</f>
        <v>0</v>
      </c>
      <c r="G42" s="17"/>
      <c r="H42" s="17"/>
      <c r="I42" s="17"/>
      <c r="J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7" t="n">
        <f aca="false">D43+E43</f>
        <v>0</v>
      </c>
      <c r="G43" s="18"/>
      <c r="H43" s="18"/>
      <c r="I43" s="18"/>
      <c r="J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1" t="n">
        <f aca="false">D44+E44</f>
        <v>0</v>
      </c>
      <c r="G44" s="17"/>
      <c r="H44" s="17"/>
      <c r="I44" s="17"/>
      <c r="J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7" t="n">
        <f aca="false">D45+E45</f>
        <v>0</v>
      </c>
      <c r="G45" s="18"/>
      <c r="H45" s="18"/>
      <c r="I45" s="18"/>
      <c r="J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1" t="n">
        <f aca="false">D46+E46</f>
        <v>0</v>
      </c>
      <c r="G46" s="17"/>
      <c r="H46" s="17"/>
      <c r="I46" s="17"/>
      <c r="J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7" t="n">
        <f aca="false">D47+E47</f>
        <v>0</v>
      </c>
      <c r="G47" s="18"/>
      <c r="H47" s="18"/>
      <c r="I47" s="18"/>
      <c r="J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1" t="n">
        <f aca="false">D48+E48</f>
        <v>0</v>
      </c>
      <c r="G48" s="17"/>
      <c r="H48" s="17"/>
      <c r="I48" s="17"/>
      <c r="J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7" t="n">
        <f aca="false">D49+E49</f>
        <v>0</v>
      </c>
      <c r="G49" s="18"/>
      <c r="H49" s="18"/>
      <c r="I49" s="18"/>
      <c r="J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1" t="n">
        <f aca="false">D50+E50</f>
        <v>0</v>
      </c>
      <c r="G50" s="17"/>
      <c r="H50" s="17"/>
      <c r="I50" s="17"/>
      <c r="J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7" t="n">
        <f aca="false">D51+E51</f>
        <v>0</v>
      </c>
      <c r="G51" s="18"/>
      <c r="H51" s="18"/>
      <c r="I51" s="18"/>
      <c r="J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1" t="n">
        <f aca="false">D52+E52</f>
        <v>0</v>
      </c>
      <c r="G52" s="17"/>
      <c r="H52" s="17"/>
      <c r="I52" s="17"/>
      <c r="J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7" t="n">
        <f aca="false">D53+E53</f>
        <v>0</v>
      </c>
      <c r="G53" s="18"/>
      <c r="H53" s="18"/>
      <c r="I53" s="18"/>
      <c r="J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1" t="n">
        <f aca="false">D54+E54</f>
        <v>0</v>
      </c>
      <c r="G54" s="17"/>
      <c r="H54" s="17"/>
      <c r="I54" s="17"/>
      <c r="J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7" t="n">
        <f aca="false">D55+E55</f>
        <v>0</v>
      </c>
      <c r="G55" s="18"/>
      <c r="H55" s="18"/>
      <c r="I55" s="18"/>
      <c r="J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1" t="n">
        <f aca="false">D56+E56</f>
        <v>0</v>
      </c>
      <c r="G56" s="17"/>
      <c r="H56" s="17"/>
      <c r="I56" s="17"/>
      <c r="J56" s="17"/>
    </row>
    <row r="57" customFormat="false" ht="15" hidden="false" customHeight="false" outlineLevel="0" collapsed="false">
      <c r="A57" s="4" t="n">
        <v>21</v>
      </c>
      <c r="B57" s="18"/>
      <c r="C57" s="18"/>
      <c r="D57" s="18"/>
      <c r="E57" s="18"/>
      <c r="F57" s="7" t="n">
        <f aca="false">D57+E57</f>
        <v>0</v>
      </c>
      <c r="G57" s="18"/>
      <c r="H57" s="18"/>
      <c r="I57" s="18"/>
      <c r="J57" s="18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1" t="n">
        <f aca="false">D58+E58</f>
        <v>0</v>
      </c>
      <c r="G58" s="17"/>
      <c r="H58" s="17"/>
      <c r="I58" s="17"/>
      <c r="J58" s="17"/>
    </row>
    <row r="59" customFormat="false" ht="15" hidden="false" customHeight="false" outlineLevel="0" collapsed="false">
      <c r="A59" s="4" t="n">
        <v>23</v>
      </c>
      <c r="B59" s="18"/>
      <c r="C59" s="18"/>
      <c r="D59" s="18"/>
      <c r="E59" s="18"/>
      <c r="F59" s="7" t="n">
        <f aca="false">D59+E59</f>
        <v>0</v>
      </c>
      <c r="G59" s="18"/>
      <c r="H59" s="18"/>
      <c r="I59" s="18"/>
      <c r="J59" s="18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1" t="n">
        <f aca="false">D60+E60</f>
        <v>0</v>
      </c>
      <c r="G60" s="17"/>
      <c r="H60" s="17"/>
      <c r="I60" s="17"/>
      <c r="J60" s="17"/>
    </row>
    <row r="61" customFormat="false" ht="15" hidden="false" customHeight="false" outlineLevel="0" collapsed="false">
      <c r="A61" s="4" t="n">
        <v>25</v>
      </c>
      <c r="B61" s="18"/>
      <c r="C61" s="18"/>
      <c r="D61" s="18"/>
      <c r="E61" s="18"/>
      <c r="F61" s="7" t="n">
        <f aca="false">D61+E61</f>
        <v>0</v>
      </c>
      <c r="G61" s="18"/>
      <c r="H61" s="18"/>
      <c r="I61" s="18"/>
      <c r="J61" s="18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1" t="n">
        <f aca="false">D62+E62</f>
        <v>0</v>
      </c>
      <c r="G62" s="17"/>
      <c r="H62" s="17"/>
      <c r="I62" s="17"/>
      <c r="J62" s="17"/>
    </row>
    <row r="63" customFormat="false" ht="15" hidden="false" customHeight="false" outlineLevel="0" collapsed="false">
      <c r="A63" s="4" t="n">
        <v>27</v>
      </c>
      <c r="B63" s="18"/>
      <c r="C63" s="18"/>
      <c r="D63" s="18"/>
      <c r="E63" s="18"/>
      <c r="F63" s="7" t="n">
        <f aca="false">D63+E63</f>
        <v>0</v>
      </c>
      <c r="G63" s="18"/>
      <c r="H63" s="18"/>
      <c r="I63" s="18"/>
      <c r="J63" s="18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1" t="n">
        <f aca="false">D64+E64</f>
        <v>0</v>
      </c>
      <c r="G64" s="17"/>
      <c r="H64" s="17"/>
      <c r="I64" s="17"/>
      <c r="J64" s="17"/>
    </row>
    <row r="65" customFormat="false" ht="15" hidden="false" customHeight="false" outlineLevel="0" collapsed="false">
      <c r="A65" s="4" t="n">
        <v>29</v>
      </c>
      <c r="B65" s="18"/>
      <c r="C65" s="18"/>
      <c r="D65" s="18"/>
      <c r="E65" s="18"/>
      <c r="F65" s="7" t="n">
        <f aca="false">D65+E65</f>
        <v>0</v>
      </c>
      <c r="G65" s="18"/>
      <c r="H65" s="18"/>
      <c r="I65" s="18"/>
      <c r="J65" s="18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1" t="n">
        <f aca="false">D66+E66</f>
        <v>0</v>
      </c>
      <c r="G66" s="17"/>
      <c r="H66" s="17"/>
      <c r="I66" s="17"/>
      <c r="J66" s="17"/>
    </row>
    <row r="67" customFormat="false" ht="15" hidden="false" customHeight="false" outlineLevel="0" collapsed="false">
      <c r="A67" s="4" t="n">
        <v>31</v>
      </c>
      <c r="B67" s="18"/>
      <c r="C67" s="18"/>
      <c r="D67" s="18"/>
      <c r="E67" s="18"/>
      <c r="F67" s="7" t="n">
        <f aca="false">D67+E67</f>
        <v>0</v>
      </c>
      <c r="G67" s="18"/>
      <c r="H67" s="18"/>
      <c r="I67" s="18"/>
      <c r="J67" s="18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1" t="n">
        <f aca="false">D68+E68</f>
        <v>0</v>
      </c>
      <c r="G68" s="17"/>
      <c r="H68" s="17"/>
      <c r="I68" s="17"/>
      <c r="J68" s="17"/>
    </row>
    <row r="69" customFormat="false" ht="15" hidden="false" customHeight="false" outlineLevel="0" collapsed="false">
      <c r="A69" s="4" t="n">
        <v>33</v>
      </c>
      <c r="B69" s="18"/>
      <c r="C69" s="18"/>
      <c r="D69" s="18"/>
      <c r="E69" s="18"/>
      <c r="F69" s="7" t="n">
        <f aca="false">D69+E69</f>
        <v>0</v>
      </c>
      <c r="G69" s="18"/>
      <c r="H69" s="18"/>
      <c r="I69" s="18"/>
      <c r="J69" s="18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1" t="n">
        <f aca="false">D70+E70</f>
        <v>0</v>
      </c>
      <c r="G70" s="17"/>
      <c r="H70" s="17"/>
      <c r="I70" s="17"/>
      <c r="J70" s="17"/>
    </row>
    <row r="71" customFormat="false" ht="15" hidden="false" customHeight="false" outlineLevel="0" collapsed="false">
      <c r="A71" s="4" t="n">
        <v>35</v>
      </c>
      <c r="B71" s="18"/>
      <c r="C71" s="18"/>
      <c r="D71" s="18"/>
      <c r="E71" s="18"/>
      <c r="F71" s="7" t="n">
        <f aca="false">D71+E71</f>
        <v>0</v>
      </c>
      <c r="G71" s="18"/>
      <c r="H71" s="18"/>
      <c r="I71" s="18"/>
      <c r="J71" s="18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1" t="n">
        <f aca="false">D72+E72</f>
        <v>0</v>
      </c>
      <c r="G72" s="17"/>
      <c r="H72" s="17"/>
      <c r="I72" s="17"/>
      <c r="J72" s="17"/>
    </row>
    <row r="73" customFormat="false" ht="15" hidden="false" customHeight="false" outlineLevel="0" collapsed="false">
      <c r="A73" s="4" t="n">
        <v>37</v>
      </c>
      <c r="B73" s="18"/>
      <c r="C73" s="18"/>
      <c r="D73" s="18"/>
      <c r="E73" s="18"/>
      <c r="F73" s="7" t="n">
        <f aca="false">D73+E73</f>
        <v>0</v>
      </c>
      <c r="G73" s="18"/>
      <c r="H73" s="18"/>
      <c r="I73" s="18"/>
      <c r="J73" s="18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1" t="n">
        <f aca="false">D74+E74</f>
        <v>0</v>
      </c>
      <c r="G74" s="17"/>
      <c r="H74" s="17"/>
      <c r="I74" s="17"/>
      <c r="J74" s="17"/>
    </row>
    <row r="75" customFormat="false" ht="15" hidden="false" customHeight="false" outlineLevel="0" collapsed="false">
      <c r="A75" s="4" t="n">
        <v>39</v>
      </c>
      <c r="B75" s="18"/>
      <c r="C75" s="18"/>
      <c r="D75" s="18"/>
      <c r="E75" s="18"/>
      <c r="F75" s="7" t="n">
        <f aca="false">D75+E75</f>
        <v>0</v>
      </c>
      <c r="G75" s="18"/>
      <c r="H75" s="18"/>
      <c r="I75" s="18"/>
      <c r="J75" s="18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1" t="n">
        <f aca="false">D76+E76</f>
        <v>0</v>
      </c>
      <c r="G76" s="17"/>
      <c r="H76" s="17"/>
      <c r="I76" s="17"/>
      <c r="J76" s="17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1" t="s">
        <v>51</v>
      </c>
      <c r="B1" s="21"/>
      <c r="C1" s="21"/>
      <c r="D1" s="21"/>
      <c r="E1" s="21"/>
      <c r="F1" s="21"/>
      <c r="G1" s="21"/>
      <c r="H1" s="21"/>
      <c r="I1" s="21"/>
    </row>
    <row r="2" customFormat="false" ht="25.5" hidden="false" customHeight="true" outlineLevel="0" collapsed="false">
      <c r="A2" s="22" t="s">
        <v>52</v>
      </c>
      <c r="B2" s="22"/>
      <c r="C2" s="22"/>
      <c r="D2" s="22"/>
      <c r="E2" s="22"/>
      <c r="F2" s="22"/>
      <c r="G2" s="22"/>
      <c r="H2" s="22"/>
      <c r="I2" s="22"/>
    </row>
    <row r="3" customFormat="false" ht="35.05" hidden="false" customHeight="false" outlineLevel="0" collapsed="false">
      <c r="A3" s="23" t="s">
        <v>32</v>
      </c>
      <c r="B3" s="23" t="s">
        <v>33</v>
      </c>
      <c r="C3" s="23" t="s">
        <v>34</v>
      </c>
      <c r="D3" s="23" t="s">
        <v>53</v>
      </c>
      <c r="E3" s="23" t="s">
        <v>54</v>
      </c>
      <c r="F3" s="23" t="s">
        <v>55</v>
      </c>
      <c r="G3" s="23" t="s">
        <v>56</v>
      </c>
      <c r="H3" s="23" t="s">
        <v>57</v>
      </c>
      <c r="I3" s="23" t="s">
        <v>41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8" t="n">
        <f aca="false">SUM(D4:G4)</f>
        <v>0</v>
      </c>
      <c r="I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4" t="n">
        <f aca="false">SUM(D5:G5)</f>
        <v>0</v>
      </c>
      <c r="I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8" t="n">
        <f aca="false">SUM(D6:G6)</f>
        <v>0</v>
      </c>
      <c r="I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4" t="n">
        <f aca="false">SUM(D7:G7)</f>
        <v>0</v>
      </c>
      <c r="I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8" t="n">
        <f aca="false">SUM(D8:G8)</f>
        <v>0</v>
      </c>
      <c r="I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4" t="n">
        <f aca="false">SUM(D9:G9)</f>
        <v>0</v>
      </c>
      <c r="I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8" t="n">
        <f aca="false">SUM(D10:G10)</f>
        <v>0</v>
      </c>
      <c r="I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4" t="n">
        <f aca="false">SUM(D11:G11)</f>
        <v>0</v>
      </c>
      <c r="I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8" t="n">
        <f aca="false">SUM(D12:G12)</f>
        <v>0</v>
      </c>
      <c r="I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4" t="n">
        <f aca="false">SUM(D13:G13)</f>
        <v>0</v>
      </c>
      <c r="I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8" t="n">
        <f aca="false">SUM(D14:G14)</f>
        <v>0</v>
      </c>
      <c r="I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4" t="n">
        <f aca="false">SUM(D15:G15)</f>
        <v>0</v>
      </c>
      <c r="I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8" t="n">
        <f aca="false">SUM(D16:G16)</f>
        <v>0</v>
      </c>
      <c r="I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4" t="n">
        <f aca="false">SUM(D17:G17)</f>
        <v>0</v>
      </c>
      <c r="I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8" t="n">
        <f aca="false">SUM(D18:G18)</f>
        <v>0</v>
      </c>
      <c r="I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4" t="n">
        <f aca="false">SUM(D19:G19)</f>
        <v>0</v>
      </c>
      <c r="I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8" t="n">
        <f aca="false">SUM(D20:G20)</f>
        <v>0</v>
      </c>
      <c r="I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4" t="n">
        <f aca="false">SUM(D21:G21)</f>
        <v>0</v>
      </c>
      <c r="I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8" t="n">
        <f aca="false">SUM(D22:G22)</f>
        <v>0</v>
      </c>
      <c r="I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4" t="n">
        <f aca="false">SUM(D23:G23)</f>
        <v>0</v>
      </c>
      <c r="I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8" t="n">
        <f aca="false">SUM(D24:G24)</f>
        <v>0</v>
      </c>
      <c r="I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4" t="n">
        <f aca="false">SUM(D25:G25)</f>
        <v>0</v>
      </c>
      <c r="I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8" t="n">
        <f aca="false">SUM(D26:G26)</f>
        <v>0</v>
      </c>
      <c r="I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4" t="n">
        <f aca="false">SUM(D27:G27)</f>
        <v>0</v>
      </c>
      <c r="I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8" t="n">
        <f aca="false">SUM(D28:G28)</f>
        <v>0</v>
      </c>
      <c r="I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4" t="n">
        <f aca="false">SUM(D29:G29)</f>
        <v>0</v>
      </c>
      <c r="I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8" t="n">
        <f aca="false">SUM(D30:G30)</f>
        <v>0</v>
      </c>
      <c r="I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4" t="n">
        <f aca="false">SUM(D31:G31)</f>
        <v>0</v>
      </c>
      <c r="I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8" t="n">
        <f aca="false">SUM(D32:G32)</f>
        <v>0</v>
      </c>
      <c r="I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4" t="n">
        <f aca="false">SUM(D33:G33)</f>
        <v>0</v>
      </c>
      <c r="I33" s="18"/>
    </row>
    <row r="35" customFormat="false" ht="25.5" hidden="false" customHeight="true" outlineLevel="0" collapsed="false">
      <c r="A35" s="24" t="s">
        <v>58</v>
      </c>
      <c r="B35" s="24"/>
      <c r="C35" s="24"/>
      <c r="D35" s="24"/>
      <c r="E35" s="24"/>
      <c r="F35" s="24"/>
      <c r="G35" s="24"/>
      <c r="H35" s="24"/>
      <c r="I35" s="24"/>
    </row>
    <row r="36" customFormat="false" ht="23.85" hidden="false" customHeight="false" outlineLevel="0" collapsed="false">
      <c r="A36" s="25" t="s">
        <v>32</v>
      </c>
      <c r="B36" s="25" t="s">
        <v>43</v>
      </c>
      <c r="C36" s="25" t="s">
        <v>44</v>
      </c>
      <c r="D36" s="25" t="s">
        <v>59</v>
      </c>
      <c r="E36" s="25" t="s">
        <v>60</v>
      </c>
      <c r="F36" s="25" t="s">
        <v>61</v>
      </c>
      <c r="G36" s="25" t="s">
        <v>62</v>
      </c>
      <c r="H36" s="25" t="s">
        <v>63</v>
      </c>
      <c r="I36" s="25" t="s">
        <v>33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7" t="n">
        <f aca="false">D37+E37</f>
        <v>0</v>
      </c>
      <c r="G37" s="18"/>
      <c r="H37" s="18"/>
      <c r="I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1" t="n">
        <f aca="false">D38+E38</f>
        <v>0</v>
      </c>
      <c r="G38" s="17"/>
      <c r="H38" s="17"/>
      <c r="I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7" t="n">
        <f aca="false">D39+E39</f>
        <v>0</v>
      </c>
      <c r="G39" s="18"/>
      <c r="H39" s="18"/>
      <c r="I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1" t="n">
        <f aca="false">D40+E40</f>
        <v>0</v>
      </c>
      <c r="G40" s="17"/>
      <c r="H40" s="17"/>
      <c r="I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7" t="n">
        <f aca="false">D41+E41</f>
        <v>0</v>
      </c>
      <c r="G41" s="18"/>
      <c r="H41" s="18"/>
      <c r="I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1" t="n">
        <f aca="false">D42+E42</f>
        <v>0</v>
      </c>
      <c r="G42" s="17"/>
      <c r="H42" s="17"/>
      <c r="I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7" t="n">
        <f aca="false">D43+E43</f>
        <v>0</v>
      </c>
      <c r="G43" s="18"/>
      <c r="H43" s="18"/>
      <c r="I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1" t="n">
        <f aca="false">D44+E44</f>
        <v>0</v>
      </c>
      <c r="G44" s="17"/>
      <c r="H44" s="17"/>
      <c r="I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7" t="n">
        <f aca="false">D45+E45</f>
        <v>0</v>
      </c>
      <c r="G45" s="18"/>
      <c r="H45" s="18"/>
      <c r="I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1" t="n">
        <f aca="false">D46+E46</f>
        <v>0</v>
      </c>
      <c r="G46" s="17"/>
      <c r="H46" s="17"/>
      <c r="I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7" t="n">
        <f aca="false">D47+E47</f>
        <v>0</v>
      </c>
      <c r="G47" s="18"/>
      <c r="H47" s="18"/>
      <c r="I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1" t="n">
        <f aca="false">D48+E48</f>
        <v>0</v>
      </c>
      <c r="G48" s="17"/>
      <c r="H48" s="17"/>
      <c r="I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7" t="n">
        <f aca="false">D49+E49</f>
        <v>0</v>
      </c>
      <c r="G49" s="18"/>
      <c r="H49" s="18"/>
      <c r="I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1" t="n">
        <f aca="false">D50+E50</f>
        <v>0</v>
      </c>
      <c r="G50" s="17"/>
      <c r="H50" s="17"/>
      <c r="I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7" t="n">
        <f aca="false">D51+E51</f>
        <v>0</v>
      </c>
      <c r="G51" s="18"/>
      <c r="H51" s="18"/>
      <c r="I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1" t="n">
        <f aca="false">D52+E52</f>
        <v>0</v>
      </c>
      <c r="G52" s="17"/>
      <c r="H52" s="17"/>
      <c r="I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7" t="n">
        <f aca="false">D53+E53</f>
        <v>0</v>
      </c>
      <c r="G53" s="18"/>
      <c r="H53" s="18"/>
      <c r="I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1" t="n">
        <f aca="false">D54+E54</f>
        <v>0</v>
      </c>
      <c r="G54" s="17"/>
      <c r="H54" s="17"/>
      <c r="I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7" t="n">
        <f aca="false">D55+E55</f>
        <v>0</v>
      </c>
      <c r="G55" s="18"/>
      <c r="H55" s="18"/>
      <c r="I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1" t="n">
        <f aca="false">D56+E56</f>
        <v>0</v>
      </c>
      <c r="G56" s="17"/>
      <c r="H56" s="17"/>
      <c r="I56" s="17"/>
    </row>
    <row r="57" customFormat="false" ht="15" hidden="false" customHeight="false" outlineLevel="0" collapsed="false">
      <c r="A57" s="4" t="n">
        <v>21</v>
      </c>
      <c r="B57" s="18"/>
      <c r="C57" s="18"/>
      <c r="D57" s="18"/>
      <c r="E57" s="18"/>
      <c r="F57" s="7" t="n">
        <f aca="false">D57+E57</f>
        <v>0</v>
      </c>
      <c r="G57" s="18"/>
      <c r="H57" s="18"/>
      <c r="I57" s="18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1" t="n">
        <f aca="false">D58+E58</f>
        <v>0</v>
      </c>
      <c r="G58" s="17"/>
      <c r="H58" s="17"/>
      <c r="I58" s="17"/>
    </row>
    <row r="59" customFormat="false" ht="15" hidden="false" customHeight="false" outlineLevel="0" collapsed="false">
      <c r="A59" s="4" t="n">
        <v>23</v>
      </c>
      <c r="B59" s="18"/>
      <c r="C59" s="18"/>
      <c r="D59" s="18"/>
      <c r="E59" s="18"/>
      <c r="F59" s="7" t="n">
        <f aca="false">D59+E59</f>
        <v>0</v>
      </c>
      <c r="G59" s="18"/>
      <c r="H59" s="18"/>
      <c r="I59" s="18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1" t="n">
        <f aca="false">D60+E60</f>
        <v>0</v>
      </c>
      <c r="G60" s="17"/>
      <c r="H60" s="17"/>
      <c r="I60" s="17"/>
    </row>
    <row r="61" customFormat="false" ht="15" hidden="false" customHeight="false" outlineLevel="0" collapsed="false">
      <c r="A61" s="4" t="n">
        <v>25</v>
      </c>
      <c r="B61" s="18"/>
      <c r="C61" s="18"/>
      <c r="D61" s="18"/>
      <c r="E61" s="18"/>
      <c r="F61" s="7" t="n">
        <f aca="false">D61+E61</f>
        <v>0</v>
      </c>
      <c r="G61" s="18"/>
      <c r="H61" s="18"/>
      <c r="I61" s="18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1" t="n">
        <f aca="false">D62+E62</f>
        <v>0</v>
      </c>
      <c r="G62" s="17"/>
      <c r="H62" s="17"/>
      <c r="I62" s="17"/>
    </row>
    <row r="63" customFormat="false" ht="15" hidden="false" customHeight="false" outlineLevel="0" collapsed="false">
      <c r="A63" s="4" t="n">
        <v>27</v>
      </c>
      <c r="B63" s="18"/>
      <c r="C63" s="18"/>
      <c r="D63" s="18"/>
      <c r="E63" s="18"/>
      <c r="F63" s="7" t="n">
        <f aca="false">D63+E63</f>
        <v>0</v>
      </c>
      <c r="G63" s="18"/>
      <c r="H63" s="18"/>
      <c r="I63" s="18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1" t="n">
        <f aca="false">D64+E64</f>
        <v>0</v>
      </c>
      <c r="G64" s="17"/>
      <c r="H64" s="17"/>
      <c r="I64" s="17"/>
    </row>
    <row r="65" customFormat="false" ht="15" hidden="false" customHeight="false" outlineLevel="0" collapsed="false">
      <c r="A65" s="4" t="n">
        <v>29</v>
      </c>
      <c r="B65" s="18"/>
      <c r="C65" s="18"/>
      <c r="D65" s="18"/>
      <c r="E65" s="18"/>
      <c r="F65" s="7" t="n">
        <f aca="false">D65+E65</f>
        <v>0</v>
      </c>
      <c r="G65" s="18"/>
      <c r="H65" s="18"/>
      <c r="I65" s="18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1" t="n">
        <f aca="false">D66+E66</f>
        <v>0</v>
      </c>
      <c r="G66" s="17"/>
      <c r="H66" s="17"/>
      <c r="I66" s="17"/>
    </row>
    <row r="67" customFormat="false" ht="15" hidden="false" customHeight="false" outlineLevel="0" collapsed="false">
      <c r="A67" s="4" t="n">
        <v>31</v>
      </c>
      <c r="B67" s="18"/>
      <c r="C67" s="18"/>
      <c r="D67" s="18"/>
      <c r="E67" s="18"/>
      <c r="F67" s="7" t="n">
        <f aca="false">D67+E67</f>
        <v>0</v>
      </c>
      <c r="G67" s="18"/>
      <c r="H67" s="18"/>
      <c r="I67" s="18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1" t="n">
        <f aca="false">D68+E68</f>
        <v>0</v>
      </c>
      <c r="G68" s="17"/>
      <c r="H68" s="17"/>
      <c r="I68" s="17"/>
    </row>
    <row r="69" customFormat="false" ht="15" hidden="false" customHeight="false" outlineLevel="0" collapsed="false">
      <c r="A69" s="4" t="n">
        <v>33</v>
      </c>
      <c r="B69" s="18"/>
      <c r="C69" s="18"/>
      <c r="D69" s="18"/>
      <c r="E69" s="18"/>
      <c r="F69" s="7" t="n">
        <f aca="false">D69+E69</f>
        <v>0</v>
      </c>
      <c r="G69" s="18"/>
      <c r="H69" s="18"/>
      <c r="I69" s="18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1" t="n">
        <f aca="false">D70+E70</f>
        <v>0</v>
      </c>
      <c r="G70" s="17"/>
      <c r="H70" s="17"/>
      <c r="I70" s="17"/>
    </row>
    <row r="71" customFormat="false" ht="15" hidden="false" customHeight="false" outlineLevel="0" collapsed="false">
      <c r="A71" s="4" t="n">
        <v>35</v>
      </c>
      <c r="B71" s="18"/>
      <c r="C71" s="18"/>
      <c r="D71" s="18"/>
      <c r="E71" s="18"/>
      <c r="F71" s="7" t="n">
        <f aca="false">D71+E71</f>
        <v>0</v>
      </c>
      <c r="G71" s="18"/>
      <c r="H71" s="18"/>
      <c r="I71" s="18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1" t="n">
        <f aca="false">D72+E72</f>
        <v>0</v>
      </c>
      <c r="G72" s="17"/>
      <c r="H72" s="17"/>
      <c r="I72" s="17"/>
    </row>
    <row r="73" customFormat="false" ht="15" hidden="false" customHeight="false" outlineLevel="0" collapsed="false">
      <c r="A73" s="4" t="n">
        <v>37</v>
      </c>
      <c r="B73" s="18"/>
      <c r="C73" s="18"/>
      <c r="D73" s="18"/>
      <c r="E73" s="18"/>
      <c r="F73" s="7" t="n">
        <f aca="false">D73+E73</f>
        <v>0</v>
      </c>
      <c r="G73" s="18"/>
      <c r="H73" s="18"/>
      <c r="I73" s="18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1" t="n">
        <f aca="false">D74+E74</f>
        <v>0</v>
      </c>
      <c r="G74" s="17"/>
      <c r="H74" s="17"/>
      <c r="I74" s="17"/>
    </row>
    <row r="75" customFormat="false" ht="15" hidden="false" customHeight="false" outlineLevel="0" collapsed="false">
      <c r="A75" s="4" t="n">
        <v>39</v>
      </c>
      <c r="B75" s="18"/>
      <c r="C75" s="18"/>
      <c r="D75" s="18"/>
      <c r="E75" s="18"/>
      <c r="F75" s="7" t="n">
        <f aca="false">D75+E75</f>
        <v>0</v>
      </c>
      <c r="G75" s="18"/>
      <c r="H75" s="18"/>
      <c r="I75" s="18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1" t="n">
        <f aca="false">D76+E76</f>
        <v>0</v>
      </c>
      <c r="G76" s="17"/>
      <c r="H76" s="17"/>
      <c r="I76" s="17"/>
    </row>
  </sheetData>
  <mergeCells count="3">
    <mergeCell ref="A1:I1"/>
    <mergeCell ref="A2:I2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">
        <v>64</v>
      </c>
      <c r="B1" s="26"/>
      <c r="C1" s="26"/>
      <c r="D1" s="26"/>
      <c r="E1" s="26"/>
      <c r="F1" s="26"/>
      <c r="G1" s="26"/>
      <c r="H1" s="26"/>
      <c r="I1" s="26"/>
    </row>
    <row r="2" customFormat="false" ht="25.5" hidden="false" customHeight="true" outlineLevel="0" collapsed="false">
      <c r="A2" s="27" t="s">
        <v>65</v>
      </c>
      <c r="B2" s="27"/>
      <c r="C2" s="27"/>
      <c r="D2" s="27"/>
      <c r="E2" s="27"/>
      <c r="F2" s="27"/>
      <c r="G2" s="27"/>
      <c r="H2" s="27"/>
      <c r="I2" s="27"/>
    </row>
    <row r="3" customFormat="false" ht="23.85" hidden="false" customHeight="false" outlineLevel="0" collapsed="false">
      <c r="A3" s="28" t="s">
        <v>32</v>
      </c>
      <c r="B3" s="28" t="s">
        <v>33</v>
      </c>
      <c r="C3" s="28" t="s">
        <v>34</v>
      </c>
      <c r="D3" s="28" t="s">
        <v>66</v>
      </c>
      <c r="E3" s="28" t="s">
        <v>67</v>
      </c>
      <c r="F3" s="28" t="s">
        <v>6</v>
      </c>
      <c r="G3" s="28" t="s">
        <v>68</v>
      </c>
      <c r="H3" s="28" t="s">
        <v>69</v>
      </c>
      <c r="I3" s="28" t="s">
        <v>41</v>
      </c>
    </row>
    <row r="4" customFormat="false" ht="15" hidden="false" customHeight="false" outlineLevel="0" collapsed="false">
      <c r="A4" s="8" t="n">
        <v>1</v>
      </c>
      <c r="B4" s="17"/>
      <c r="C4" s="17"/>
      <c r="D4" s="8" t="n">
        <f aca="false">'1. Doctoral Student FTE'!I4</f>
        <v>0</v>
      </c>
      <c r="E4" s="8" t="n">
        <f aca="false">'2. Bachelor Student FTE'!H4</f>
        <v>0</v>
      </c>
      <c r="F4" s="29" t="n">
        <f aca="false">IF(E4&gt;0,D4/E4,0)</f>
        <v>0</v>
      </c>
      <c r="G4" s="30" t="n">
        <f aca="false">IFERROR((F4-AVERAGE($F$4:$F$33))/STDEV($F$4:$F$33),0)</f>
        <v>0</v>
      </c>
      <c r="H4" s="31" t="n">
        <f aca="false">IFERROR(IF(MAX($F$4:$F$33)-MIN($F$4:$F$33)&gt;0,(F4-MIN($F$4:$F$33))/(MAX($F$4:$F$33)-MIN($F$4:$F$33))*100,0),0)</f>
        <v>0</v>
      </c>
      <c r="I4" s="17"/>
    </row>
    <row r="5" customFormat="false" ht="15" hidden="false" customHeight="false" outlineLevel="0" collapsed="false">
      <c r="A5" s="4" t="n">
        <v>2</v>
      </c>
      <c r="B5" s="18"/>
      <c r="C5" s="18"/>
      <c r="D5" s="4" t="n">
        <f aca="false">'1. Doctoral Student FTE'!I5</f>
        <v>0</v>
      </c>
      <c r="E5" s="4" t="n">
        <f aca="false">'2. Bachelor Student FTE'!H5</f>
        <v>0</v>
      </c>
      <c r="F5" s="32" t="n">
        <f aca="false">IF(E5&gt;0,D5/E5,0)</f>
        <v>0</v>
      </c>
      <c r="G5" s="33" t="n">
        <f aca="false">IFERROR((F5-AVERAGE($F$4:$F$33))/STDEV($F$4:$F$33),0)</f>
        <v>0</v>
      </c>
      <c r="H5" s="34" t="n">
        <f aca="false">IFERROR(IF(MAX($F$4:$F$33)-MIN($F$4:$F$33)&gt;0,(F5-MIN($F$4:$F$33))/(MAX($F$4:$F$33)-MIN($F$4:$F$33))*100,0),0)</f>
        <v>0</v>
      </c>
      <c r="I5" s="18"/>
    </row>
    <row r="6" customFormat="false" ht="15" hidden="false" customHeight="false" outlineLevel="0" collapsed="false">
      <c r="A6" s="8" t="n">
        <v>3</v>
      </c>
      <c r="B6" s="17"/>
      <c r="C6" s="17"/>
      <c r="D6" s="8" t="n">
        <f aca="false">'1. Doctoral Student FTE'!I6</f>
        <v>0</v>
      </c>
      <c r="E6" s="8" t="n">
        <f aca="false">'2. Bachelor Student FTE'!H6</f>
        <v>0</v>
      </c>
      <c r="F6" s="29" t="n">
        <f aca="false">IF(E6&gt;0,D6/E6,0)</f>
        <v>0</v>
      </c>
      <c r="G6" s="30" t="n">
        <f aca="false">IFERROR((F6-AVERAGE($F$4:$F$33))/STDEV($F$4:$F$33),0)</f>
        <v>0</v>
      </c>
      <c r="H6" s="31" t="n">
        <f aca="false">IFERROR(IF(MAX($F$4:$F$33)-MIN($F$4:$F$33)&gt;0,(F6-MIN($F$4:$F$33))/(MAX($F$4:$F$33)-MIN($F$4:$F$33))*100,0),0)</f>
        <v>0</v>
      </c>
      <c r="I6" s="17"/>
    </row>
    <row r="7" customFormat="false" ht="15" hidden="false" customHeight="false" outlineLevel="0" collapsed="false">
      <c r="A7" s="4" t="n">
        <v>4</v>
      </c>
      <c r="B7" s="18"/>
      <c r="C7" s="18"/>
      <c r="D7" s="4" t="n">
        <f aca="false">'1. Doctoral Student FTE'!I7</f>
        <v>0</v>
      </c>
      <c r="E7" s="4" t="n">
        <f aca="false">'2. Bachelor Student FTE'!H7</f>
        <v>0</v>
      </c>
      <c r="F7" s="32" t="n">
        <f aca="false">IF(E7&gt;0,D7/E7,0)</f>
        <v>0</v>
      </c>
      <c r="G7" s="33" t="n">
        <f aca="false">IFERROR((F7-AVERAGE($F$4:$F$33))/STDEV($F$4:$F$33),0)</f>
        <v>0</v>
      </c>
      <c r="H7" s="34" t="n">
        <f aca="false">IFERROR(IF(MAX($F$4:$F$33)-MIN($F$4:$F$33)&gt;0,(F7-MIN($F$4:$F$33))/(MAX($F$4:$F$33)-MIN($F$4:$F$33))*100,0),0)</f>
        <v>0</v>
      </c>
      <c r="I7" s="18"/>
    </row>
    <row r="8" customFormat="false" ht="15" hidden="false" customHeight="false" outlineLevel="0" collapsed="false">
      <c r="A8" s="8" t="n">
        <v>5</v>
      </c>
      <c r="B8" s="17"/>
      <c r="C8" s="17"/>
      <c r="D8" s="8" t="n">
        <f aca="false">'1. Doctoral Student FTE'!I8</f>
        <v>0</v>
      </c>
      <c r="E8" s="8" t="n">
        <f aca="false">'2. Bachelor Student FTE'!H8</f>
        <v>0</v>
      </c>
      <c r="F8" s="29" t="n">
        <f aca="false">IF(E8&gt;0,D8/E8,0)</f>
        <v>0</v>
      </c>
      <c r="G8" s="30" t="n">
        <f aca="false">IFERROR((F8-AVERAGE($F$4:$F$33))/STDEV($F$4:$F$33),0)</f>
        <v>0</v>
      </c>
      <c r="H8" s="31" t="n">
        <f aca="false">IFERROR(IF(MAX($F$4:$F$33)-MIN($F$4:$F$33)&gt;0,(F8-MIN($F$4:$F$33))/(MAX($F$4:$F$33)-MIN($F$4:$F$33))*100,0),0)</f>
        <v>0</v>
      </c>
      <c r="I8" s="17"/>
    </row>
    <row r="9" customFormat="false" ht="15" hidden="false" customHeight="false" outlineLevel="0" collapsed="false">
      <c r="A9" s="4" t="n">
        <v>6</v>
      </c>
      <c r="B9" s="18"/>
      <c r="C9" s="18"/>
      <c r="D9" s="4" t="n">
        <f aca="false">'1. Doctoral Student FTE'!I9</f>
        <v>0</v>
      </c>
      <c r="E9" s="4" t="n">
        <f aca="false">'2. Bachelor Student FTE'!H9</f>
        <v>0</v>
      </c>
      <c r="F9" s="32" t="n">
        <f aca="false">IF(E9&gt;0,D9/E9,0)</f>
        <v>0</v>
      </c>
      <c r="G9" s="33" t="n">
        <f aca="false">IFERROR((F9-AVERAGE($F$4:$F$33))/STDEV($F$4:$F$33),0)</f>
        <v>0</v>
      </c>
      <c r="H9" s="34" t="n">
        <f aca="false">IFERROR(IF(MAX($F$4:$F$33)-MIN($F$4:$F$33)&gt;0,(F9-MIN($F$4:$F$33))/(MAX($F$4:$F$33)-MIN($F$4:$F$33))*100,0),0)</f>
        <v>0</v>
      </c>
      <c r="I9" s="18"/>
    </row>
    <row r="10" customFormat="false" ht="15" hidden="false" customHeight="false" outlineLevel="0" collapsed="false">
      <c r="A10" s="8" t="n">
        <v>7</v>
      </c>
      <c r="B10" s="17"/>
      <c r="C10" s="17"/>
      <c r="D10" s="8" t="n">
        <f aca="false">'1. Doctoral Student FTE'!I10</f>
        <v>0</v>
      </c>
      <c r="E10" s="8" t="n">
        <f aca="false">'2. Bachelor Student FTE'!H10</f>
        <v>0</v>
      </c>
      <c r="F10" s="29" t="n">
        <f aca="false">IF(E10&gt;0,D10/E10,0)</f>
        <v>0</v>
      </c>
      <c r="G10" s="30" t="n">
        <f aca="false">IFERROR((F10-AVERAGE($F$4:$F$33))/STDEV($F$4:$F$33),0)</f>
        <v>0</v>
      </c>
      <c r="H10" s="31" t="n">
        <f aca="false">IFERROR(IF(MAX($F$4:$F$33)-MIN($F$4:$F$33)&gt;0,(F10-MIN($F$4:$F$33))/(MAX($F$4:$F$33)-MIN($F$4:$F$33))*100,0),0)</f>
        <v>0</v>
      </c>
      <c r="I10" s="17"/>
    </row>
    <row r="11" customFormat="false" ht="15" hidden="false" customHeight="false" outlineLevel="0" collapsed="false">
      <c r="A11" s="4" t="n">
        <v>8</v>
      </c>
      <c r="B11" s="18"/>
      <c r="C11" s="18"/>
      <c r="D11" s="4" t="n">
        <f aca="false">'1. Doctoral Student FTE'!I11</f>
        <v>0</v>
      </c>
      <c r="E11" s="4" t="n">
        <f aca="false">'2. Bachelor Student FTE'!H11</f>
        <v>0</v>
      </c>
      <c r="F11" s="32" t="n">
        <f aca="false">IF(E11&gt;0,D11/E11,0)</f>
        <v>0</v>
      </c>
      <c r="G11" s="33" t="n">
        <f aca="false">IFERROR((F11-AVERAGE($F$4:$F$33))/STDEV($F$4:$F$33),0)</f>
        <v>0</v>
      </c>
      <c r="H11" s="34" t="n">
        <f aca="false">IFERROR(IF(MAX($F$4:$F$33)-MIN($F$4:$F$33)&gt;0,(F11-MIN($F$4:$F$33))/(MAX($F$4:$F$33)-MIN($F$4:$F$33))*100,0),0)</f>
        <v>0</v>
      </c>
      <c r="I11" s="18"/>
    </row>
    <row r="12" customFormat="false" ht="15" hidden="false" customHeight="false" outlineLevel="0" collapsed="false">
      <c r="A12" s="8" t="n">
        <v>9</v>
      </c>
      <c r="B12" s="17"/>
      <c r="C12" s="17"/>
      <c r="D12" s="8" t="n">
        <f aca="false">'1. Doctoral Student FTE'!I12</f>
        <v>0</v>
      </c>
      <c r="E12" s="8" t="n">
        <f aca="false">'2. Bachelor Student FTE'!H12</f>
        <v>0</v>
      </c>
      <c r="F12" s="29" t="n">
        <f aca="false">IF(E12&gt;0,D12/E12,0)</f>
        <v>0</v>
      </c>
      <c r="G12" s="30" t="n">
        <f aca="false">IFERROR((F12-AVERAGE($F$4:$F$33))/STDEV($F$4:$F$33),0)</f>
        <v>0</v>
      </c>
      <c r="H12" s="31" t="n">
        <f aca="false">IFERROR(IF(MAX($F$4:$F$33)-MIN($F$4:$F$33)&gt;0,(F12-MIN($F$4:$F$33))/(MAX($F$4:$F$33)-MIN($F$4:$F$33))*100,0),0)</f>
        <v>0</v>
      </c>
      <c r="I12" s="17"/>
    </row>
    <row r="13" customFormat="false" ht="15" hidden="false" customHeight="false" outlineLevel="0" collapsed="false">
      <c r="A13" s="4" t="n">
        <v>10</v>
      </c>
      <c r="B13" s="18"/>
      <c r="C13" s="18"/>
      <c r="D13" s="4" t="n">
        <f aca="false">'1. Doctoral Student FTE'!I13</f>
        <v>0</v>
      </c>
      <c r="E13" s="4" t="n">
        <f aca="false">'2. Bachelor Student FTE'!H13</f>
        <v>0</v>
      </c>
      <c r="F13" s="32" t="n">
        <f aca="false">IF(E13&gt;0,D13/E13,0)</f>
        <v>0</v>
      </c>
      <c r="G13" s="33" t="n">
        <f aca="false">IFERROR((F13-AVERAGE($F$4:$F$33))/STDEV($F$4:$F$33),0)</f>
        <v>0</v>
      </c>
      <c r="H13" s="34" t="n">
        <f aca="false">IFERROR(IF(MAX($F$4:$F$33)-MIN($F$4:$F$33)&gt;0,(F13-MIN($F$4:$F$33))/(MAX($F$4:$F$33)-MIN($F$4:$F$33))*100,0),0)</f>
        <v>0</v>
      </c>
      <c r="I13" s="18"/>
    </row>
    <row r="14" customFormat="false" ht="15" hidden="false" customHeight="false" outlineLevel="0" collapsed="false">
      <c r="A14" s="8" t="n">
        <v>11</v>
      </c>
      <c r="B14" s="17"/>
      <c r="C14" s="17"/>
      <c r="D14" s="8" t="n">
        <f aca="false">'1. Doctoral Student FTE'!I14</f>
        <v>0</v>
      </c>
      <c r="E14" s="8" t="n">
        <f aca="false">'2. Bachelor Student FTE'!H14</f>
        <v>0</v>
      </c>
      <c r="F14" s="29" t="n">
        <f aca="false">IF(E14&gt;0,D14/E14,0)</f>
        <v>0</v>
      </c>
      <c r="G14" s="30" t="n">
        <f aca="false">IFERROR((F14-AVERAGE($F$4:$F$33))/STDEV($F$4:$F$33),0)</f>
        <v>0</v>
      </c>
      <c r="H14" s="31" t="n">
        <f aca="false">IFERROR(IF(MAX($F$4:$F$33)-MIN($F$4:$F$33)&gt;0,(F14-MIN($F$4:$F$33))/(MAX($F$4:$F$33)-MIN($F$4:$F$33))*100,0),0)</f>
        <v>0</v>
      </c>
      <c r="I14" s="17"/>
    </row>
    <row r="15" customFormat="false" ht="15" hidden="false" customHeight="false" outlineLevel="0" collapsed="false">
      <c r="A15" s="4" t="n">
        <v>12</v>
      </c>
      <c r="B15" s="18"/>
      <c r="C15" s="18"/>
      <c r="D15" s="4" t="n">
        <f aca="false">'1. Doctoral Student FTE'!I15</f>
        <v>0</v>
      </c>
      <c r="E15" s="4" t="n">
        <f aca="false">'2. Bachelor Student FTE'!H15</f>
        <v>0</v>
      </c>
      <c r="F15" s="32" t="n">
        <f aca="false">IF(E15&gt;0,D15/E15,0)</f>
        <v>0</v>
      </c>
      <c r="G15" s="33" t="n">
        <f aca="false">IFERROR((F15-AVERAGE($F$4:$F$33))/STDEV($F$4:$F$33),0)</f>
        <v>0</v>
      </c>
      <c r="H15" s="34" t="n">
        <f aca="false">IFERROR(IF(MAX($F$4:$F$33)-MIN($F$4:$F$33)&gt;0,(F15-MIN($F$4:$F$33))/(MAX($F$4:$F$33)-MIN($F$4:$F$33))*100,0),0)</f>
        <v>0</v>
      </c>
      <c r="I15" s="18"/>
    </row>
    <row r="16" customFormat="false" ht="15" hidden="false" customHeight="false" outlineLevel="0" collapsed="false">
      <c r="A16" s="8" t="n">
        <v>13</v>
      </c>
      <c r="B16" s="17"/>
      <c r="C16" s="17"/>
      <c r="D16" s="8" t="n">
        <f aca="false">'1. Doctoral Student FTE'!I16</f>
        <v>0</v>
      </c>
      <c r="E16" s="8" t="n">
        <f aca="false">'2. Bachelor Student FTE'!H16</f>
        <v>0</v>
      </c>
      <c r="F16" s="29" t="n">
        <f aca="false">IF(E16&gt;0,D16/E16,0)</f>
        <v>0</v>
      </c>
      <c r="G16" s="30" t="n">
        <f aca="false">IFERROR((F16-AVERAGE($F$4:$F$33))/STDEV($F$4:$F$33),0)</f>
        <v>0</v>
      </c>
      <c r="H16" s="31" t="n">
        <f aca="false">IFERROR(IF(MAX($F$4:$F$33)-MIN($F$4:$F$33)&gt;0,(F16-MIN($F$4:$F$33))/(MAX($F$4:$F$33)-MIN($F$4:$F$33))*100,0),0)</f>
        <v>0</v>
      </c>
      <c r="I16" s="17"/>
    </row>
    <row r="17" customFormat="false" ht="15" hidden="false" customHeight="false" outlineLevel="0" collapsed="false">
      <c r="A17" s="4" t="n">
        <v>14</v>
      </c>
      <c r="B17" s="18"/>
      <c r="C17" s="18"/>
      <c r="D17" s="4" t="n">
        <f aca="false">'1. Doctoral Student FTE'!I17</f>
        <v>0</v>
      </c>
      <c r="E17" s="4" t="n">
        <f aca="false">'2. Bachelor Student FTE'!H17</f>
        <v>0</v>
      </c>
      <c r="F17" s="32" t="n">
        <f aca="false">IF(E17&gt;0,D17/E17,0)</f>
        <v>0</v>
      </c>
      <c r="G17" s="33" t="n">
        <f aca="false">IFERROR((F17-AVERAGE($F$4:$F$33))/STDEV($F$4:$F$33),0)</f>
        <v>0</v>
      </c>
      <c r="H17" s="34" t="n">
        <f aca="false">IFERROR(IF(MAX($F$4:$F$33)-MIN($F$4:$F$33)&gt;0,(F17-MIN($F$4:$F$33))/(MAX($F$4:$F$33)-MIN($F$4:$F$33))*100,0),0)</f>
        <v>0</v>
      </c>
      <c r="I17" s="18"/>
    </row>
    <row r="18" customFormat="false" ht="15" hidden="false" customHeight="false" outlineLevel="0" collapsed="false">
      <c r="A18" s="8" t="n">
        <v>15</v>
      </c>
      <c r="B18" s="17"/>
      <c r="C18" s="17"/>
      <c r="D18" s="8" t="n">
        <f aca="false">'1. Doctoral Student FTE'!I18</f>
        <v>0</v>
      </c>
      <c r="E18" s="8" t="n">
        <f aca="false">'2. Bachelor Student FTE'!H18</f>
        <v>0</v>
      </c>
      <c r="F18" s="29" t="n">
        <f aca="false">IF(E18&gt;0,D18/E18,0)</f>
        <v>0</v>
      </c>
      <c r="G18" s="30" t="n">
        <f aca="false">IFERROR((F18-AVERAGE($F$4:$F$33))/STDEV($F$4:$F$33),0)</f>
        <v>0</v>
      </c>
      <c r="H18" s="31" t="n">
        <f aca="false">IFERROR(IF(MAX($F$4:$F$33)-MIN($F$4:$F$33)&gt;0,(F18-MIN($F$4:$F$33))/(MAX($F$4:$F$33)-MIN($F$4:$F$33))*100,0),0)</f>
        <v>0</v>
      </c>
      <c r="I18" s="17"/>
    </row>
    <row r="19" customFormat="false" ht="15" hidden="false" customHeight="false" outlineLevel="0" collapsed="false">
      <c r="A19" s="4" t="n">
        <v>16</v>
      </c>
      <c r="B19" s="18"/>
      <c r="C19" s="18"/>
      <c r="D19" s="4" t="n">
        <f aca="false">'1. Doctoral Student FTE'!I19</f>
        <v>0</v>
      </c>
      <c r="E19" s="4" t="n">
        <f aca="false">'2. Bachelor Student FTE'!H19</f>
        <v>0</v>
      </c>
      <c r="F19" s="32" t="n">
        <f aca="false">IF(E19&gt;0,D19/E19,0)</f>
        <v>0</v>
      </c>
      <c r="G19" s="33" t="n">
        <f aca="false">IFERROR((F19-AVERAGE($F$4:$F$33))/STDEV($F$4:$F$33),0)</f>
        <v>0</v>
      </c>
      <c r="H19" s="34" t="n">
        <f aca="false">IFERROR(IF(MAX($F$4:$F$33)-MIN($F$4:$F$33)&gt;0,(F19-MIN($F$4:$F$33))/(MAX($F$4:$F$33)-MIN($F$4:$F$33))*100,0),0)</f>
        <v>0</v>
      </c>
      <c r="I19" s="18"/>
    </row>
    <row r="20" customFormat="false" ht="15" hidden="false" customHeight="false" outlineLevel="0" collapsed="false">
      <c r="A20" s="8" t="n">
        <v>17</v>
      </c>
      <c r="B20" s="17"/>
      <c r="C20" s="17"/>
      <c r="D20" s="8" t="n">
        <f aca="false">'1. Doctoral Student FTE'!I20</f>
        <v>0</v>
      </c>
      <c r="E20" s="8" t="n">
        <f aca="false">'2. Bachelor Student FTE'!H20</f>
        <v>0</v>
      </c>
      <c r="F20" s="29" t="n">
        <f aca="false">IF(E20&gt;0,D20/E20,0)</f>
        <v>0</v>
      </c>
      <c r="G20" s="30" t="n">
        <f aca="false">IFERROR((F20-AVERAGE($F$4:$F$33))/STDEV($F$4:$F$33),0)</f>
        <v>0</v>
      </c>
      <c r="H20" s="31" t="n">
        <f aca="false">IFERROR(IF(MAX($F$4:$F$33)-MIN($F$4:$F$33)&gt;0,(F20-MIN($F$4:$F$33))/(MAX($F$4:$F$33)-MIN($F$4:$F$33))*100,0),0)</f>
        <v>0</v>
      </c>
      <c r="I20" s="17"/>
    </row>
    <row r="21" customFormat="false" ht="15" hidden="false" customHeight="false" outlineLevel="0" collapsed="false">
      <c r="A21" s="4" t="n">
        <v>18</v>
      </c>
      <c r="B21" s="18"/>
      <c r="C21" s="18"/>
      <c r="D21" s="4" t="n">
        <f aca="false">'1. Doctoral Student FTE'!I21</f>
        <v>0</v>
      </c>
      <c r="E21" s="4" t="n">
        <f aca="false">'2. Bachelor Student FTE'!H21</f>
        <v>0</v>
      </c>
      <c r="F21" s="32" t="n">
        <f aca="false">IF(E21&gt;0,D21/E21,0)</f>
        <v>0</v>
      </c>
      <c r="G21" s="33" t="n">
        <f aca="false">IFERROR((F21-AVERAGE($F$4:$F$33))/STDEV($F$4:$F$33),0)</f>
        <v>0</v>
      </c>
      <c r="H21" s="34" t="n">
        <f aca="false">IFERROR(IF(MAX($F$4:$F$33)-MIN($F$4:$F$33)&gt;0,(F21-MIN($F$4:$F$33))/(MAX($F$4:$F$33)-MIN($F$4:$F$33))*100,0),0)</f>
        <v>0</v>
      </c>
      <c r="I21" s="18"/>
    </row>
    <row r="22" customFormat="false" ht="15" hidden="false" customHeight="false" outlineLevel="0" collapsed="false">
      <c r="A22" s="8" t="n">
        <v>19</v>
      </c>
      <c r="B22" s="17"/>
      <c r="C22" s="17"/>
      <c r="D22" s="8" t="n">
        <f aca="false">'1. Doctoral Student FTE'!I22</f>
        <v>0</v>
      </c>
      <c r="E22" s="8" t="n">
        <f aca="false">'2. Bachelor Student FTE'!H22</f>
        <v>0</v>
      </c>
      <c r="F22" s="29" t="n">
        <f aca="false">IF(E22&gt;0,D22/E22,0)</f>
        <v>0</v>
      </c>
      <c r="G22" s="30" t="n">
        <f aca="false">IFERROR((F22-AVERAGE($F$4:$F$33))/STDEV($F$4:$F$33),0)</f>
        <v>0</v>
      </c>
      <c r="H22" s="31" t="n">
        <f aca="false">IFERROR(IF(MAX($F$4:$F$33)-MIN($F$4:$F$33)&gt;0,(F22-MIN($F$4:$F$33))/(MAX($F$4:$F$33)-MIN($F$4:$F$33))*100,0),0)</f>
        <v>0</v>
      </c>
      <c r="I22" s="17"/>
    </row>
    <row r="23" customFormat="false" ht="15" hidden="false" customHeight="false" outlineLevel="0" collapsed="false">
      <c r="A23" s="4" t="n">
        <v>20</v>
      </c>
      <c r="B23" s="18"/>
      <c r="C23" s="18"/>
      <c r="D23" s="4" t="n">
        <f aca="false">'1. Doctoral Student FTE'!I23</f>
        <v>0</v>
      </c>
      <c r="E23" s="4" t="n">
        <f aca="false">'2. Bachelor Student FTE'!H23</f>
        <v>0</v>
      </c>
      <c r="F23" s="32" t="n">
        <f aca="false">IF(E23&gt;0,D23/E23,0)</f>
        <v>0</v>
      </c>
      <c r="G23" s="33" t="n">
        <f aca="false">IFERROR((F23-AVERAGE($F$4:$F$33))/STDEV($F$4:$F$33),0)</f>
        <v>0</v>
      </c>
      <c r="H23" s="34" t="n">
        <f aca="false">IFERROR(IF(MAX($F$4:$F$33)-MIN($F$4:$F$33)&gt;0,(F23-MIN($F$4:$F$33))/(MAX($F$4:$F$33)-MIN($F$4:$F$33))*100,0),0)</f>
        <v>0</v>
      </c>
      <c r="I23" s="18"/>
    </row>
    <row r="24" customFormat="false" ht="15" hidden="false" customHeight="false" outlineLevel="0" collapsed="false">
      <c r="A24" s="8" t="n">
        <v>21</v>
      </c>
      <c r="B24" s="17"/>
      <c r="C24" s="17"/>
      <c r="D24" s="8" t="n">
        <f aca="false">'1. Doctoral Student FTE'!I24</f>
        <v>0</v>
      </c>
      <c r="E24" s="8" t="n">
        <f aca="false">'2. Bachelor Student FTE'!H24</f>
        <v>0</v>
      </c>
      <c r="F24" s="29" t="n">
        <f aca="false">IF(E24&gt;0,D24/E24,0)</f>
        <v>0</v>
      </c>
      <c r="G24" s="30" t="n">
        <f aca="false">IFERROR((F24-AVERAGE($F$4:$F$33))/STDEV($F$4:$F$33),0)</f>
        <v>0</v>
      </c>
      <c r="H24" s="31" t="n">
        <f aca="false">IFERROR(IF(MAX($F$4:$F$33)-MIN($F$4:$F$33)&gt;0,(F24-MIN($F$4:$F$33))/(MAX($F$4:$F$33)-MIN($F$4:$F$33))*100,0),0)</f>
        <v>0</v>
      </c>
      <c r="I24" s="17"/>
    </row>
    <row r="25" customFormat="false" ht="15" hidden="false" customHeight="false" outlineLevel="0" collapsed="false">
      <c r="A25" s="4" t="n">
        <v>22</v>
      </c>
      <c r="B25" s="18"/>
      <c r="C25" s="18"/>
      <c r="D25" s="4" t="n">
        <f aca="false">'1. Doctoral Student FTE'!I25</f>
        <v>0</v>
      </c>
      <c r="E25" s="4" t="n">
        <f aca="false">'2. Bachelor Student FTE'!H25</f>
        <v>0</v>
      </c>
      <c r="F25" s="32" t="n">
        <f aca="false">IF(E25&gt;0,D25/E25,0)</f>
        <v>0</v>
      </c>
      <c r="G25" s="33" t="n">
        <f aca="false">IFERROR((F25-AVERAGE($F$4:$F$33))/STDEV($F$4:$F$33),0)</f>
        <v>0</v>
      </c>
      <c r="H25" s="34" t="n">
        <f aca="false">IFERROR(IF(MAX($F$4:$F$33)-MIN($F$4:$F$33)&gt;0,(F25-MIN($F$4:$F$33))/(MAX($F$4:$F$33)-MIN($F$4:$F$33))*100,0),0)</f>
        <v>0</v>
      </c>
      <c r="I25" s="18"/>
    </row>
    <row r="26" customFormat="false" ht="15" hidden="false" customHeight="false" outlineLevel="0" collapsed="false">
      <c r="A26" s="8" t="n">
        <v>23</v>
      </c>
      <c r="B26" s="17"/>
      <c r="C26" s="17"/>
      <c r="D26" s="8" t="n">
        <f aca="false">'1. Doctoral Student FTE'!I26</f>
        <v>0</v>
      </c>
      <c r="E26" s="8" t="n">
        <f aca="false">'2. Bachelor Student FTE'!H26</f>
        <v>0</v>
      </c>
      <c r="F26" s="29" t="n">
        <f aca="false">IF(E26&gt;0,D26/E26,0)</f>
        <v>0</v>
      </c>
      <c r="G26" s="30" t="n">
        <f aca="false">IFERROR((F26-AVERAGE($F$4:$F$33))/STDEV($F$4:$F$33),0)</f>
        <v>0</v>
      </c>
      <c r="H26" s="31" t="n">
        <f aca="false">IFERROR(IF(MAX($F$4:$F$33)-MIN($F$4:$F$33)&gt;0,(F26-MIN($F$4:$F$33))/(MAX($F$4:$F$33)-MIN($F$4:$F$33))*100,0),0)</f>
        <v>0</v>
      </c>
      <c r="I26" s="17"/>
    </row>
    <row r="27" customFormat="false" ht="15" hidden="false" customHeight="false" outlineLevel="0" collapsed="false">
      <c r="A27" s="4" t="n">
        <v>24</v>
      </c>
      <c r="B27" s="18"/>
      <c r="C27" s="18"/>
      <c r="D27" s="4" t="n">
        <f aca="false">'1. Doctoral Student FTE'!I27</f>
        <v>0</v>
      </c>
      <c r="E27" s="4" t="n">
        <f aca="false">'2. Bachelor Student FTE'!H27</f>
        <v>0</v>
      </c>
      <c r="F27" s="32" t="n">
        <f aca="false">IF(E27&gt;0,D27/E27,0)</f>
        <v>0</v>
      </c>
      <c r="G27" s="33" t="n">
        <f aca="false">IFERROR((F27-AVERAGE($F$4:$F$33))/STDEV($F$4:$F$33),0)</f>
        <v>0</v>
      </c>
      <c r="H27" s="34" t="n">
        <f aca="false">IFERROR(IF(MAX($F$4:$F$33)-MIN($F$4:$F$33)&gt;0,(F27-MIN($F$4:$F$33))/(MAX($F$4:$F$33)-MIN($F$4:$F$33))*100,0),0)</f>
        <v>0</v>
      </c>
      <c r="I27" s="18"/>
    </row>
    <row r="28" customFormat="false" ht="15" hidden="false" customHeight="false" outlineLevel="0" collapsed="false">
      <c r="A28" s="8" t="n">
        <v>25</v>
      </c>
      <c r="B28" s="17"/>
      <c r="C28" s="17"/>
      <c r="D28" s="8" t="n">
        <f aca="false">'1. Doctoral Student FTE'!I28</f>
        <v>0</v>
      </c>
      <c r="E28" s="8" t="n">
        <f aca="false">'2. Bachelor Student FTE'!H28</f>
        <v>0</v>
      </c>
      <c r="F28" s="29" t="n">
        <f aca="false">IF(E28&gt;0,D28/E28,0)</f>
        <v>0</v>
      </c>
      <c r="G28" s="30" t="n">
        <f aca="false">IFERROR((F28-AVERAGE($F$4:$F$33))/STDEV($F$4:$F$33),0)</f>
        <v>0</v>
      </c>
      <c r="H28" s="31" t="n">
        <f aca="false">IFERROR(IF(MAX($F$4:$F$33)-MIN($F$4:$F$33)&gt;0,(F28-MIN($F$4:$F$33))/(MAX($F$4:$F$33)-MIN($F$4:$F$33))*100,0),0)</f>
        <v>0</v>
      </c>
      <c r="I28" s="17"/>
    </row>
    <row r="29" customFormat="false" ht="15" hidden="false" customHeight="false" outlineLevel="0" collapsed="false">
      <c r="A29" s="4" t="n">
        <v>26</v>
      </c>
      <c r="B29" s="18"/>
      <c r="C29" s="18"/>
      <c r="D29" s="4" t="n">
        <f aca="false">'1. Doctoral Student FTE'!I29</f>
        <v>0</v>
      </c>
      <c r="E29" s="4" t="n">
        <f aca="false">'2. Bachelor Student FTE'!H29</f>
        <v>0</v>
      </c>
      <c r="F29" s="32" t="n">
        <f aca="false">IF(E29&gt;0,D29/E29,0)</f>
        <v>0</v>
      </c>
      <c r="G29" s="33" t="n">
        <f aca="false">IFERROR((F29-AVERAGE($F$4:$F$33))/STDEV($F$4:$F$33),0)</f>
        <v>0</v>
      </c>
      <c r="H29" s="34" t="n">
        <f aca="false">IFERROR(IF(MAX($F$4:$F$33)-MIN($F$4:$F$33)&gt;0,(F29-MIN($F$4:$F$33))/(MAX($F$4:$F$33)-MIN($F$4:$F$33))*100,0),0)</f>
        <v>0</v>
      </c>
      <c r="I29" s="18"/>
    </row>
    <row r="30" customFormat="false" ht="15" hidden="false" customHeight="false" outlineLevel="0" collapsed="false">
      <c r="A30" s="8" t="n">
        <v>27</v>
      </c>
      <c r="B30" s="17"/>
      <c r="C30" s="17"/>
      <c r="D30" s="8" t="n">
        <f aca="false">'1. Doctoral Student FTE'!I30</f>
        <v>0</v>
      </c>
      <c r="E30" s="8" t="n">
        <f aca="false">'2. Bachelor Student FTE'!H30</f>
        <v>0</v>
      </c>
      <c r="F30" s="29" t="n">
        <f aca="false">IF(E30&gt;0,D30/E30,0)</f>
        <v>0</v>
      </c>
      <c r="G30" s="30" t="n">
        <f aca="false">IFERROR((F30-AVERAGE($F$4:$F$33))/STDEV($F$4:$F$33),0)</f>
        <v>0</v>
      </c>
      <c r="H30" s="31" t="n">
        <f aca="false">IFERROR(IF(MAX($F$4:$F$33)-MIN($F$4:$F$33)&gt;0,(F30-MIN($F$4:$F$33))/(MAX($F$4:$F$33)-MIN($F$4:$F$33))*100,0),0)</f>
        <v>0</v>
      </c>
      <c r="I30" s="17"/>
    </row>
    <row r="31" customFormat="false" ht="15" hidden="false" customHeight="false" outlineLevel="0" collapsed="false">
      <c r="A31" s="4" t="n">
        <v>28</v>
      </c>
      <c r="B31" s="18"/>
      <c r="C31" s="18"/>
      <c r="D31" s="4" t="n">
        <f aca="false">'1. Doctoral Student FTE'!I31</f>
        <v>0</v>
      </c>
      <c r="E31" s="4" t="n">
        <f aca="false">'2. Bachelor Student FTE'!H31</f>
        <v>0</v>
      </c>
      <c r="F31" s="32" t="n">
        <f aca="false">IF(E31&gt;0,D31/E31,0)</f>
        <v>0</v>
      </c>
      <c r="G31" s="33" t="n">
        <f aca="false">IFERROR((F31-AVERAGE($F$4:$F$33))/STDEV($F$4:$F$33),0)</f>
        <v>0</v>
      </c>
      <c r="H31" s="34" t="n">
        <f aca="false">IFERROR(IF(MAX($F$4:$F$33)-MIN($F$4:$F$33)&gt;0,(F31-MIN($F$4:$F$33))/(MAX($F$4:$F$33)-MIN($F$4:$F$33))*100,0),0)</f>
        <v>0</v>
      </c>
      <c r="I31" s="18"/>
    </row>
    <row r="32" customFormat="false" ht="15" hidden="false" customHeight="false" outlineLevel="0" collapsed="false">
      <c r="A32" s="8" t="n">
        <v>29</v>
      </c>
      <c r="B32" s="17"/>
      <c r="C32" s="17"/>
      <c r="D32" s="8" t="n">
        <f aca="false">'1. Doctoral Student FTE'!I32</f>
        <v>0</v>
      </c>
      <c r="E32" s="8" t="n">
        <f aca="false">'2. Bachelor Student FTE'!H32</f>
        <v>0</v>
      </c>
      <c r="F32" s="29" t="n">
        <f aca="false">IF(E32&gt;0,D32/E32,0)</f>
        <v>0</v>
      </c>
      <c r="G32" s="30" t="n">
        <f aca="false">IFERROR((F32-AVERAGE($F$4:$F$33))/STDEV($F$4:$F$33),0)</f>
        <v>0</v>
      </c>
      <c r="H32" s="31" t="n">
        <f aca="false">IFERROR(IF(MAX($F$4:$F$33)-MIN($F$4:$F$33)&gt;0,(F32-MIN($F$4:$F$33))/(MAX($F$4:$F$33)-MIN($F$4:$F$33))*100,0),0)</f>
        <v>0</v>
      </c>
      <c r="I32" s="17"/>
    </row>
    <row r="33" customFormat="false" ht="15" hidden="false" customHeight="false" outlineLevel="0" collapsed="false">
      <c r="A33" s="4" t="n">
        <v>30</v>
      </c>
      <c r="B33" s="18"/>
      <c r="C33" s="18"/>
      <c r="D33" s="4" t="n">
        <f aca="false">'1. Doctoral Student FTE'!I33</f>
        <v>0</v>
      </c>
      <c r="E33" s="4" t="n">
        <f aca="false">'2. Bachelor Student FTE'!H33</f>
        <v>0</v>
      </c>
      <c r="F33" s="32" t="n">
        <f aca="false">IF(E33&gt;0,D33/E33,0)</f>
        <v>0</v>
      </c>
      <c r="G33" s="33" t="n">
        <f aca="false">IFERROR((F33-AVERAGE($F$4:$F$33))/STDEV($F$4:$F$33),0)</f>
        <v>0</v>
      </c>
      <c r="H33" s="34" t="n">
        <f aca="false">IFERROR(IF(MAX($F$4:$F$33)-MIN($F$4:$F$33)&gt;0,(F33-MIN($F$4:$F$33))/(MAX($F$4:$F$33)-MIN($F$4:$F$33))*100,0),0)</f>
        <v>0</v>
      </c>
      <c r="I33" s="18"/>
    </row>
    <row r="35" customFormat="false" ht="25.5" hidden="false" customHeight="true" outlineLevel="0" collapsed="false">
      <c r="A35" s="12" t="s">
        <v>70</v>
      </c>
      <c r="B35" s="12"/>
      <c r="C35" s="12"/>
      <c r="D35" s="12"/>
      <c r="E35" s="12"/>
      <c r="F35" s="12"/>
      <c r="G35" s="12"/>
      <c r="H35" s="12"/>
      <c r="I35" s="12"/>
    </row>
    <row r="36" customFormat="false" ht="15" hidden="false" customHeight="true" outlineLevel="0" collapsed="false">
      <c r="A36" s="35" t="s">
        <v>71</v>
      </c>
      <c r="B36" s="35"/>
      <c r="C36" s="35"/>
      <c r="D36" s="35"/>
      <c r="E36" s="35"/>
      <c r="F36" s="36" t="n">
        <f aca="false">IF(COUNTA(F4:F33)&gt;0,AVERAGE(F4:F33),0)</f>
        <v>0</v>
      </c>
      <c r="G36" s="37"/>
      <c r="H36" s="37"/>
      <c r="I36" s="37"/>
    </row>
    <row r="37" customFormat="false" ht="15" hidden="false" customHeight="true" outlineLevel="0" collapsed="false">
      <c r="A37" s="35" t="s">
        <v>72</v>
      </c>
      <c r="B37" s="35"/>
      <c r="C37" s="35"/>
      <c r="D37" s="35"/>
      <c r="E37" s="35"/>
      <c r="F37" s="36" t="n">
        <f aca="false">MAX(F4:F33)</f>
        <v>0</v>
      </c>
      <c r="G37" s="37"/>
      <c r="H37" s="37"/>
      <c r="I37" s="37"/>
    </row>
    <row r="38" customFormat="false" ht="15" hidden="false" customHeight="true" outlineLevel="0" collapsed="false">
      <c r="A38" s="35" t="s">
        <v>73</v>
      </c>
      <c r="B38" s="35"/>
      <c r="C38" s="35"/>
      <c r="D38" s="35"/>
      <c r="E38" s="35"/>
      <c r="F38" s="36" t="n">
        <f aca="false">MIN(F4:F33)</f>
        <v>0</v>
      </c>
      <c r="G38" s="37"/>
      <c r="H38" s="37"/>
      <c r="I38" s="37"/>
    </row>
    <row r="39" customFormat="false" ht="15" hidden="false" customHeight="true" outlineLevel="0" collapsed="false">
      <c r="A39" s="35" t="s">
        <v>74</v>
      </c>
      <c r="B39" s="35"/>
      <c r="C39" s="35"/>
      <c r="D39" s="35"/>
      <c r="E39" s="35"/>
      <c r="F39" s="36" t="n">
        <f aca="false">MEDIAN(F4:F33)</f>
        <v>0</v>
      </c>
      <c r="G39" s="37"/>
      <c r="H39" s="37"/>
      <c r="I39" s="37"/>
    </row>
    <row r="40" customFormat="false" ht="15" hidden="false" customHeight="true" outlineLevel="0" collapsed="false">
      <c r="A40" s="35" t="s">
        <v>75</v>
      </c>
      <c r="B40" s="35"/>
      <c r="C40" s="35"/>
      <c r="D40" s="35"/>
      <c r="E40" s="35"/>
      <c r="F40" s="36" t="n">
        <f aca="false">IF(COUNTA(F4:F33)&gt;1,STDEV(F4:F33),0)</f>
        <v>0</v>
      </c>
      <c r="G40" s="37"/>
      <c r="H40" s="37"/>
      <c r="I40" s="37"/>
    </row>
  </sheetData>
  <mergeCells count="8">
    <mergeCell ref="A1:I1"/>
    <mergeCell ref="A2:I2"/>
    <mergeCell ref="A35:I35"/>
    <mergeCell ref="A36:E36"/>
    <mergeCell ref="A37:E37"/>
    <mergeCell ref="A38:E38"/>
    <mergeCell ref="A39:E3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38" t="s">
        <v>76</v>
      </c>
      <c r="B1" s="38"/>
      <c r="C1" s="38"/>
      <c r="D1" s="38"/>
      <c r="E1" s="38"/>
      <c r="F1" s="38"/>
      <c r="G1" s="38"/>
      <c r="H1" s="38"/>
      <c r="I1" s="38"/>
    </row>
    <row r="2" customFormat="false" ht="25.5" hidden="false" customHeight="true" outlineLevel="0" collapsed="false">
      <c r="A2" s="19" t="s">
        <v>77</v>
      </c>
      <c r="B2" s="19"/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A3" s="20" t="s">
        <v>32</v>
      </c>
      <c r="B3" s="20" t="s">
        <v>43</v>
      </c>
      <c r="C3" s="20" t="s">
        <v>44</v>
      </c>
      <c r="D3" s="20" t="s">
        <v>78</v>
      </c>
      <c r="E3" s="20" t="s">
        <v>79</v>
      </c>
      <c r="F3" s="20" t="s">
        <v>80</v>
      </c>
      <c r="G3" s="20" t="s">
        <v>81</v>
      </c>
      <c r="H3" s="20" t="s">
        <v>82</v>
      </c>
      <c r="I3" s="20" t="s">
        <v>83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29" t="n">
        <f aca="false">IF(E4&gt;0,D4/E4,0)</f>
        <v>0</v>
      </c>
      <c r="G4" s="17"/>
      <c r="H4" s="39" t="n">
        <f aca="false">IF(AND(F4&gt;0,G4&gt;0),G4-F4,0)</f>
        <v>0</v>
      </c>
      <c r="I4" s="11" t="str">
        <f aca="false">IF(H4&gt;0.05,"High",IF(H4&gt;0.02,"Medium",IF(H4&gt;0,"Low","On Target")))</f>
        <v>On Target</v>
      </c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32" t="n">
        <f aca="false">IF(E5&gt;0,D5/E5,0)</f>
        <v>0</v>
      </c>
      <c r="G5" s="18"/>
      <c r="H5" s="40" t="n">
        <f aca="false">IF(AND(F5&gt;0,G5&gt;0),G5-F5,0)</f>
        <v>0</v>
      </c>
      <c r="I5" s="7" t="str">
        <f aca="false">IF(H5&gt;0.05,"High",IF(H5&gt;0.02,"Medium",IF(H5&gt;0,"Low","On Target")))</f>
        <v>On Target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29" t="n">
        <f aca="false">IF(E6&gt;0,D6/E6,0)</f>
        <v>0</v>
      </c>
      <c r="G6" s="17"/>
      <c r="H6" s="39" t="n">
        <f aca="false">IF(AND(F6&gt;0,G6&gt;0),G6-F6,0)</f>
        <v>0</v>
      </c>
      <c r="I6" s="11" t="str">
        <f aca="false">IF(H6&gt;0.05,"High",IF(H6&gt;0.02,"Medium",IF(H6&gt;0,"Low","On Target")))</f>
        <v>On Target</v>
      </c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32" t="n">
        <f aca="false">IF(E7&gt;0,D7/E7,0)</f>
        <v>0</v>
      </c>
      <c r="G7" s="18"/>
      <c r="H7" s="40" t="n">
        <f aca="false">IF(AND(F7&gt;0,G7&gt;0),G7-F7,0)</f>
        <v>0</v>
      </c>
      <c r="I7" s="7" t="str">
        <f aca="false">IF(H7&gt;0.05,"High",IF(H7&gt;0.02,"Medium",IF(H7&gt;0,"Low","On Target")))</f>
        <v>On Target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29" t="n">
        <f aca="false">IF(E8&gt;0,D8/E8,0)</f>
        <v>0</v>
      </c>
      <c r="G8" s="17"/>
      <c r="H8" s="39" t="n">
        <f aca="false">IF(AND(F8&gt;0,G8&gt;0),G8-F8,0)</f>
        <v>0</v>
      </c>
      <c r="I8" s="11" t="str">
        <f aca="false">IF(H8&gt;0.05,"High",IF(H8&gt;0.02,"Medium",IF(H8&gt;0,"Low","On Target")))</f>
        <v>On Target</v>
      </c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32" t="n">
        <f aca="false">IF(E9&gt;0,D9/E9,0)</f>
        <v>0</v>
      </c>
      <c r="G9" s="18"/>
      <c r="H9" s="40" t="n">
        <f aca="false">IF(AND(F9&gt;0,G9&gt;0),G9-F9,0)</f>
        <v>0</v>
      </c>
      <c r="I9" s="7" t="str">
        <f aca="false">IF(H9&gt;0.05,"High",IF(H9&gt;0.02,"Medium",IF(H9&gt;0,"Low","On Target")))</f>
        <v>On Target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29" t="n">
        <f aca="false">IF(E10&gt;0,D10/E10,0)</f>
        <v>0</v>
      </c>
      <c r="G10" s="17"/>
      <c r="H10" s="39" t="n">
        <f aca="false">IF(AND(F10&gt;0,G10&gt;0),G10-F10,0)</f>
        <v>0</v>
      </c>
      <c r="I10" s="11" t="str">
        <f aca="false">IF(H10&gt;0.05,"High",IF(H10&gt;0.02,"Medium",IF(H10&gt;0,"Low","On Target")))</f>
        <v>On Target</v>
      </c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32" t="n">
        <f aca="false">IF(E11&gt;0,D11/E11,0)</f>
        <v>0</v>
      </c>
      <c r="G11" s="18"/>
      <c r="H11" s="40" t="n">
        <f aca="false">IF(AND(F11&gt;0,G11&gt;0),G11-F11,0)</f>
        <v>0</v>
      </c>
      <c r="I11" s="7" t="str">
        <f aca="false">IF(H11&gt;0.05,"High",IF(H11&gt;0.02,"Medium",IF(H11&gt;0,"Low","On Target")))</f>
        <v>On Target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29" t="n">
        <f aca="false">IF(E12&gt;0,D12/E12,0)</f>
        <v>0</v>
      </c>
      <c r="G12" s="17"/>
      <c r="H12" s="39" t="n">
        <f aca="false">IF(AND(F12&gt;0,G12&gt;0),G12-F12,0)</f>
        <v>0</v>
      </c>
      <c r="I12" s="11" t="str">
        <f aca="false">IF(H12&gt;0.05,"High",IF(H12&gt;0.02,"Medium",IF(H12&gt;0,"Low","On Target")))</f>
        <v>On Target</v>
      </c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32" t="n">
        <f aca="false">IF(E13&gt;0,D13/E13,0)</f>
        <v>0</v>
      </c>
      <c r="G13" s="18"/>
      <c r="H13" s="40" t="n">
        <f aca="false">IF(AND(F13&gt;0,G13&gt;0),G13-F13,0)</f>
        <v>0</v>
      </c>
      <c r="I13" s="7" t="str">
        <f aca="false">IF(H13&gt;0.05,"High",IF(H13&gt;0.02,"Medium",IF(H13&gt;0,"Low","On Target")))</f>
        <v>On Target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29" t="n">
        <f aca="false">IF(E14&gt;0,D14/E14,0)</f>
        <v>0</v>
      </c>
      <c r="G14" s="17"/>
      <c r="H14" s="39" t="n">
        <f aca="false">IF(AND(F14&gt;0,G14&gt;0),G14-F14,0)</f>
        <v>0</v>
      </c>
      <c r="I14" s="11" t="str">
        <f aca="false">IF(H14&gt;0.05,"High",IF(H14&gt;0.02,"Medium",IF(H14&gt;0,"Low","On Target")))</f>
        <v>On Target</v>
      </c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32" t="n">
        <f aca="false">IF(E15&gt;0,D15/E15,0)</f>
        <v>0</v>
      </c>
      <c r="G15" s="18"/>
      <c r="H15" s="40" t="n">
        <f aca="false">IF(AND(F15&gt;0,G15&gt;0),G15-F15,0)</f>
        <v>0</v>
      </c>
      <c r="I15" s="7" t="str">
        <f aca="false">IF(H15&gt;0.05,"High",IF(H15&gt;0.02,"Medium",IF(H15&gt;0,"Low","On Target")))</f>
        <v>On Target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29" t="n">
        <f aca="false">IF(E16&gt;0,D16/E16,0)</f>
        <v>0</v>
      </c>
      <c r="G16" s="17"/>
      <c r="H16" s="39" t="n">
        <f aca="false">IF(AND(F16&gt;0,G16&gt;0),G16-F16,0)</f>
        <v>0</v>
      </c>
      <c r="I16" s="11" t="str">
        <f aca="false">IF(H16&gt;0.05,"High",IF(H16&gt;0.02,"Medium",IF(H16&gt;0,"Low","On Target")))</f>
        <v>On Target</v>
      </c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32" t="n">
        <f aca="false">IF(E17&gt;0,D17/E17,0)</f>
        <v>0</v>
      </c>
      <c r="G17" s="18"/>
      <c r="H17" s="40" t="n">
        <f aca="false">IF(AND(F17&gt;0,G17&gt;0),G17-F17,0)</f>
        <v>0</v>
      </c>
      <c r="I17" s="7" t="str">
        <f aca="false">IF(H17&gt;0.05,"High",IF(H17&gt;0.02,"Medium",IF(H17&gt;0,"Low","On Target")))</f>
        <v>On Target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29" t="n">
        <f aca="false">IF(E18&gt;0,D18/E18,0)</f>
        <v>0</v>
      </c>
      <c r="G18" s="17"/>
      <c r="H18" s="39" t="n">
        <f aca="false">IF(AND(F18&gt;0,G18&gt;0),G18-F18,0)</f>
        <v>0</v>
      </c>
      <c r="I18" s="11" t="str">
        <f aca="false">IF(H18&gt;0.05,"High",IF(H18&gt;0.02,"Medium",IF(H18&gt;0,"Low","On Target")))</f>
        <v>On Target</v>
      </c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32" t="n">
        <f aca="false">IF(E19&gt;0,D19/E19,0)</f>
        <v>0</v>
      </c>
      <c r="G19" s="18"/>
      <c r="H19" s="40" t="n">
        <f aca="false">IF(AND(F19&gt;0,G19&gt;0),G19-F19,0)</f>
        <v>0</v>
      </c>
      <c r="I19" s="7" t="str">
        <f aca="false">IF(H19&gt;0.05,"High",IF(H19&gt;0.02,"Medium",IF(H19&gt;0,"Low","On Target")))</f>
        <v>On Target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29" t="n">
        <f aca="false">IF(E20&gt;0,D20/E20,0)</f>
        <v>0</v>
      </c>
      <c r="G20" s="17"/>
      <c r="H20" s="39" t="n">
        <f aca="false">IF(AND(F20&gt;0,G20&gt;0),G20-F20,0)</f>
        <v>0</v>
      </c>
      <c r="I20" s="11" t="str">
        <f aca="false">IF(H20&gt;0.05,"High",IF(H20&gt;0.02,"Medium",IF(H20&gt;0,"Low","On Target")))</f>
        <v>On Target</v>
      </c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32" t="n">
        <f aca="false">IF(E21&gt;0,D21/E21,0)</f>
        <v>0</v>
      </c>
      <c r="G21" s="18"/>
      <c r="H21" s="40" t="n">
        <f aca="false">IF(AND(F21&gt;0,G21&gt;0),G21-F21,0)</f>
        <v>0</v>
      </c>
      <c r="I21" s="7" t="str">
        <f aca="false">IF(H21&gt;0.05,"High",IF(H21&gt;0.02,"Medium",IF(H21&gt;0,"Low","On Target")))</f>
        <v>On Target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29" t="n">
        <f aca="false">IF(E22&gt;0,D22/E22,0)</f>
        <v>0</v>
      </c>
      <c r="G22" s="17"/>
      <c r="H22" s="39" t="n">
        <f aca="false">IF(AND(F22&gt;0,G22&gt;0),G22-F22,0)</f>
        <v>0</v>
      </c>
      <c r="I22" s="11" t="str">
        <f aca="false">IF(H22&gt;0.05,"High",IF(H22&gt;0.02,"Medium",IF(H22&gt;0,"Low","On Target")))</f>
        <v>On Target</v>
      </c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32" t="n">
        <f aca="false">IF(E23&gt;0,D23/E23,0)</f>
        <v>0</v>
      </c>
      <c r="G23" s="18"/>
      <c r="H23" s="40" t="n">
        <f aca="false">IF(AND(F23&gt;0,G23&gt;0),G23-F23,0)</f>
        <v>0</v>
      </c>
      <c r="I23" s="7" t="str">
        <f aca="false">IF(H23&gt;0.05,"High",IF(H23&gt;0.02,"Medium",IF(H23&gt;0,"Low","On Target")))</f>
        <v>On Target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29" t="n">
        <f aca="false">IF(E24&gt;0,D24/E24,0)</f>
        <v>0</v>
      </c>
      <c r="G24" s="17"/>
      <c r="H24" s="39" t="n">
        <f aca="false">IF(AND(F24&gt;0,G24&gt;0),G24-F24,0)</f>
        <v>0</v>
      </c>
      <c r="I24" s="11" t="str">
        <f aca="false">IF(H24&gt;0.05,"High",IF(H24&gt;0.02,"Medium",IF(H24&gt;0,"Low","On Target")))</f>
        <v>On Target</v>
      </c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32" t="n">
        <f aca="false">IF(E25&gt;0,D25/E25,0)</f>
        <v>0</v>
      </c>
      <c r="G25" s="18"/>
      <c r="H25" s="40" t="n">
        <f aca="false">IF(AND(F25&gt;0,G25&gt;0),G25-F25,0)</f>
        <v>0</v>
      </c>
      <c r="I25" s="7" t="str">
        <f aca="false">IF(H25&gt;0.05,"High",IF(H25&gt;0.02,"Medium",IF(H25&gt;0,"Low","On Target")))</f>
        <v>On Target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29" t="n">
        <f aca="false">IF(E26&gt;0,D26/E26,0)</f>
        <v>0</v>
      </c>
      <c r="G26" s="17"/>
      <c r="H26" s="39" t="n">
        <f aca="false">IF(AND(F26&gt;0,G26&gt;0),G26-F26,0)</f>
        <v>0</v>
      </c>
      <c r="I26" s="11" t="str">
        <f aca="false">IF(H26&gt;0.05,"High",IF(H26&gt;0.02,"Medium",IF(H26&gt;0,"Low","On Target")))</f>
        <v>On Target</v>
      </c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32" t="n">
        <f aca="false">IF(E27&gt;0,D27/E27,0)</f>
        <v>0</v>
      </c>
      <c r="G27" s="18"/>
      <c r="H27" s="40" t="n">
        <f aca="false">IF(AND(F27&gt;0,G27&gt;0),G27-F27,0)</f>
        <v>0</v>
      </c>
      <c r="I27" s="7" t="str">
        <f aca="false">IF(H27&gt;0.05,"High",IF(H27&gt;0.02,"Medium",IF(H27&gt;0,"Low","On Target")))</f>
        <v>On Target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29" t="n">
        <f aca="false">IF(E28&gt;0,D28/E28,0)</f>
        <v>0</v>
      </c>
      <c r="G28" s="17"/>
      <c r="H28" s="39" t="n">
        <f aca="false">IF(AND(F28&gt;0,G28&gt;0),G28-F28,0)</f>
        <v>0</v>
      </c>
      <c r="I28" s="11" t="str">
        <f aca="false">IF(H28&gt;0.05,"High",IF(H28&gt;0.02,"Medium",IF(H28&gt;0,"Low","On Target")))</f>
        <v>On Target</v>
      </c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32" t="n">
        <f aca="false">IF(E29&gt;0,D29/E29,0)</f>
        <v>0</v>
      </c>
      <c r="G29" s="18"/>
      <c r="H29" s="40" t="n">
        <f aca="false">IF(AND(F29&gt;0,G29&gt;0),G29-F29,0)</f>
        <v>0</v>
      </c>
      <c r="I29" s="7" t="str">
        <f aca="false">IF(H29&gt;0.05,"High",IF(H29&gt;0.02,"Medium",IF(H29&gt;0,"Low","On Target")))</f>
        <v>On Target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29" t="n">
        <f aca="false">IF(E30&gt;0,D30/E30,0)</f>
        <v>0</v>
      </c>
      <c r="G30" s="17"/>
      <c r="H30" s="39" t="n">
        <f aca="false">IF(AND(F30&gt;0,G30&gt;0),G30-F30,0)</f>
        <v>0</v>
      </c>
      <c r="I30" s="11" t="str">
        <f aca="false">IF(H30&gt;0.05,"High",IF(H30&gt;0.02,"Medium",IF(H30&gt;0,"Low","On Target")))</f>
        <v>On Target</v>
      </c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32" t="n">
        <f aca="false">IF(E31&gt;0,D31/E31,0)</f>
        <v>0</v>
      </c>
      <c r="G31" s="18"/>
      <c r="H31" s="40" t="n">
        <f aca="false">IF(AND(F31&gt;0,G31&gt;0),G31-F31,0)</f>
        <v>0</v>
      </c>
      <c r="I31" s="7" t="str">
        <f aca="false">IF(H31&gt;0.05,"High",IF(H31&gt;0.02,"Medium",IF(H31&gt;0,"Low","On Target")))</f>
        <v>On Target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29" t="n">
        <f aca="false">IF(E32&gt;0,D32/E32,0)</f>
        <v>0</v>
      </c>
      <c r="G32" s="17"/>
      <c r="H32" s="39" t="n">
        <f aca="false">IF(AND(F32&gt;0,G32&gt;0),G32-F32,0)</f>
        <v>0</v>
      </c>
      <c r="I32" s="11" t="str">
        <f aca="false">IF(H32&gt;0.05,"High",IF(H32&gt;0.02,"Medium",IF(H32&gt;0,"Low","On Target")))</f>
        <v>On Target</v>
      </c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32" t="n">
        <f aca="false">IF(E33&gt;0,D33/E33,0)</f>
        <v>0</v>
      </c>
      <c r="G33" s="18"/>
      <c r="H33" s="40" t="n">
        <f aca="false">IF(AND(F33&gt;0,G33&gt;0),G33-F33,0)</f>
        <v>0</v>
      </c>
      <c r="I33" s="7" t="str">
        <f aca="false">IF(H33&gt;0.05,"High",IF(H33&gt;0.02,"Medium",IF(H33&gt;0,"Low","On Target")))</f>
        <v>On Target</v>
      </c>
    </row>
    <row r="34" customFormat="false" ht="15" hidden="false" customHeight="false" outlineLevel="0" collapsed="false">
      <c r="A34" s="8" t="n">
        <v>31</v>
      </c>
      <c r="B34" s="17"/>
      <c r="C34" s="17"/>
      <c r="D34" s="17"/>
      <c r="E34" s="17"/>
      <c r="F34" s="29" t="n">
        <f aca="false">IF(E34&gt;0,D34/E34,0)</f>
        <v>0</v>
      </c>
      <c r="G34" s="17"/>
      <c r="H34" s="39" t="n">
        <f aca="false">IF(AND(F34&gt;0,G34&gt;0),G34-F34,0)</f>
        <v>0</v>
      </c>
      <c r="I34" s="11" t="str">
        <f aca="false">IF(H34&gt;0.05,"High",IF(H34&gt;0.02,"Medium",IF(H34&gt;0,"Low","On Target")))</f>
        <v>On Target</v>
      </c>
    </row>
    <row r="35" customFormat="false" ht="15" hidden="false" customHeight="false" outlineLevel="0" collapsed="false">
      <c r="A35" s="4" t="n">
        <v>32</v>
      </c>
      <c r="B35" s="18"/>
      <c r="C35" s="18"/>
      <c r="D35" s="18"/>
      <c r="E35" s="18"/>
      <c r="F35" s="32" t="n">
        <f aca="false">IF(E35&gt;0,D35/E35,0)</f>
        <v>0</v>
      </c>
      <c r="G35" s="18"/>
      <c r="H35" s="40" t="n">
        <f aca="false">IF(AND(F35&gt;0,G35&gt;0),G35-F35,0)</f>
        <v>0</v>
      </c>
      <c r="I35" s="7" t="str">
        <f aca="false">IF(H35&gt;0.05,"High",IF(H35&gt;0.02,"Medium",IF(H35&gt;0,"Low","On Target")))</f>
        <v>On Target</v>
      </c>
    </row>
    <row r="36" customFormat="false" ht="15" hidden="false" customHeight="false" outlineLevel="0" collapsed="false">
      <c r="A36" s="8" t="n">
        <v>33</v>
      </c>
      <c r="B36" s="17"/>
      <c r="C36" s="17"/>
      <c r="D36" s="17"/>
      <c r="E36" s="17"/>
      <c r="F36" s="29" t="n">
        <f aca="false">IF(E36&gt;0,D36/E36,0)</f>
        <v>0</v>
      </c>
      <c r="G36" s="17"/>
      <c r="H36" s="39" t="n">
        <f aca="false">IF(AND(F36&gt;0,G36&gt;0),G36-F36,0)</f>
        <v>0</v>
      </c>
      <c r="I36" s="11" t="str">
        <f aca="false">IF(H36&gt;0.05,"High",IF(H36&gt;0.02,"Medium",IF(H36&gt;0,"Low","On Target")))</f>
        <v>On Target</v>
      </c>
    </row>
    <row r="37" customFormat="false" ht="15" hidden="false" customHeight="false" outlineLevel="0" collapsed="false">
      <c r="A37" s="4" t="n">
        <v>34</v>
      </c>
      <c r="B37" s="18"/>
      <c r="C37" s="18"/>
      <c r="D37" s="18"/>
      <c r="E37" s="18"/>
      <c r="F37" s="32" t="n">
        <f aca="false">IF(E37&gt;0,D37/E37,0)</f>
        <v>0</v>
      </c>
      <c r="G37" s="18"/>
      <c r="H37" s="40" t="n">
        <f aca="false">IF(AND(F37&gt;0,G37&gt;0),G37-F37,0)</f>
        <v>0</v>
      </c>
      <c r="I37" s="7" t="str">
        <f aca="false">IF(H37&gt;0.05,"High",IF(H37&gt;0.02,"Medium",IF(H37&gt;0,"Low","On Target")))</f>
        <v>On Target</v>
      </c>
    </row>
    <row r="38" customFormat="false" ht="15" hidden="false" customHeight="false" outlineLevel="0" collapsed="false">
      <c r="A38" s="8" t="n">
        <v>35</v>
      </c>
      <c r="B38" s="17"/>
      <c r="C38" s="17"/>
      <c r="D38" s="17"/>
      <c r="E38" s="17"/>
      <c r="F38" s="29" t="n">
        <f aca="false">IF(E38&gt;0,D38/E38,0)</f>
        <v>0</v>
      </c>
      <c r="G38" s="17"/>
      <c r="H38" s="39" t="n">
        <f aca="false">IF(AND(F38&gt;0,G38&gt;0),G38-F38,0)</f>
        <v>0</v>
      </c>
      <c r="I38" s="11" t="str">
        <f aca="false">IF(H38&gt;0.05,"High",IF(H38&gt;0.02,"Medium",IF(H38&gt;0,"Low","On Target")))</f>
        <v>On Target</v>
      </c>
    </row>
    <row r="39" customFormat="false" ht="15" hidden="false" customHeight="false" outlineLevel="0" collapsed="false">
      <c r="A39" s="4" t="n">
        <v>36</v>
      </c>
      <c r="B39" s="18"/>
      <c r="C39" s="18"/>
      <c r="D39" s="18"/>
      <c r="E39" s="18"/>
      <c r="F39" s="32" t="n">
        <f aca="false">IF(E39&gt;0,D39/E39,0)</f>
        <v>0</v>
      </c>
      <c r="G39" s="18"/>
      <c r="H39" s="40" t="n">
        <f aca="false">IF(AND(F39&gt;0,G39&gt;0),G39-F39,0)</f>
        <v>0</v>
      </c>
      <c r="I39" s="7" t="str">
        <f aca="false">IF(H39&gt;0.05,"High",IF(H39&gt;0.02,"Medium",IF(H39&gt;0,"Low","On Target")))</f>
        <v>On Target</v>
      </c>
    </row>
    <row r="40" customFormat="false" ht="15" hidden="false" customHeight="false" outlineLevel="0" collapsed="false">
      <c r="A40" s="8" t="n">
        <v>37</v>
      </c>
      <c r="B40" s="17"/>
      <c r="C40" s="17"/>
      <c r="D40" s="17"/>
      <c r="E40" s="17"/>
      <c r="F40" s="29" t="n">
        <f aca="false">IF(E40&gt;0,D40/E40,0)</f>
        <v>0</v>
      </c>
      <c r="G40" s="17"/>
      <c r="H40" s="39" t="n">
        <f aca="false">IF(AND(F40&gt;0,G40&gt;0),G40-F40,0)</f>
        <v>0</v>
      </c>
      <c r="I40" s="11" t="str">
        <f aca="false">IF(H40&gt;0.05,"High",IF(H40&gt;0.02,"Medium",IF(H40&gt;0,"Low","On Target")))</f>
        <v>On Target</v>
      </c>
    </row>
    <row r="41" customFormat="false" ht="15" hidden="false" customHeight="false" outlineLevel="0" collapsed="false">
      <c r="A41" s="4" t="n">
        <v>38</v>
      </c>
      <c r="B41" s="18"/>
      <c r="C41" s="18"/>
      <c r="D41" s="18"/>
      <c r="E41" s="18"/>
      <c r="F41" s="32" t="n">
        <f aca="false">IF(E41&gt;0,D41/E41,0)</f>
        <v>0</v>
      </c>
      <c r="G41" s="18"/>
      <c r="H41" s="40" t="n">
        <f aca="false">IF(AND(F41&gt;0,G41&gt;0),G41-F41,0)</f>
        <v>0</v>
      </c>
      <c r="I41" s="7" t="str">
        <f aca="false">IF(H41&gt;0.05,"High",IF(H41&gt;0.02,"Medium",IF(H41&gt;0,"Low","On Target")))</f>
        <v>On Target</v>
      </c>
    </row>
    <row r="42" customFormat="false" ht="15" hidden="false" customHeight="false" outlineLevel="0" collapsed="false">
      <c r="A42" s="8" t="n">
        <v>39</v>
      </c>
      <c r="B42" s="17"/>
      <c r="C42" s="17"/>
      <c r="D42" s="17"/>
      <c r="E42" s="17"/>
      <c r="F42" s="29" t="n">
        <f aca="false">IF(E42&gt;0,D42/E42,0)</f>
        <v>0</v>
      </c>
      <c r="G42" s="17"/>
      <c r="H42" s="39" t="n">
        <f aca="false">IF(AND(F42&gt;0,G42&gt;0),G42-F42,0)</f>
        <v>0</v>
      </c>
      <c r="I42" s="11" t="str">
        <f aca="false">IF(H42&gt;0.05,"High",IF(H42&gt;0.02,"Medium",IF(H42&gt;0,"Low","On Target")))</f>
        <v>On Target</v>
      </c>
    </row>
    <row r="43" customFormat="false" ht="15" hidden="false" customHeight="false" outlineLevel="0" collapsed="false">
      <c r="A43" s="4" t="n">
        <v>40</v>
      </c>
      <c r="B43" s="18"/>
      <c r="C43" s="18"/>
      <c r="D43" s="18"/>
      <c r="E43" s="18"/>
      <c r="F43" s="32" t="n">
        <f aca="false">IF(E43&gt;0,D43/E43,0)</f>
        <v>0</v>
      </c>
      <c r="G43" s="18"/>
      <c r="H43" s="40" t="n">
        <f aca="false">IF(AND(F43&gt;0,G43&gt;0),G43-F43,0)</f>
        <v>0</v>
      </c>
      <c r="I43" s="7" t="str">
        <f aca="false">IF(H43&gt;0.05,"High",IF(H43&gt;0.02,"Medium",IF(H43&gt;0,"Low","On Target")))</f>
        <v>On Target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6"/>
    <col collapsed="false" customWidth="true" hidden="false" outlineLevel="0" max="10" min="9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41" t="s">
        <v>84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customFormat="false" ht="25.5" hidden="false" customHeight="true" outlineLevel="0" collapsed="false">
      <c r="A2" s="42" t="s">
        <v>85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customFormat="false" ht="23.85" hidden="false" customHeight="false" outlineLevel="0" collapsed="false">
      <c r="A3" s="43" t="s">
        <v>32</v>
      </c>
      <c r="B3" s="43" t="s">
        <v>33</v>
      </c>
      <c r="C3" s="43" t="s">
        <v>34</v>
      </c>
      <c r="D3" s="43" t="s">
        <v>86</v>
      </c>
      <c r="E3" s="43" t="s">
        <v>87</v>
      </c>
      <c r="F3" s="43" t="s">
        <v>88</v>
      </c>
      <c r="G3" s="43" t="s">
        <v>89</v>
      </c>
      <c r="H3" s="43" t="s">
        <v>90</v>
      </c>
      <c r="I3" s="43" t="s">
        <v>91</v>
      </c>
      <c r="J3" s="43" t="s">
        <v>92</v>
      </c>
      <c r="K3" s="43" t="s">
        <v>93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29" t="n">
        <f aca="false">IF(AND(D4&gt;0,H4&gt;0),H4-D4,0)</f>
        <v>0</v>
      </c>
      <c r="J4" s="44" t="n">
        <f aca="false">IFERROR(IF(D4&gt;0,(H4-D4)/D4*100,0),0)</f>
        <v>0</v>
      </c>
      <c r="K4" s="11" t="str">
        <f aca="false">IF(I4&gt;0.01,"Improving",IF(I4&gt;0,"Stable",IF(I4&lt;-0.01,"Worsening","Flat")))</f>
        <v>Flat</v>
      </c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32" t="n">
        <f aca="false">IF(AND(D5&gt;0,H5&gt;0),H5-D5,0)</f>
        <v>0</v>
      </c>
      <c r="J5" s="45" t="n">
        <f aca="false">IFERROR(IF(D5&gt;0,(H5-D5)/D5*100,0),0)</f>
        <v>0</v>
      </c>
      <c r="K5" s="7" t="str">
        <f aca="false">IF(I5&gt;0.01,"Improving",IF(I5&gt;0,"Stable",IF(I5&lt;-0.01,"Worsening","Flat")))</f>
        <v>Flat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29" t="n">
        <f aca="false">IF(AND(D6&gt;0,H6&gt;0),H6-D6,0)</f>
        <v>0</v>
      </c>
      <c r="J6" s="44" t="n">
        <f aca="false">IFERROR(IF(D6&gt;0,(H6-D6)/D6*100,0),0)</f>
        <v>0</v>
      </c>
      <c r="K6" s="11" t="str">
        <f aca="false">IF(I6&gt;0.01,"Improving",IF(I6&gt;0,"Stable",IF(I6&lt;-0.01,"Worsening","Flat")))</f>
        <v>Flat</v>
      </c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32" t="n">
        <f aca="false">IF(AND(D7&gt;0,H7&gt;0),H7-D7,0)</f>
        <v>0</v>
      </c>
      <c r="J7" s="45" t="n">
        <f aca="false">IFERROR(IF(D7&gt;0,(H7-D7)/D7*100,0),0)</f>
        <v>0</v>
      </c>
      <c r="K7" s="7" t="str">
        <f aca="false">IF(I7&gt;0.01,"Improving",IF(I7&gt;0,"Stable",IF(I7&lt;-0.01,"Worsening","Flat")))</f>
        <v>Flat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29" t="n">
        <f aca="false">IF(AND(D8&gt;0,H8&gt;0),H8-D8,0)</f>
        <v>0</v>
      </c>
      <c r="J8" s="44" t="n">
        <f aca="false">IFERROR(IF(D8&gt;0,(H8-D8)/D8*100,0),0)</f>
        <v>0</v>
      </c>
      <c r="K8" s="11" t="str">
        <f aca="false">IF(I8&gt;0.01,"Improving",IF(I8&gt;0,"Stable",IF(I8&lt;-0.01,"Worsening","Flat")))</f>
        <v>Flat</v>
      </c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32" t="n">
        <f aca="false">IF(AND(D9&gt;0,H9&gt;0),H9-D9,0)</f>
        <v>0</v>
      </c>
      <c r="J9" s="45" t="n">
        <f aca="false">IFERROR(IF(D9&gt;0,(H9-D9)/D9*100,0),0)</f>
        <v>0</v>
      </c>
      <c r="K9" s="7" t="str">
        <f aca="false">IF(I9&gt;0.01,"Improving",IF(I9&gt;0,"Stable",IF(I9&lt;-0.01,"Worsening","Flat")))</f>
        <v>Flat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29" t="n">
        <f aca="false">IF(AND(D10&gt;0,H10&gt;0),H10-D10,0)</f>
        <v>0</v>
      </c>
      <c r="J10" s="44" t="n">
        <f aca="false">IFERROR(IF(D10&gt;0,(H10-D10)/D10*100,0),0)</f>
        <v>0</v>
      </c>
      <c r="K10" s="11" t="str">
        <f aca="false">IF(I10&gt;0.01,"Improving",IF(I10&gt;0,"Stable",IF(I10&lt;-0.01,"Worsening","Flat")))</f>
        <v>Flat</v>
      </c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32" t="n">
        <f aca="false">IF(AND(D11&gt;0,H11&gt;0),H11-D11,0)</f>
        <v>0</v>
      </c>
      <c r="J11" s="45" t="n">
        <f aca="false">IFERROR(IF(D11&gt;0,(H11-D11)/D11*100,0),0)</f>
        <v>0</v>
      </c>
      <c r="K11" s="7" t="str">
        <f aca="false">IF(I11&gt;0.01,"Improving",IF(I11&gt;0,"Stable",IF(I11&lt;-0.01,"Worsening","Flat")))</f>
        <v>Flat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29" t="n">
        <f aca="false">IF(AND(D12&gt;0,H12&gt;0),H12-D12,0)</f>
        <v>0</v>
      </c>
      <c r="J12" s="44" t="n">
        <f aca="false">IFERROR(IF(D12&gt;0,(H12-D12)/D12*100,0),0)</f>
        <v>0</v>
      </c>
      <c r="K12" s="11" t="str">
        <f aca="false">IF(I12&gt;0.01,"Improving",IF(I12&gt;0,"Stable",IF(I12&lt;-0.01,"Worsening","Flat")))</f>
        <v>Flat</v>
      </c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32" t="n">
        <f aca="false">IF(AND(D13&gt;0,H13&gt;0),H13-D13,0)</f>
        <v>0</v>
      </c>
      <c r="J13" s="45" t="n">
        <f aca="false">IFERROR(IF(D13&gt;0,(H13-D13)/D13*100,0),0)</f>
        <v>0</v>
      </c>
      <c r="K13" s="7" t="str">
        <f aca="false">IF(I13&gt;0.01,"Improving",IF(I13&gt;0,"Stable",IF(I13&lt;-0.01,"Worsening","Flat")))</f>
        <v>Flat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29" t="n">
        <f aca="false">IF(AND(D14&gt;0,H14&gt;0),H14-D14,0)</f>
        <v>0</v>
      </c>
      <c r="J14" s="44" t="n">
        <f aca="false">IFERROR(IF(D14&gt;0,(H14-D14)/D14*100,0),0)</f>
        <v>0</v>
      </c>
      <c r="K14" s="11" t="str">
        <f aca="false">IF(I14&gt;0.01,"Improving",IF(I14&gt;0,"Stable",IF(I14&lt;-0.01,"Worsening","Flat")))</f>
        <v>Flat</v>
      </c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32" t="n">
        <f aca="false">IF(AND(D15&gt;0,H15&gt;0),H15-D15,0)</f>
        <v>0</v>
      </c>
      <c r="J15" s="45" t="n">
        <f aca="false">IFERROR(IF(D15&gt;0,(H15-D15)/D15*100,0),0)</f>
        <v>0</v>
      </c>
      <c r="K15" s="7" t="str">
        <f aca="false">IF(I15&gt;0.01,"Improving",IF(I15&gt;0,"Stable",IF(I15&lt;-0.01,"Worsening","Flat")))</f>
        <v>Flat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29" t="n">
        <f aca="false">IF(AND(D16&gt;0,H16&gt;0),H16-D16,0)</f>
        <v>0</v>
      </c>
      <c r="J16" s="44" t="n">
        <f aca="false">IFERROR(IF(D16&gt;0,(H16-D16)/D16*100,0),0)</f>
        <v>0</v>
      </c>
      <c r="K16" s="11" t="str">
        <f aca="false">IF(I16&gt;0.01,"Improving",IF(I16&gt;0,"Stable",IF(I16&lt;-0.01,"Worsening","Flat")))</f>
        <v>Flat</v>
      </c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32" t="n">
        <f aca="false">IF(AND(D17&gt;0,H17&gt;0),H17-D17,0)</f>
        <v>0</v>
      </c>
      <c r="J17" s="45" t="n">
        <f aca="false">IFERROR(IF(D17&gt;0,(H17-D17)/D17*100,0),0)</f>
        <v>0</v>
      </c>
      <c r="K17" s="7" t="str">
        <f aca="false">IF(I17&gt;0.01,"Improving",IF(I17&gt;0,"Stable",IF(I17&lt;-0.01,"Worsening","Flat")))</f>
        <v>Flat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29" t="n">
        <f aca="false">IF(AND(D18&gt;0,H18&gt;0),H18-D18,0)</f>
        <v>0</v>
      </c>
      <c r="J18" s="44" t="n">
        <f aca="false">IFERROR(IF(D18&gt;0,(H18-D18)/D18*100,0),0)</f>
        <v>0</v>
      </c>
      <c r="K18" s="11" t="str">
        <f aca="false">IF(I18&gt;0.01,"Improving",IF(I18&gt;0,"Stable",IF(I18&lt;-0.01,"Worsening","Flat")))</f>
        <v>Flat</v>
      </c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32" t="n">
        <f aca="false">IF(AND(D19&gt;0,H19&gt;0),H19-D19,0)</f>
        <v>0</v>
      </c>
      <c r="J19" s="45" t="n">
        <f aca="false">IFERROR(IF(D19&gt;0,(H19-D19)/D19*100,0),0)</f>
        <v>0</v>
      </c>
      <c r="K19" s="7" t="str">
        <f aca="false">IF(I19&gt;0.01,"Improving",IF(I19&gt;0,"Stable",IF(I19&lt;-0.01,"Worsening","Flat")))</f>
        <v>Flat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29" t="n">
        <f aca="false">IF(AND(D20&gt;0,H20&gt;0),H20-D20,0)</f>
        <v>0</v>
      </c>
      <c r="J20" s="44" t="n">
        <f aca="false">IFERROR(IF(D20&gt;0,(H20-D20)/D20*100,0),0)</f>
        <v>0</v>
      </c>
      <c r="K20" s="11" t="str">
        <f aca="false">IF(I20&gt;0.01,"Improving",IF(I20&gt;0,"Stable",IF(I20&lt;-0.01,"Worsening","Flat")))</f>
        <v>Flat</v>
      </c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32" t="n">
        <f aca="false">IF(AND(D21&gt;0,H21&gt;0),H21-D21,0)</f>
        <v>0</v>
      </c>
      <c r="J21" s="45" t="n">
        <f aca="false">IFERROR(IF(D21&gt;0,(H21-D21)/D21*100,0),0)</f>
        <v>0</v>
      </c>
      <c r="K21" s="7" t="str">
        <f aca="false">IF(I21&gt;0.01,"Improving",IF(I21&gt;0,"Stable",IF(I21&lt;-0.01,"Worsening","Flat")))</f>
        <v>Flat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29" t="n">
        <f aca="false">IF(AND(D22&gt;0,H22&gt;0),H22-D22,0)</f>
        <v>0</v>
      </c>
      <c r="J22" s="44" t="n">
        <f aca="false">IFERROR(IF(D22&gt;0,(H22-D22)/D22*100,0),0)</f>
        <v>0</v>
      </c>
      <c r="K22" s="11" t="str">
        <f aca="false">IF(I22&gt;0.01,"Improving",IF(I22&gt;0,"Stable",IF(I22&lt;-0.01,"Worsening","Flat")))</f>
        <v>Flat</v>
      </c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32" t="n">
        <f aca="false">IF(AND(D23&gt;0,H23&gt;0),H23-D23,0)</f>
        <v>0</v>
      </c>
      <c r="J23" s="45" t="n">
        <f aca="false">IFERROR(IF(D23&gt;0,(H23-D23)/D23*100,0),0)</f>
        <v>0</v>
      </c>
      <c r="K23" s="7" t="str">
        <f aca="false">IF(I23&gt;0.01,"Improving",IF(I23&gt;0,"Stable",IF(I23&lt;-0.01,"Worsening","Flat")))</f>
        <v>Flat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29" t="n">
        <f aca="false">IF(AND(D24&gt;0,H24&gt;0),H24-D24,0)</f>
        <v>0</v>
      </c>
      <c r="J24" s="44" t="n">
        <f aca="false">IFERROR(IF(D24&gt;0,(H24-D24)/D24*100,0),0)</f>
        <v>0</v>
      </c>
      <c r="K24" s="11" t="str">
        <f aca="false">IF(I24&gt;0.01,"Improving",IF(I24&gt;0,"Stable",IF(I24&lt;-0.01,"Worsening","Flat")))</f>
        <v>Flat</v>
      </c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32" t="n">
        <f aca="false">IF(AND(D25&gt;0,H25&gt;0),H25-D25,0)</f>
        <v>0</v>
      </c>
      <c r="J25" s="45" t="n">
        <f aca="false">IFERROR(IF(D25&gt;0,(H25-D25)/D25*100,0),0)</f>
        <v>0</v>
      </c>
      <c r="K25" s="7" t="str">
        <f aca="false">IF(I25&gt;0.01,"Improving",IF(I25&gt;0,"Stable",IF(I25&lt;-0.01,"Worsening","Flat")))</f>
        <v>Flat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29" t="n">
        <f aca="false">IF(AND(D26&gt;0,H26&gt;0),H26-D26,0)</f>
        <v>0</v>
      </c>
      <c r="J26" s="44" t="n">
        <f aca="false">IFERROR(IF(D26&gt;0,(H26-D26)/D26*100,0),0)</f>
        <v>0</v>
      </c>
      <c r="K26" s="11" t="str">
        <f aca="false">IF(I26&gt;0.01,"Improving",IF(I26&gt;0,"Stable",IF(I26&lt;-0.01,"Worsening","Flat")))</f>
        <v>Flat</v>
      </c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32" t="n">
        <f aca="false">IF(AND(D27&gt;0,H27&gt;0),H27-D27,0)</f>
        <v>0</v>
      </c>
      <c r="J27" s="45" t="n">
        <f aca="false">IFERROR(IF(D27&gt;0,(H27-D27)/D27*100,0),0)</f>
        <v>0</v>
      </c>
      <c r="K27" s="7" t="str">
        <f aca="false">IF(I27&gt;0.01,"Improving",IF(I27&gt;0,"Stable",IF(I27&lt;-0.01,"Worsening","Flat")))</f>
        <v>Flat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29" t="n">
        <f aca="false">IF(AND(D28&gt;0,H28&gt;0),H28-D28,0)</f>
        <v>0</v>
      </c>
      <c r="J28" s="44" t="n">
        <f aca="false">IFERROR(IF(D28&gt;0,(H28-D28)/D28*100,0),0)</f>
        <v>0</v>
      </c>
      <c r="K28" s="11" t="str">
        <f aca="false">IF(I28&gt;0.01,"Improving",IF(I28&gt;0,"Stable",IF(I28&lt;-0.01,"Worsening","Flat")))</f>
        <v>Flat</v>
      </c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32" t="n">
        <f aca="false">IF(AND(D29&gt;0,H29&gt;0),H29-D29,0)</f>
        <v>0</v>
      </c>
      <c r="J29" s="45" t="n">
        <f aca="false">IFERROR(IF(D29&gt;0,(H29-D29)/D29*100,0),0)</f>
        <v>0</v>
      </c>
      <c r="K29" s="7" t="str">
        <f aca="false">IF(I29&gt;0.01,"Improving",IF(I29&gt;0,"Stable",IF(I29&lt;-0.01,"Worsening","Flat")))</f>
        <v>Flat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29" t="n">
        <f aca="false">IF(AND(D30&gt;0,H30&gt;0),H30-D30,0)</f>
        <v>0</v>
      </c>
      <c r="J30" s="44" t="n">
        <f aca="false">IFERROR(IF(D30&gt;0,(H30-D30)/D30*100,0),0)</f>
        <v>0</v>
      </c>
      <c r="K30" s="11" t="str">
        <f aca="false">IF(I30&gt;0.01,"Improving",IF(I30&gt;0,"Stable",IF(I30&lt;-0.01,"Worsening","Flat")))</f>
        <v>Flat</v>
      </c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32" t="n">
        <f aca="false">IF(AND(D31&gt;0,H31&gt;0),H31-D31,0)</f>
        <v>0</v>
      </c>
      <c r="J31" s="45" t="n">
        <f aca="false">IFERROR(IF(D31&gt;0,(H31-D31)/D31*100,0),0)</f>
        <v>0</v>
      </c>
      <c r="K31" s="7" t="str">
        <f aca="false">IF(I31&gt;0.01,"Improving",IF(I31&gt;0,"Stable",IF(I31&lt;-0.01,"Worsening","Flat")))</f>
        <v>Flat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29" t="n">
        <f aca="false">IF(AND(D32&gt;0,H32&gt;0),H32-D32,0)</f>
        <v>0</v>
      </c>
      <c r="J32" s="44" t="n">
        <f aca="false">IFERROR(IF(D32&gt;0,(H32-D32)/D32*100,0),0)</f>
        <v>0</v>
      </c>
      <c r="K32" s="11" t="str">
        <f aca="false">IF(I32&gt;0.01,"Improving",IF(I32&gt;0,"Stable",IF(I32&lt;-0.01,"Worsening","Flat")))</f>
        <v>Flat</v>
      </c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32" t="n">
        <f aca="false">IF(AND(D33&gt;0,H33&gt;0),H33-D33,0)</f>
        <v>0</v>
      </c>
      <c r="J33" s="45" t="n">
        <f aca="false">IFERROR(IF(D33&gt;0,(H33-D33)/D33*100,0),0)</f>
        <v>0</v>
      </c>
      <c r="K33" s="7" t="str">
        <f aca="false">IF(I33&gt;0.01,"Improving",IF(I33&gt;0,"Stable",IF(I33&lt;-0.01,"Worsening","Flat")))</f>
        <v>Flat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46" t="s">
        <v>94</v>
      </c>
      <c r="B1" s="46"/>
      <c r="C1" s="46"/>
      <c r="D1" s="46"/>
      <c r="E1" s="46"/>
      <c r="F1" s="46"/>
      <c r="G1" s="46"/>
    </row>
    <row r="2" customFormat="false" ht="25.5" hidden="false" customHeight="true" outlineLevel="0" collapsed="false">
      <c r="A2" s="24" t="s">
        <v>95</v>
      </c>
      <c r="B2" s="24"/>
      <c r="C2" s="24"/>
      <c r="D2" s="24"/>
      <c r="E2" s="24"/>
      <c r="F2" s="24"/>
      <c r="G2" s="24"/>
    </row>
    <row r="3" customFormat="false" ht="15" hidden="false" customHeight="false" outlineLevel="0" collapsed="false">
      <c r="A3" s="25" t="s">
        <v>2</v>
      </c>
      <c r="B3" s="25" t="s">
        <v>33</v>
      </c>
      <c r="C3" s="25" t="s">
        <v>96</v>
      </c>
      <c r="D3" s="25" t="s">
        <v>97</v>
      </c>
      <c r="E3" s="25" t="s">
        <v>98</v>
      </c>
      <c r="F3" s="25" t="s">
        <v>99</v>
      </c>
      <c r="G3" s="25" t="s">
        <v>100</v>
      </c>
    </row>
    <row r="4" customFormat="false" ht="27.75" hidden="false" customHeight="true" outlineLevel="0" collapsed="false">
      <c r="A4" s="8" t="n">
        <v>1</v>
      </c>
      <c r="B4" s="17"/>
      <c r="C4" s="10" t="s">
        <v>101</v>
      </c>
      <c r="D4" s="11" t="s">
        <v>102</v>
      </c>
      <c r="E4" s="17"/>
      <c r="F4" s="17"/>
      <c r="G4" s="17"/>
    </row>
    <row r="5" customFormat="false" ht="27.75" hidden="false" customHeight="true" outlineLevel="0" collapsed="false">
      <c r="A5" s="4" t="n">
        <v>2</v>
      </c>
      <c r="B5" s="18"/>
      <c r="C5" s="6" t="s">
        <v>103</v>
      </c>
      <c r="D5" s="7" t="s">
        <v>102</v>
      </c>
      <c r="E5" s="18"/>
      <c r="F5" s="18"/>
      <c r="G5" s="18"/>
    </row>
    <row r="6" customFormat="false" ht="27.75" hidden="false" customHeight="true" outlineLevel="0" collapsed="false">
      <c r="A6" s="8" t="n">
        <v>3</v>
      </c>
      <c r="B6" s="17"/>
      <c r="C6" s="10" t="s">
        <v>104</v>
      </c>
      <c r="D6" s="11" t="s">
        <v>102</v>
      </c>
      <c r="E6" s="17"/>
      <c r="F6" s="17"/>
      <c r="G6" s="17"/>
    </row>
    <row r="7" customFormat="false" ht="27.75" hidden="false" customHeight="true" outlineLevel="0" collapsed="false">
      <c r="A7" s="4" t="n">
        <v>4</v>
      </c>
      <c r="B7" s="18"/>
      <c r="C7" s="6" t="s">
        <v>105</v>
      </c>
      <c r="D7" s="7" t="s">
        <v>102</v>
      </c>
      <c r="E7" s="18"/>
      <c r="F7" s="18"/>
      <c r="G7" s="18"/>
    </row>
    <row r="8" customFormat="false" ht="27.75" hidden="false" customHeight="true" outlineLevel="0" collapsed="false">
      <c r="A8" s="8" t="n">
        <v>5</v>
      </c>
      <c r="B8" s="17"/>
      <c r="C8" s="10" t="s">
        <v>106</v>
      </c>
      <c r="D8" s="11" t="s">
        <v>102</v>
      </c>
      <c r="E8" s="17"/>
      <c r="F8" s="17"/>
      <c r="G8" s="17"/>
    </row>
    <row r="9" customFormat="false" ht="27.75" hidden="false" customHeight="true" outlineLevel="0" collapsed="false">
      <c r="A9" s="4" t="n">
        <v>6</v>
      </c>
      <c r="B9" s="18"/>
      <c r="C9" s="6" t="s">
        <v>107</v>
      </c>
      <c r="D9" s="7" t="s">
        <v>108</v>
      </c>
      <c r="E9" s="18"/>
      <c r="F9" s="18"/>
      <c r="G9" s="18"/>
    </row>
    <row r="10" customFormat="false" ht="27.75" hidden="false" customHeight="true" outlineLevel="0" collapsed="false">
      <c r="A10" s="8" t="n">
        <v>7</v>
      </c>
      <c r="B10" s="17"/>
      <c r="C10" s="10" t="s">
        <v>109</v>
      </c>
      <c r="D10" s="11" t="s">
        <v>108</v>
      </c>
      <c r="E10" s="17"/>
      <c r="F10" s="17"/>
      <c r="G10" s="17"/>
    </row>
    <row r="11" customFormat="false" ht="27.75" hidden="false" customHeight="true" outlineLevel="0" collapsed="false">
      <c r="A11" s="4" t="n">
        <v>8</v>
      </c>
      <c r="B11" s="18"/>
      <c r="C11" s="6" t="s">
        <v>110</v>
      </c>
      <c r="D11" s="7" t="s">
        <v>108</v>
      </c>
      <c r="E11" s="18"/>
      <c r="F11" s="18"/>
      <c r="G11" s="18"/>
    </row>
    <row r="12" customFormat="false" ht="27.75" hidden="false" customHeight="true" outlineLevel="0" collapsed="false">
      <c r="A12" s="8" t="n">
        <v>9</v>
      </c>
      <c r="B12" s="17"/>
      <c r="C12" s="10" t="s">
        <v>111</v>
      </c>
      <c r="D12" s="11" t="s">
        <v>108</v>
      </c>
      <c r="E12" s="17"/>
      <c r="F12" s="17"/>
      <c r="G12" s="17"/>
    </row>
    <row r="13" customFormat="false" ht="27.75" hidden="false" customHeight="true" outlineLevel="0" collapsed="false">
      <c r="A13" s="4" t="n">
        <v>10</v>
      </c>
      <c r="B13" s="18"/>
      <c r="C13" s="6" t="s">
        <v>112</v>
      </c>
      <c r="D13" s="7" t="s">
        <v>108</v>
      </c>
      <c r="E13" s="18"/>
      <c r="F13" s="18"/>
      <c r="G13" s="18"/>
    </row>
    <row r="14" customFormat="false" ht="27.75" hidden="false" customHeight="true" outlineLevel="0" collapsed="false">
      <c r="A14" s="8" t="n">
        <v>11</v>
      </c>
      <c r="B14" s="17"/>
      <c r="C14" s="10" t="s">
        <v>113</v>
      </c>
      <c r="D14" s="11" t="s">
        <v>108</v>
      </c>
      <c r="E14" s="17"/>
      <c r="F14" s="17"/>
      <c r="G14" s="17"/>
    </row>
    <row r="15" customFormat="false" ht="27.75" hidden="false" customHeight="true" outlineLevel="0" collapsed="false">
      <c r="A15" s="4" t="n">
        <v>12</v>
      </c>
      <c r="B15" s="18"/>
      <c r="C15" s="6" t="s">
        <v>114</v>
      </c>
      <c r="D15" s="7" t="s">
        <v>108</v>
      </c>
      <c r="E15" s="18"/>
      <c r="F15" s="18"/>
      <c r="G15" s="18"/>
    </row>
    <row r="16" customFormat="false" ht="27.75" hidden="false" customHeight="true" outlineLevel="0" collapsed="false">
      <c r="A16" s="8" t="n">
        <v>13</v>
      </c>
      <c r="B16" s="17"/>
      <c r="C16" s="10" t="s">
        <v>115</v>
      </c>
      <c r="D16" s="11" t="s">
        <v>116</v>
      </c>
      <c r="E16" s="17"/>
      <c r="F16" s="17"/>
      <c r="G16" s="17"/>
    </row>
    <row r="17" customFormat="false" ht="27.75" hidden="false" customHeight="true" outlineLevel="0" collapsed="false">
      <c r="A17" s="4" t="n">
        <v>14</v>
      </c>
      <c r="B17" s="18"/>
      <c r="C17" s="6" t="s">
        <v>117</v>
      </c>
      <c r="D17" s="7" t="s">
        <v>116</v>
      </c>
      <c r="E17" s="18"/>
      <c r="F17" s="18"/>
      <c r="G17" s="18"/>
    </row>
    <row r="18" customFormat="false" ht="27.75" hidden="false" customHeight="true" outlineLevel="0" collapsed="false">
      <c r="A18" s="8" t="n">
        <v>15</v>
      </c>
      <c r="B18" s="17"/>
      <c r="C18" s="10" t="s">
        <v>118</v>
      </c>
      <c r="D18" s="11" t="s">
        <v>116</v>
      </c>
      <c r="E18" s="17"/>
      <c r="F18" s="17"/>
      <c r="G18" s="17"/>
    </row>
    <row r="19" customFormat="false" ht="27.75" hidden="false" customHeight="true" outlineLevel="0" collapsed="false">
      <c r="A19" s="4" t="n">
        <v>16</v>
      </c>
      <c r="B19" s="18"/>
      <c r="C19" s="6" t="s">
        <v>119</v>
      </c>
      <c r="D19" s="7" t="s">
        <v>116</v>
      </c>
      <c r="E19" s="18"/>
      <c r="F19" s="18"/>
      <c r="G19" s="18"/>
    </row>
    <row r="21" customFormat="false" ht="25.5" hidden="false" customHeight="true" outlineLevel="0" collapsed="false">
      <c r="A21" s="27" t="s">
        <v>120</v>
      </c>
      <c r="B21" s="27"/>
      <c r="C21" s="27"/>
      <c r="D21" s="27"/>
      <c r="E21" s="27"/>
      <c r="F21" s="27"/>
      <c r="G21" s="27"/>
    </row>
    <row r="22" customFormat="false" ht="15" hidden="false" customHeight="true" outlineLevel="0" collapsed="false">
      <c r="A22" s="35" t="s">
        <v>121</v>
      </c>
      <c r="B22" s="35"/>
      <c r="C22" s="35"/>
      <c r="D22" s="47" t="n">
        <f aca="false">COUNTIF(E4:E19,"Done")</f>
        <v>0</v>
      </c>
      <c r="E22" s="37"/>
      <c r="F22" s="37"/>
      <c r="G22" s="37"/>
    </row>
    <row r="23" customFormat="false" ht="15" hidden="false" customHeight="true" outlineLevel="0" collapsed="false">
      <c r="A23" s="35" t="s">
        <v>122</v>
      </c>
      <c r="B23" s="35"/>
      <c r="C23" s="35"/>
      <c r="D23" s="47" t="n">
        <f aca="false">COUNTIF(E4:E19,"IP")</f>
        <v>0</v>
      </c>
      <c r="E23" s="37"/>
      <c r="F23" s="37"/>
      <c r="G23" s="37"/>
    </row>
    <row r="24" customFormat="false" ht="15" hidden="false" customHeight="true" outlineLevel="0" collapsed="false">
      <c r="A24" s="35" t="s">
        <v>123</v>
      </c>
      <c r="B24" s="35"/>
      <c r="C24" s="35"/>
      <c r="D24" s="47" t="n">
        <f aca="false">IFERROR(COUNTIF(E4:E19,"Done")/16*100,0)</f>
        <v>0</v>
      </c>
      <c r="E24" s="37"/>
      <c r="F24" s="37"/>
      <c r="G24" s="37"/>
    </row>
  </sheetData>
  <mergeCells count="6">
    <mergeCell ref="A1:G1"/>
    <mergeCell ref="A2:G2"/>
    <mergeCell ref="A21:G21"/>
    <mergeCell ref="A22:C22"/>
    <mergeCell ref="A23:C2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33.75" hidden="false" customHeight="true" outlineLevel="0" collapsed="false">
      <c r="A1" s="48" t="s">
        <v>124</v>
      </c>
      <c r="B1" s="48"/>
      <c r="C1" s="48"/>
      <c r="D1" s="48"/>
      <c r="E1" s="48"/>
    </row>
    <row r="2" customFormat="false" ht="25.5" hidden="false" customHeight="true" outlineLevel="0" collapsed="false">
      <c r="A2" s="49" t="s">
        <v>125</v>
      </c>
      <c r="B2" s="49"/>
      <c r="C2" s="49"/>
      <c r="D2" s="49"/>
      <c r="E2" s="49"/>
    </row>
    <row r="3" customFormat="false" ht="15" hidden="false" customHeight="false" outlineLevel="0" collapsed="false">
      <c r="A3" s="50" t="s">
        <v>2</v>
      </c>
      <c r="B3" s="50" t="s">
        <v>126</v>
      </c>
      <c r="C3" s="50" t="s">
        <v>127</v>
      </c>
      <c r="D3" s="50" t="s">
        <v>128</v>
      </c>
      <c r="E3" s="50" t="s">
        <v>129</v>
      </c>
    </row>
    <row r="4" customFormat="false" ht="27.75" hidden="false" customHeight="true" outlineLevel="0" collapsed="false">
      <c r="A4" s="8" t="n">
        <v>1</v>
      </c>
      <c r="B4" s="11" t="s">
        <v>130</v>
      </c>
      <c r="C4" s="10" t="s">
        <v>131</v>
      </c>
      <c r="D4" s="51" t="s">
        <v>132</v>
      </c>
      <c r="E4" s="10" t="s">
        <v>133</v>
      </c>
    </row>
    <row r="5" customFormat="false" ht="27.75" hidden="false" customHeight="true" outlineLevel="0" collapsed="false">
      <c r="A5" s="4" t="n">
        <v>2</v>
      </c>
      <c r="B5" s="7" t="s">
        <v>130</v>
      </c>
      <c r="C5" s="6" t="s">
        <v>134</v>
      </c>
      <c r="D5" s="51" t="s">
        <v>132</v>
      </c>
      <c r="E5" s="6" t="s">
        <v>135</v>
      </c>
    </row>
    <row r="6" customFormat="false" ht="27.75" hidden="false" customHeight="true" outlineLevel="0" collapsed="false">
      <c r="A6" s="8" t="n">
        <v>3</v>
      </c>
      <c r="B6" s="11" t="s">
        <v>130</v>
      </c>
      <c r="C6" s="10" t="s">
        <v>136</v>
      </c>
      <c r="D6" s="51" t="s">
        <v>132</v>
      </c>
      <c r="E6" s="10" t="s">
        <v>137</v>
      </c>
    </row>
    <row r="7" customFormat="false" ht="27.75" hidden="false" customHeight="true" outlineLevel="0" collapsed="false">
      <c r="A7" s="4" t="n">
        <v>4</v>
      </c>
      <c r="B7" s="7" t="s">
        <v>130</v>
      </c>
      <c r="C7" s="6" t="s">
        <v>138</v>
      </c>
      <c r="D7" s="52" t="s">
        <v>139</v>
      </c>
      <c r="E7" s="6" t="s">
        <v>140</v>
      </c>
    </row>
    <row r="8" customFormat="false" ht="27.75" hidden="false" customHeight="true" outlineLevel="0" collapsed="false">
      <c r="A8" s="8" t="n">
        <v>5</v>
      </c>
      <c r="B8" s="11" t="s">
        <v>130</v>
      </c>
      <c r="C8" s="10" t="s">
        <v>141</v>
      </c>
      <c r="D8" s="51" t="s">
        <v>132</v>
      </c>
      <c r="E8" s="10" t="s">
        <v>142</v>
      </c>
    </row>
    <row r="9" customFormat="false" ht="27.75" hidden="false" customHeight="true" outlineLevel="0" collapsed="false">
      <c r="A9" s="4" t="n">
        <v>6</v>
      </c>
      <c r="B9" s="7" t="s">
        <v>130</v>
      </c>
      <c r="C9" s="6" t="s">
        <v>143</v>
      </c>
      <c r="D9" s="52" t="s">
        <v>139</v>
      </c>
      <c r="E9" s="6" t="s">
        <v>144</v>
      </c>
    </row>
    <row r="10" customFormat="false" ht="27.75" hidden="false" customHeight="true" outlineLevel="0" collapsed="false">
      <c r="A10" s="8" t="n">
        <v>7</v>
      </c>
      <c r="B10" s="11" t="s">
        <v>130</v>
      </c>
      <c r="C10" s="10" t="s">
        <v>145</v>
      </c>
      <c r="D10" s="52" t="s">
        <v>139</v>
      </c>
      <c r="E10" s="10" t="s">
        <v>146</v>
      </c>
    </row>
    <row r="11" customFormat="false" ht="27.75" hidden="false" customHeight="true" outlineLevel="0" collapsed="false">
      <c r="A11" s="4" t="n">
        <v>8</v>
      </c>
      <c r="B11" s="7" t="s">
        <v>130</v>
      </c>
      <c r="C11" s="6" t="s">
        <v>147</v>
      </c>
      <c r="D11" s="52" t="s">
        <v>139</v>
      </c>
      <c r="E11" s="6" t="s">
        <v>148</v>
      </c>
    </row>
    <row r="12" customFormat="false" ht="27.75" hidden="false" customHeight="true" outlineLevel="0" collapsed="false">
      <c r="A12" s="8" t="n">
        <v>9</v>
      </c>
      <c r="B12" s="11" t="s">
        <v>149</v>
      </c>
      <c r="C12" s="10" t="s">
        <v>150</v>
      </c>
      <c r="D12" s="51" t="s">
        <v>132</v>
      </c>
      <c r="E12" s="10" t="s">
        <v>151</v>
      </c>
    </row>
    <row r="13" customFormat="false" ht="27.75" hidden="false" customHeight="true" outlineLevel="0" collapsed="false">
      <c r="A13" s="4" t="n">
        <v>10</v>
      </c>
      <c r="B13" s="7" t="s">
        <v>149</v>
      </c>
      <c r="C13" s="6" t="s">
        <v>152</v>
      </c>
      <c r="D13" s="51" t="s">
        <v>132</v>
      </c>
      <c r="E13" s="6" t="s">
        <v>153</v>
      </c>
    </row>
    <row r="14" customFormat="false" ht="27.75" hidden="false" customHeight="true" outlineLevel="0" collapsed="false">
      <c r="A14" s="8" t="n">
        <v>11</v>
      </c>
      <c r="B14" s="11" t="s">
        <v>149</v>
      </c>
      <c r="C14" s="10" t="s">
        <v>154</v>
      </c>
      <c r="D14" s="51" t="s">
        <v>132</v>
      </c>
      <c r="E14" s="10" t="s">
        <v>155</v>
      </c>
    </row>
    <row r="15" customFormat="false" ht="27.75" hidden="false" customHeight="true" outlineLevel="0" collapsed="false">
      <c r="A15" s="4" t="n">
        <v>12</v>
      </c>
      <c r="B15" s="7" t="s">
        <v>149</v>
      </c>
      <c r="C15" s="6" t="s">
        <v>156</v>
      </c>
      <c r="D15" s="52" t="s">
        <v>139</v>
      </c>
      <c r="E15" s="6" t="s">
        <v>157</v>
      </c>
    </row>
    <row r="16" customFormat="false" ht="27.75" hidden="false" customHeight="true" outlineLevel="0" collapsed="false">
      <c r="A16" s="8" t="n">
        <v>13</v>
      </c>
      <c r="B16" s="11" t="s">
        <v>149</v>
      </c>
      <c r="C16" s="10" t="s">
        <v>158</v>
      </c>
      <c r="D16" s="52" t="s">
        <v>139</v>
      </c>
      <c r="E16" s="10" t="s">
        <v>159</v>
      </c>
    </row>
    <row r="17" customFormat="false" ht="27.75" hidden="false" customHeight="true" outlineLevel="0" collapsed="false">
      <c r="A17" s="4" t="n">
        <v>14</v>
      </c>
      <c r="B17" s="7" t="s">
        <v>149</v>
      </c>
      <c r="C17" s="6" t="s">
        <v>160</v>
      </c>
      <c r="D17" s="52" t="s">
        <v>139</v>
      </c>
      <c r="E17" s="6" t="s">
        <v>161</v>
      </c>
    </row>
    <row r="18" customFormat="false" ht="27.75" hidden="false" customHeight="true" outlineLevel="0" collapsed="false">
      <c r="A18" s="8" t="n">
        <v>15</v>
      </c>
      <c r="B18" s="11" t="s">
        <v>149</v>
      </c>
      <c r="C18" s="10" t="s">
        <v>162</v>
      </c>
      <c r="D18" s="53" t="s">
        <v>163</v>
      </c>
      <c r="E18" s="10" t="s">
        <v>164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6" min="3" style="0" width="18"/>
    <col collapsed="false" customWidth="true" hidden="false" outlineLevel="0" max="7" min="7" style="0" width="22"/>
  </cols>
  <sheetData>
    <row r="1" customFormat="false" ht="33.75" hidden="false" customHeight="true" outlineLevel="0" collapsed="false">
      <c r="A1" s="21" t="s">
        <v>165</v>
      </c>
      <c r="B1" s="21"/>
      <c r="C1" s="21"/>
      <c r="D1" s="21"/>
      <c r="E1" s="21"/>
      <c r="F1" s="21"/>
      <c r="G1" s="21"/>
    </row>
    <row r="2" customFormat="false" ht="25.5" hidden="false" customHeight="true" outlineLevel="0" collapsed="false">
      <c r="A2" s="22" t="s">
        <v>166</v>
      </c>
      <c r="B2" s="22"/>
      <c r="C2" s="22"/>
      <c r="D2" s="22"/>
      <c r="E2" s="22"/>
      <c r="F2" s="22"/>
      <c r="G2" s="22"/>
    </row>
    <row r="3" customFormat="false" ht="15" hidden="false" customHeight="false" outlineLevel="0" collapsed="false">
      <c r="A3" s="23" t="s">
        <v>32</v>
      </c>
      <c r="B3" s="23" t="s">
        <v>167</v>
      </c>
      <c r="C3" s="23" t="s">
        <v>78</v>
      </c>
      <c r="D3" s="23" t="s">
        <v>79</v>
      </c>
      <c r="E3" s="23" t="s">
        <v>168</v>
      </c>
      <c r="F3" s="23" t="s">
        <v>169</v>
      </c>
      <c r="G3" s="23" t="s">
        <v>170</v>
      </c>
    </row>
    <row r="4" customFormat="false" ht="15" hidden="false" customHeight="false" outlineLevel="0" collapsed="false">
      <c r="A4" s="54" t="n">
        <v>1</v>
      </c>
      <c r="B4" s="55" t="s">
        <v>171</v>
      </c>
      <c r="C4" s="56"/>
      <c r="D4" s="56"/>
      <c r="E4" s="56"/>
      <c r="F4" s="56"/>
      <c r="G4" s="54" t="s">
        <v>172</v>
      </c>
    </row>
    <row r="5" customFormat="false" ht="15" hidden="false" customHeight="false" outlineLevel="0" collapsed="false">
      <c r="A5" s="4" t="n">
        <v>2</v>
      </c>
      <c r="B5" s="5" t="s">
        <v>173</v>
      </c>
      <c r="C5" s="18"/>
      <c r="D5" s="18"/>
      <c r="E5" s="18"/>
      <c r="F5" s="18"/>
      <c r="G5" s="4" t="s">
        <v>174</v>
      </c>
    </row>
    <row r="6" customFormat="false" ht="15" hidden="false" customHeight="false" outlineLevel="0" collapsed="false">
      <c r="A6" s="8" t="n">
        <v>3</v>
      </c>
      <c r="B6" s="9" t="s">
        <v>175</v>
      </c>
      <c r="C6" s="17"/>
      <c r="D6" s="17"/>
      <c r="E6" s="17"/>
      <c r="F6" s="17"/>
      <c r="G6" s="8" t="s">
        <v>176</v>
      </c>
    </row>
    <row r="7" customFormat="false" ht="15" hidden="false" customHeight="false" outlineLevel="0" collapsed="false">
      <c r="A7" s="4" t="n">
        <v>4</v>
      </c>
      <c r="B7" s="5" t="s">
        <v>177</v>
      </c>
      <c r="C7" s="18"/>
      <c r="D7" s="18"/>
      <c r="E7" s="18"/>
      <c r="F7" s="18"/>
      <c r="G7" s="4" t="s">
        <v>178</v>
      </c>
    </row>
    <row r="8" customFormat="false" ht="23.85" hidden="false" customHeight="false" outlineLevel="0" collapsed="false">
      <c r="A8" s="8" t="n">
        <v>5</v>
      </c>
      <c r="B8" s="9" t="s">
        <v>179</v>
      </c>
      <c r="C8" s="17"/>
      <c r="D8" s="17"/>
      <c r="E8" s="17"/>
      <c r="F8" s="17"/>
      <c r="G8" s="8" t="s">
        <v>180</v>
      </c>
    </row>
    <row r="9" customFormat="false" ht="15" hidden="false" customHeight="false" outlineLevel="0" collapsed="false">
      <c r="A9" s="4" t="n">
        <v>1</v>
      </c>
      <c r="B9" s="18"/>
      <c r="C9" s="18"/>
      <c r="D9" s="18"/>
      <c r="E9" s="18"/>
      <c r="F9" s="18"/>
      <c r="G9" s="18"/>
    </row>
    <row r="10" customFormat="false" ht="15" hidden="false" customHeight="false" outlineLevel="0" collapsed="false">
      <c r="A10" s="8" t="n">
        <v>2</v>
      </c>
      <c r="B10" s="17"/>
      <c r="C10" s="17"/>
      <c r="D10" s="17"/>
      <c r="E10" s="17"/>
      <c r="F10" s="17"/>
      <c r="G10" s="17"/>
    </row>
    <row r="11" customFormat="false" ht="15" hidden="false" customHeight="false" outlineLevel="0" collapsed="false">
      <c r="A11" s="4" t="n">
        <v>3</v>
      </c>
      <c r="B11" s="18"/>
      <c r="C11" s="18"/>
      <c r="D11" s="18"/>
      <c r="E11" s="18"/>
      <c r="F11" s="18"/>
      <c r="G11" s="18"/>
    </row>
    <row r="12" customFormat="false" ht="15" hidden="false" customHeight="false" outlineLevel="0" collapsed="false">
      <c r="A12" s="8" t="n">
        <v>4</v>
      </c>
      <c r="B12" s="17"/>
      <c r="C12" s="17"/>
      <c r="D12" s="17"/>
      <c r="E12" s="17"/>
      <c r="F12" s="17"/>
      <c r="G12" s="17"/>
    </row>
    <row r="13" customFormat="false" ht="15" hidden="false" customHeight="false" outlineLevel="0" collapsed="false">
      <c r="A13" s="4" t="n">
        <v>5</v>
      </c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8" t="n">
        <v>6</v>
      </c>
      <c r="B14" s="17"/>
      <c r="C14" s="17"/>
      <c r="D14" s="17"/>
      <c r="E14" s="17"/>
      <c r="F14" s="17"/>
      <c r="G14" s="17"/>
    </row>
    <row r="15" customFormat="false" ht="15" hidden="false" customHeight="false" outlineLevel="0" collapsed="false">
      <c r="A15" s="4" t="n">
        <v>7</v>
      </c>
      <c r="B15" s="18"/>
      <c r="C15" s="18"/>
      <c r="D15" s="18"/>
      <c r="E15" s="18"/>
      <c r="F15" s="18"/>
      <c r="G15" s="18"/>
    </row>
    <row r="16" customFormat="false" ht="15" hidden="false" customHeight="false" outlineLevel="0" collapsed="false">
      <c r="A16" s="8" t="n">
        <v>8</v>
      </c>
      <c r="B16" s="17"/>
      <c r="C16" s="17"/>
      <c r="D16" s="17"/>
      <c r="E16" s="17"/>
      <c r="F16" s="17"/>
      <c r="G16" s="17"/>
    </row>
    <row r="17" customFormat="false" ht="15" hidden="false" customHeight="false" outlineLevel="0" collapsed="false">
      <c r="A17" s="4" t="n">
        <v>9</v>
      </c>
      <c r="B17" s="18"/>
      <c r="C17" s="18"/>
      <c r="D17" s="18"/>
      <c r="E17" s="18"/>
      <c r="F17" s="18"/>
      <c r="G17" s="18"/>
    </row>
    <row r="18" customFormat="false" ht="15" hidden="false" customHeight="false" outlineLevel="0" collapsed="false">
      <c r="A18" s="8" t="n">
        <v>10</v>
      </c>
      <c r="B18" s="17"/>
      <c r="C18" s="17"/>
      <c r="D18" s="17"/>
      <c r="E18" s="17"/>
      <c r="F18" s="17"/>
      <c r="G18" s="17"/>
    </row>
    <row r="19" customFormat="false" ht="15" hidden="false" customHeight="false" outlineLevel="0" collapsed="false">
      <c r="A19" s="4" t="n">
        <v>11</v>
      </c>
      <c r="B19" s="18"/>
      <c r="C19" s="18"/>
      <c r="D19" s="18"/>
      <c r="E19" s="18"/>
      <c r="F19" s="18"/>
      <c r="G19" s="18"/>
    </row>
    <row r="20" customFormat="false" ht="15" hidden="false" customHeight="false" outlineLevel="0" collapsed="false">
      <c r="A20" s="8" t="n">
        <v>12</v>
      </c>
      <c r="B20" s="17"/>
      <c r="C20" s="17"/>
      <c r="D20" s="17"/>
      <c r="E20" s="17"/>
      <c r="F20" s="17"/>
      <c r="G20" s="17"/>
    </row>
    <row r="21" customFormat="false" ht="15" hidden="false" customHeight="false" outlineLevel="0" collapsed="false">
      <c r="A21" s="4" t="n">
        <v>13</v>
      </c>
      <c r="B21" s="18"/>
      <c r="C21" s="18"/>
      <c r="D21" s="18"/>
      <c r="E21" s="18"/>
      <c r="F21" s="18"/>
      <c r="G21" s="18"/>
    </row>
    <row r="22" customFormat="false" ht="15" hidden="false" customHeight="false" outlineLevel="0" collapsed="false">
      <c r="A22" s="8" t="n">
        <v>14</v>
      </c>
      <c r="B22" s="17"/>
      <c r="C22" s="17"/>
      <c r="D22" s="17"/>
      <c r="E22" s="17"/>
      <c r="F22" s="17"/>
      <c r="G22" s="17"/>
    </row>
    <row r="23" customFormat="false" ht="15" hidden="false" customHeight="false" outlineLevel="0" collapsed="false">
      <c r="A23" s="4" t="n">
        <v>15</v>
      </c>
      <c r="B23" s="18"/>
      <c r="C23" s="18"/>
      <c r="D23" s="18"/>
      <c r="E23" s="18"/>
      <c r="F23" s="18"/>
      <c r="G23" s="18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48" t="s">
        <v>181</v>
      </c>
      <c r="B1" s="48"/>
      <c r="C1" s="48"/>
      <c r="D1" s="48"/>
      <c r="E1" s="48"/>
      <c r="F1" s="48"/>
    </row>
    <row r="2" customFormat="false" ht="25.5" hidden="false" customHeight="true" outlineLevel="0" collapsed="false">
      <c r="A2" s="49" t="s">
        <v>182</v>
      </c>
      <c r="B2" s="49"/>
      <c r="C2" s="49"/>
      <c r="D2" s="49"/>
      <c r="E2" s="49"/>
      <c r="F2" s="49"/>
    </row>
    <row r="3" customFormat="false" ht="15" hidden="false" customHeight="false" outlineLevel="0" collapsed="false">
      <c r="A3" s="50" t="s">
        <v>2</v>
      </c>
      <c r="B3" s="50" t="s">
        <v>183</v>
      </c>
      <c r="C3" s="50" t="s">
        <v>184</v>
      </c>
      <c r="D3" s="50" t="s">
        <v>185</v>
      </c>
      <c r="E3" s="50" t="s">
        <v>186</v>
      </c>
      <c r="F3" s="50" t="s">
        <v>187</v>
      </c>
    </row>
    <row r="4" customFormat="false" ht="49.5" hidden="false" customHeight="true" outlineLevel="0" collapsed="false">
      <c r="A4" s="8" t="n">
        <v>1</v>
      </c>
      <c r="B4" s="9" t="s">
        <v>188</v>
      </c>
      <c r="C4" s="11" t="s">
        <v>189</v>
      </c>
      <c r="D4" s="10" t="s">
        <v>190</v>
      </c>
      <c r="E4" s="10" t="s">
        <v>191</v>
      </c>
      <c r="F4" s="17"/>
    </row>
    <row r="5" customFormat="false" ht="49.5" hidden="false" customHeight="true" outlineLevel="0" collapsed="false">
      <c r="A5" s="4" t="n">
        <v>2</v>
      </c>
      <c r="B5" s="5" t="s">
        <v>192</v>
      </c>
      <c r="C5" s="7" t="s">
        <v>189</v>
      </c>
      <c r="D5" s="6" t="s">
        <v>193</v>
      </c>
      <c r="E5" s="6" t="s">
        <v>194</v>
      </c>
      <c r="F5" s="18"/>
    </row>
    <row r="6" customFormat="false" ht="49.5" hidden="false" customHeight="true" outlineLevel="0" collapsed="false">
      <c r="A6" s="8" t="n">
        <v>3</v>
      </c>
      <c r="B6" s="9" t="s">
        <v>195</v>
      </c>
      <c r="C6" s="11" t="s">
        <v>189</v>
      </c>
      <c r="D6" s="10" t="s">
        <v>196</v>
      </c>
      <c r="E6" s="10" t="s">
        <v>197</v>
      </c>
      <c r="F6" s="17"/>
    </row>
    <row r="7" customFormat="false" ht="49.5" hidden="false" customHeight="true" outlineLevel="0" collapsed="false">
      <c r="A7" s="4" t="n">
        <v>4</v>
      </c>
      <c r="B7" s="5" t="s">
        <v>198</v>
      </c>
      <c r="C7" s="7" t="s">
        <v>189</v>
      </c>
      <c r="D7" s="6" t="s">
        <v>199</v>
      </c>
      <c r="E7" s="6" t="s">
        <v>200</v>
      </c>
      <c r="F7" s="18"/>
    </row>
    <row r="8" customFormat="false" ht="49.5" hidden="false" customHeight="true" outlineLevel="0" collapsed="false">
      <c r="A8" s="8" t="n">
        <v>5</v>
      </c>
      <c r="B8" s="9" t="s">
        <v>201</v>
      </c>
      <c r="C8" s="11" t="s">
        <v>202</v>
      </c>
      <c r="D8" s="10" t="s">
        <v>203</v>
      </c>
      <c r="E8" s="10" t="s">
        <v>204</v>
      </c>
      <c r="F8" s="17"/>
    </row>
    <row r="9" customFormat="false" ht="49.5" hidden="false" customHeight="true" outlineLevel="0" collapsed="false">
      <c r="A9" s="4" t="n">
        <v>6</v>
      </c>
      <c r="B9" s="5" t="s">
        <v>205</v>
      </c>
      <c r="C9" s="7" t="s">
        <v>202</v>
      </c>
      <c r="D9" s="6" t="s">
        <v>206</v>
      </c>
      <c r="E9" s="6" t="s">
        <v>207</v>
      </c>
      <c r="F9" s="18"/>
    </row>
    <row r="10" customFormat="false" ht="49.5" hidden="false" customHeight="true" outlineLevel="0" collapsed="false">
      <c r="A10" s="8" t="n">
        <v>7</v>
      </c>
      <c r="B10" s="9" t="s">
        <v>208</v>
      </c>
      <c r="C10" s="11" t="s">
        <v>202</v>
      </c>
      <c r="D10" s="10" t="s">
        <v>209</v>
      </c>
      <c r="E10" s="10" t="s">
        <v>210</v>
      </c>
      <c r="F10" s="17"/>
    </row>
    <row r="11" customFormat="false" ht="49.5" hidden="false" customHeight="true" outlineLevel="0" collapsed="false">
      <c r="A11" s="4" t="n">
        <v>8</v>
      </c>
      <c r="B11" s="5" t="s">
        <v>211</v>
      </c>
      <c r="C11" s="7" t="s">
        <v>189</v>
      </c>
      <c r="D11" s="6" t="s">
        <v>212</v>
      </c>
      <c r="E11" s="6" t="s">
        <v>213</v>
      </c>
      <c r="F11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214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57" t="s">
        <v>215</v>
      </c>
      <c r="B2" s="57"/>
      <c r="C2" s="57"/>
      <c r="D2" s="57"/>
      <c r="E2" s="57"/>
      <c r="F2" s="57"/>
    </row>
    <row r="3" customFormat="false" ht="15" hidden="false" customHeight="false" outlineLevel="0" collapsed="false">
      <c r="A3" s="16" t="s">
        <v>2</v>
      </c>
      <c r="B3" s="16" t="s">
        <v>216</v>
      </c>
      <c r="C3" s="16" t="s">
        <v>217</v>
      </c>
      <c r="D3" s="16" t="s">
        <v>218</v>
      </c>
      <c r="E3" s="16" t="s">
        <v>219</v>
      </c>
      <c r="F3" s="16" t="s">
        <v>220</v>
      </c>
    </row>
    <row r="4" customFormat="false" ht="31.5" hidden="false" customHeight="true" outlineLevel="0" collapsed="false">
      <c r="A4" s="8" t="n">
        <v>1</v>
      </c>
      <c r="B4" s="9" t="s">
        <v>221</v>
      </c>
      <c r="C4" s="10" t="s">
        <v>222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223</v>
      </c>
      <c r="C5" s="6" t="s">
        <v>224</v>
      </c>
      <c r="D5" s="18"/>
      <c r="E5" s="18"/>
      <c r="F5" s="18"/>
    </row>
    <row r="6" customFormat="false" ht="31.5" hidden="false" customHeight="true" outlineLevel="0" collapsed="false">
      <c r="A6" s="8" t="n">
        <v>3</v>
      </c>
      <c r="B6" s="9" t="s">
        <v>225</v>
      </c>
      <c r="C6" s="10" t="s">
        <v>226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227</v>
      </c>
      <c r="C7" s="6" t="s">
        <v>228</v>
      </c>
      <c r="D7" s="18"/>
      <c r="E7" s="18"/>
      <c r="F7" s="18"/>
    </row>
    <row r="8" customFormat="false" ht="31.5" hidden="false" customHeight="true" outlineLevel="0" collapsed="false">
      <c r="A8" s="8" t="n">
        <v>5</v>
      </c>
      <c r="B8" s="9" t="s">
        <v>229</v>
      </c>
      <c r="C8" s="10" t="s">
        <v>230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231</v>
      </c>
      <c r="C9" s="6" t="s">
        <v>232</v>
      </c>
      <c r="D9" s="18"/>
      <c r="E9" s="18"/>
      <c r="F9" s="18"/>
    </row>
    <row r="10" customFormat="false" ht="31.5" hidden="false" customHeight="true" outlineLevel="0" collapsed="false">
      <c r="A10" s="8" t="n">
        <v>7</v>
      </c>
      <c r="B10" s="9" t="s">
        <v>233</v>
      </c>
      <c r="C10" s="10" t="s">
        <v>234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235</v>
      </c>
      <c r="C11" s="6" t="s">
        <v>236</v>
      </c>
      <c r="D11" s="18"/>
      <c r="E11" s="18"/>
      <c r="F11" s="18"/>
    </row>
    <row r="12" customFormat="false" ht="31.5" hidden="false" customHeight="true" outlineLevel="0" collapsed="false">
      <c r="A12" s="8" t="n">
        <v>9</v>
      </c>
      <c r="B12" s="9" t="s">
        <v>237</v>
      </c>
      <c r="C12" s="10" t="s">
        <v>238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239</v>
      </c>
      <c r="C13" s="6" t="s">
        <v>240</v>
      </c>
      <c r="D13" s="18"/>
      <c r="E13" s="18"/>
      <c r="F13" s="18"/>
    </row>
    <row r="14" customFormat="false" ht="31.5" hidden="false" customHeight="true" outlineLevel="0" collapsed="false">
      <c r="A14" s="8" t="n">
        <v>11</v>
      </c>
      <c r="B14" s="9" t="s">
        <v>241</v>
      </c>
      <c r="C14" s="10" t="s">
        <v>242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243</v>
      </c>
      <c r="C15" s="6" t="s">
        <v>244</v>
      </c>
      <c r="D15" s="18"/>
      <c r="E15" s="18"/>
      <c r="F15" s="18"/>
    </row>
    <row r="16" customFormat="false" ht="31.5" hidden="false" customHeight="true" outlineLevel="0" collapsed="false">
      <c r="A16" s="8" t="n">
        <v>13</v>
      </c>
      <c r="B16" s="9" t="s">
        <v>245</v>
      </c>
      <c r="C16" s="10" t="s">
        <v>246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247</v>
      </c>
      <c r="C17" s="6" t="s">
        <v>248</v>
      </c>
      <c r="D17" s="18"/>
      <c r="E17" s="18"/>
      <c r="F17" s="18"/>
    </row>
    <row r="18" customFormat="false" ht="31.5" hidden="false" customHeight="true" outlineLevel="0" collapsed="false">
      <c r="A18" s="8" t="n">
        <v>15</v>
      </c>
      <c r="B18" s="9" t="s">
        <v>249</v>
      </c>
      <c r="C18" s="10" t="s">
        <v>250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251</v>
      </c>
      <c r="C19" s="6" t="s">
        <v>252</v>
      </c>
      <c r="D19" s="18"/>
      <c r="E19" s="18"/>
      <c r="F19" s="18"/>
    </row>
    <row r="20" customFormat="false" ht="31.5" hidden="false" customHeight="true" outlineLevel="0" collapsed="false">
      <c r="A20" s="8" t="n">
        <v>17</v>
      </c>
      <c r="B20" s="9" t="s">
        <v>253</v>
      </c>
      <c r="C20" s="10" t="s">
        <v>254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255</v>
      </c>
      <c r="C21" s="6" t="s">
        <v>256</v>
      </c>
      <c r="D21" s="18"/>
      <c r="E21" s="18"/>
      <c r="F21" s="18"/>
    </row>
    <row r="22" customFormat="false" ht="31.5" hidden="false" customHeight="true" outlineLevel="0" collapsed="false">
      <c r="A22" s="8" t="n">
        <v>19</v>
      </c>
      <c r="B22" s="9" t="s">
        <v>257</v>
      </c>
      <c r="C22" s="10" t="s">
        <v>258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259</v>
      </c>
      <c r="C23" s="6" t="s">
        <v>260</v>
      </c>
      <c r="D23" s="18"/>
      <c r="E23" s="18"/>
      <c r="F23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2026-05-08T08:42:40Z</dcterms:created>
  <dc:creator>openpyxl</dc:creator>
  <dc:description/>
  <dc:language>en-US</dc:language>
  <cp:lastModifiedBy/>
  <dcterms:modified xsi:type="dcterms:W3CDTF">2026-05-08T08:42:40Z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