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io_Inputs" sheetId="1" r:id="rId1"/>
    <sheet name="Formula_Definitions" sheetId="2" r:id="rId2"/>
    <sheet name="Auto_Calculation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<sst xmlns="http://schemas.openxmlformats.org/spreadsheetml/2006/main" count="66" uniqueCount="55">
  <si>
    <t>Metric_Name</t>
  </si>
  <si>
    <t>Numerator_Value</t>
  </si>
  <si>
    <t>Denominator_Value</t>
  </si>
  <si>
    <t>Formula_Used</t>
  </si>
  <si>
    <t>Calculated_Ratio</t>
  </si>
  <si>
    <t>Interpretation</t>
  </si>
  <si>
    <t>Remarks</t>
  </si>
  <si>
    <t>Staff–Student Ratio</t>
  </si>
  <si>
    <t>Doctorate–Bachelor Ratio</t>
  </si>
  <si>
    <t>Doctorates per Academic Staff</t>
  </si>
  <si>
    <t>Income per Academic Staff</t>
  </si>
  <si>
    <t>Lower ratio = More faculty per student</t>
  </si>
  <si>
    <t>Higher ratio = More doctoral graduates</t>
  </si>
  <si>
    <t>Measures research training capacity</t>
  </si>
  <si>
    <t>Higher income reflects stronger institutional resources</t>
  </si>
  <si>
    <t>Metric</t>
  </si>
  <si>
    <t>Mathematical_Formula</t>
  </si>
  <si>
    <t>Purpose</t>
  </si>
  <si>
    <t>Doctorates Awarded per Staff</t>
  </si>
  <si>
    <t>Institutional Income per Staff</t>
  </si>
  <si>
    <t>Total_Students / Total_FullTime_Academic_Staff</t>
  </si>
  <si>
    <t>Total_PhD_Graduates / Total_Bachelor_Graduates</t>
  </si>
  <si>
    <t>Total_Doctorates_Awarded / Total_Academic_Staff</t>
  </si>
  <si>
    <t>Total_Income_PPP / Total_Academic_Staff</t>
  </si>
  <si>
    <t>Used in THE Teaching Pillar</t>
  </si>
  <si>
    <t>Used to assess academic pipeline strength</t>
  </si>
  <si>
    <t>Measures doctoral training output</t>
  </si>
  <si>
    <t>Indicates financial strength per staff</t>
  </si>
  <si>
    <t>Numerator_Name</t>
  </si>
  <si>
    <t>Denominator_Name</t>
  </si>
  <si>
    <t>Excel_Formula</t>
  </si>
  <si>
    <t>Result</t>
  </si>
  <si>
    <t>Compliance_Flag</t>
  </si>
  <si>
    <t>Doctorates per Staff</t>
  </si>
  <si>
    <t>Income per Staff (PPP)</t>
  </si>
  <si>
    <t>Total Students</t>
  </si>
  <si>
    <t>PhD Graduates</t>
  </si>
  <si>
    <t>Total Income (PPP Adjusted)</t>
  </si>
  <si>
    <t>Full-Time Academic Staff</t>
  </si>
  <si>
    <t>Bachelor Graduates</t>
  </si>
  <si>
    <t>Academic Staff</t>
  </si>
  <si>
    <t>Requirement</t>
  </si>
  <si>
    <t>Evidence_Required</t>
  </si>
  <si>
    <t>Status</t>
  </si>
  <si>
    <t>Use full-time academic staff only</t>
  </si>
  <si>
    <t>Ensure income is PPP-adjusted</t>
  </si>
  <si>
    <t>PhD and Bachelor graduate counts match convocation data</t>
  </si>
  <si>
    <t>Exclude part-time &amp; adjunct staff from staff totals</t>
  </si>
  <si>
    <t>Student count must be headcount, not FTE</t>
  </si>
  <si>
    <t>Notes</t>
  </si>
  <si>
    <t>Recommended Charts:</t>
  </si>
  <si>
    <t>• Ratio comparison across years</t>
  </si>
  <si>
    <t>• Departmental staff–student ratio heatmap</t>
  </si>
  <si>
    <t>• Doctorate output vs staff strength line chart</t>
  </si>
  <si>
    <t>• Income per staff trend analysis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</si>
</sst>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D2">
        <f>Numerator/Denominator</f>
        <v>0</v>
      </c>
      <c r="F2" t="s">
        <v>11</v>
      </c>
    </row>
    <row r="3" spans="1:7">
      <c r="A3" t="s">
        <v>8</v>
      </c>
      <c r="D3">
        <f>Numerator/Denominator</f>
        <v>0</v>
      </c>
      <c r="F3" t="s">
        <v>12</v>
      </c>
    </row>
    <row r="4" spans="1:7">
      <c r="A4" t="s">
        <v>9</v>
      </c>
      <c r="D4">
        <f>(Total_PhD_Awarded)/(Total_Academic_Staff)</f>
        <v>0</v>
      </c>
      <c r="F4" t="s">
        <v>13</v>
      </c>
    </row>
    <row r="5" spans="1:7">
      <c r="A5" t="s">
        <v>10</v>
      </c>
      <c r="D5">
        <f>(Total_Income_PPP)/(Total_Academic_Staff)</f>
        <v>0</v>
      </c>
      <c r="F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15</v>
      </c>
      <c r="B1" s="1" t="s">
        <v>16</v>
      </c>
      <c r="C1" s="1" t="s">
        <v>17</v>
      </c>
    </row>
    <row r="2" spans="1:3">
      <c r="A2" t="s">
        <v>7</v>
      </c>
      <c r="B2" t="s">
        <v>20</v>
      </c>
      <c r="C2" t="s">
        <v>24</v>
      </c>
    </row>
    <row r="3" spans="1:3">
      <c r="A3" t="s">
        <v>8</v>
      </c>
      <c r="B3" t="s">
        <v>21</v>
      </c>
      <c r="C3" t="s">
        <v>25</v>
      </c>
    </row>
    <row r="4" spans="1:3">
      <c r="A4" t="s">
        <v>18</v>
      </c>
      <c r="B4" t="s">
        <v>22</v>
      </c>
      <c r="C4" t="s">
        <v>26</v>
      </c>
    </row>
    <row r="5" spans="1:3">
      <c r="A5" t="s">
        <v>19</v>
      </c>
      <c r="B5" t="s">
        <v>23</v>
      </c>
      <c r="C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15</v>
      </c>
      <c r="B1" s="1" t="s">
        <v>28</v>
      </c>
      <c r="C1" s="1" t="s">
        <v>1</v>
      </c>
      <c r="D1" s="1" t="s">
        <v>29</v>
      </c>
      <c r="E1" s="1" t="s">
        <v>2</v>
      </c>
      <c r="F1" s="1" t="s">
        <v>30</v>
      </c>
      <c r="G1" s="1" t="s">
        <v>31</v>
      </c>
      <c r="H1" s="1" t="s">
        <v>32</v>
      </c>
      <c r="I1" s="1" t="s">
        <v>6</v>
      </c>
    </row>
    <row r="2" spans="1:9">
      <c r="A2" t="s">
        <v>7</v>
      </c>
      <c r="B2" t="s">
        <v>35</v>
      </c>
      <c r="D2" t="s">
        <v>38</v>
      </c>
      <c r="F2">
        <f>C2/E2</f>
        <v>0</v>
      </c>
    </row>
    <row r="3" spans="1:9">
      <c r="A3" t="s">
        <v>8</v>
      </c>
      <c r="B3" t="s">
        <v>36</v>
      </c>
      <c r="D3" t="s">
        <v>39</v>
      </c>
      <c r="F3">
        <f>C3/E3</f>
        <v>0</v>
      </c>
    </row>
    <row r="4" spans="1:9">
      <c r="A4" t="s">
        <v>33</v>
      </c>
      <c r="B4" t="s">
        <v>36</v>
      </c>
      <c r="D4" t="s">
        <v>40</v>
      </c>
      <c r="F4">
        <f>C4/E4</f>
        <v>0</v>
      </c>
    </row>
    <row r="5" spans="1:9">
      <c r="A5" t="s">
        <v>34</v>
      </c>
      <c r="B5" t="s">
        <v>37</v>
      </c>
      <c r="D5" t="s">
        <v>40</v>
      </c>
      <c r="F5">
        <f>C5/E5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41</v>
      </c>
      <c r="B1" s="1" t="s">
        <v>42</v>
      </c>
      <c r="C1" s="1" t="s">
        <v>43</v>
      </c>
      <c r="D1" s="1" t="s">
        <v>6</v>
      </c>
    </row>
    <row r="2" spans="1:4">
      <c r="A2" t="s">
        <v>44</v>
      </c>
    </row>
    <row r="3" spans="1:4">
      <c r="A3" t="s">
        <v>45</v>
      </c>
    </row>
    <row r="4" spans="1:4">
      <c r="A4" t="s">
        <v>46</v>
      </c>
    </row>
    <row r="5" spans="1:4">
      <c r="A5" t="s">
        <v>47</v>
      </c>
    </row>
    <row r="6" spans="1:4">
      <c r="A6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Ratio_Inputs</vt:lpstr>
      <vt:lpstr>Formula_Definitions</vt:lpstr>
      <vt:lpstr>Auto_Calculation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2025-12-06T14:19:19Z</dcterms:created>
  <dcterms:modified xsi:type="dcterms:W3CDTF">2025-12-06T14:19:19Z</dcterms:modified>
</cp:coreProperties>
</file>