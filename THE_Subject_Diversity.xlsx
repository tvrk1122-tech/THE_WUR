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Subject Areas Reference" sheetId="2" state="visible" r:id="rId4"/>
    <sheet name="1. Research Votes Log" sheetId="3" state="visible" r:id="rId5"/>
    <sheet name="2. Teaching Votes Log" sheetId="4" state="visible" r:id="rId6"/>
    <sheet name="3. Research Subject Matrix" sheetId="5" state="visible" r:id="rId7"/>
    <sheet name="4. Teaching Subject Matrix" sheetId="6" state="visible" r:id="rId8"/>
    <sheet name="5. Research Subject Entropy" sheetId="7" state="visible" r:id="rId9"/>
    <sheet name="6. Teaching Subject Entropy" sheetId="8" state="visible" r:id="rId10"/>
    <sheet name="7. Combined Subject Diversity" sheetId="9" state="visible" r:id="rId11"/>
    <sheet name="8. Subject Gap Analysis" sheetId="10" state="visible" r:id="rId12"/>
    <sheet name="9. Specialist vs Generalist" sheetId="11" state="visible" r:id="rId13"/>
    <sheet name="10. Data Quality Audi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<sst xmlns="http://schemas.openxmlformats.org/spreadsheetml/2006/main" count="655" uniqueCount="591">
  <si>
    <t xml:space="preserve">THE WRR — Subject Diversity Data Collection Formats</t>
  </si>
  <si>
    <t xml:space="preserve">Voter Diversity Indicator: Subject-Area Dimension (WRR 2025 Methodology)</t>
  </si>
  <si>
    <t xml:space="preserve">#</t>
  </si>
  <si>
    <t xml:space="preserve">Concept</t>
  </si>
  <si>
    <t xml:space="preserve">Description</t>
  </si>
  <si>
    <t xml:space="preserve">Relevance</t>
  </si>
  <si>
    <t xml:space="preserve">Subject Diversity</t>
  </si>
  <si>
    <t xml:space="preserve">Measures how broadly an institution's reputation votes are spread ACROSS the 11 THE subject areas. An institution recognized across many disciplines has a more robust reputation than one recognized only in a narrow field.</t>
  </si>
  <si>
    <t xml:space="preserve">Core component of Voter Diversity pillar (10% of WRR)</t>
  </si>
  <si>
    <t xml:space="preserve">THE's 11 Subject Groups</t>
  </si>
  <si>
    <t xml:space="preserve">Arts &amp; Humanities; Business &amp; Economics; Clinical &amp; Health; Computer Science; Education; Engineering; Law; Life Sciences; Physical Sciences; Psychology; Social Sciences</t>
  </si>
  <si>
    <t xml:space="preserve">Standard classification used in Academic Reputation Survey</t>
  </si>
  <si>
    <t xml:space="preserve">Entropy on Subject Dimension</t>
  </si>
  <si>
    <t xml:space="preserve">H_subj = −Σ pⱼ × log₂(pⱼ), where pⱼ = proportion of votes from subject area j. Maximum H_subj = log₂(11) ≈ 3.459 bits when votes are evenly distributed across all 11 subjects.</t>
  </si>
  <si>
    <t xml:space="preserve">Mathematical measure of subject heterogeneity</t>
  </si>
  <si>
    <t xml:space="preserve">Subject × Country Interaction</t>
  </si>
  <si>
    <t xml:space="preserve">Full voter diversity uses COMBINED country × subject buckets. This workbook isolates the SUBJECT dimension for detailed analysis while remaining compatible with the full entropy framework.</t>
  </si>
  <si>
    <t xml:space="preserve">Analytical decomposition</t>
  </si>
  <si>
    <t xml:space="preserve">Research vs Teaching</t>
  </si>
  <si>
    <t xml:space="preserve">Subject diversity is computed separately for research votes and teaching votes, then weighted: Research Diversity × 6.67% + Teaching Diversity × 3.33% = 10% total diversity weight.</t>
  </si>
  <si>
    <t xml:space="preserve">Pillar separation</t>
  </si>
  <si>
    <t xml:space="preserve">Normalized Score</t>
  </si>
  <si>
    <t xml:space="preserve">Subject entropy is normalized to 0–100 scale for comparability. Institutions with maximum spread across all 11 subjects score highest.</t>
  </si>
  <si>
    <t xml:space="preserve">Output format</t>
  </si>
  <si>
    <t xml:space="preserve">Super-Brand Consideration</t>
  </si>
  <si>
    <t xml:space="preserve">Elite institutions often receive votes across all subjects (broad recognition), while specialist institutions may score high in only 1–3 areas. Subject diversity captures this difference.</t>
  </si>
  <si>
    <t xml:space="preserve">Interpretation context</t>
  </si>
  <si>
    <t xml:space="preserve">Entropy Formula</t>
  </si>
  <si>
    <t xml:space="preserve">H_subj = − Σⱼ₌₁¹¹ pⱼ × log₂(pⱼ)     |     Max H = log₂(11) ≈ 3.459 bits     |     Normalized = H / H_max × 100</t>
  </si>
  <si>
    <t xml:space="preserve">THE 11 Subject Areas — Reference Classification</t>
  </si>
  <si>
    <t xml:space="preserve">Standard subject groupings used in the Global Academic Reputation Survey</t>
  </si>
  <si>
    <t xml:space="preserve">Code</t>
  </si>
  <si>
    <t xml:space="preserve">Subject Area</t>
  </si>
  <si>
    <t xml:space="preserve">Disciplines Covered</t>
  </si>
  <si>
    <t xml:space="preserve">Example Departments</t>
  </si>
  <si>
    <t xml:space="preserve">Survey Weight</t>
  </si>
  <si>
    <t xml:space="preserve">AH</t>
  </si>
  <si>
    <t xml:space="preserve">Arts &amp; Humanities</t>
  </si>
  <si>
    <t xml:space="preserve">Archaeology, architecture, history, languages &amp; linguistics, literature, music, performing arts, philosophy, theology, religious studies, art &amp; design</t>
  </si>
  <si>
    <t xml:space="preserve">Dept. of English, History, Philosophy, Fine Arts</t>
  </si>
  <si>
    <t xml:space="preserve">Equal</t>
  </si>
  <si>
    <t xml:space="preserve">BE</t>
  </si>
  <si>
    <t xml:space="preserve">Business &amp; Economics</t>
  </si>
  <si>
    <t xml:space="preserve">Accounting &amp; finance, business &amp; management, economics &amp; econometrics, marketing, operations research</t>
  </si>
  <si>
    <t xml:space="preserve">Business School, Dept. of Economics, MBA Programme</t>
  </si>
  <si>
    <t xml:space="preserve">CH</t>
  </si>
  <si>
    <t xml:space="preserve">Clinical &amp; Health</t>
  </si>
  <si>
    <t xml:space="preserve">Medicine, dentistry, health sciences, health professions, public health, nursing, pharmacy, veterinary medicine (clinical)</t>
  </si>
  <si>
    <t xml:space="preserve">Medical College, School of Public Health, Nursing School</t>
  </si>
  <si>
    <t xml:space="preserve">CS</t>
  </si>
  <si>
    <t xml:space="preserve">Computer Science</t>
  </si>
  <si>
    <t xml:space="preserve">AI &amp; machine learning, cybersecurity, data science, information systems, software engineering, HCI</t>
  </si>
  <si>
    <t xml:space="preserve">Dept. of CS, School of Computing, IT Department</t>
  </si>
  <si>
    <t xml:space="preserve">ED</t>
  </si>
  <si>
    <t xml:space="preserve">Education</t>
  </si>
  <si>
    <t xml:space="preserve">Teaching &amp; learning, education policy, pedagogy, educational psychology, curriculum studies, special education</t>
  </si>
  <si>
    <t xml:space="preserve">School of Education, Dept. of Teacher Training</t>
  </si>
  <si>
    <t xml:space="preserve">EN</t>
  </si>
  <si>
    <t xml:space="preserve">Engineering</t>
  </si>
  <si>
    <t xml:space="preserve">Chemical, civil, electrical &amp; electronic, mechanical, materials, aerospace, general engineering, mining &amp; mineral</t>
  </si>
  <si>
    <t xml:space="preserve">School of Engineering, Dept. of Mechanical/Civil/EEE</t>
  </si>
  <si>
    <t xml:space="preserve">LW</t>
  </si>
  <si>
    <t xml:space="preserve">Law</t>
  </si>
  <si>
    <t xml:space="preserve">Corporate law, criminal law, international law, constitutional law, legal theory, jurisprudence, human rights law</t>
  </si>
  <si>
    <t xml:space="preserve">Law School, Faculty of Law</t>
  </si>
  <si>
    <t xml:space="preserve">LS</t>
  </si>
  <si>
    <t xml:space="preserve">Life Sciences</t>
  </si>
  <si>
    <t xml:space="preserve">Agriculture &amp; forestry, biological sciences, ecology, sport science, veterinary science (non-clinical), food science</t>
  </si>
  <si>
    <t xml:space="preserve">Dept. of Biology, Agriculture, Zoology, Botany</t>
  </si>
  <si>
    <t xml:space="preserve">PS</t>
  </si>
  <si>
    <t xml:space="preserve">Physical Sciences</t>
  </si>
  <si>
    <t xml:space="preserve">Chemistry, physics, astronomy, geology &amp; earth sciences, environmental sciences, mathematics &amp; statistics, ocean sciences</t>
  </si>
  <si>
    <t xml:space="preserve">Dept. of Physics, Chemistry, Mathematics, Earth Sciences</t>
  </si>
  <si>
    <t xml:space="preserve">PY</t>
  </si>
  <si>
    <t xml:space="preserve">Psychology</t>
  </si>
  <si>
    <t xml:space="preserve">Clinical psychology, educational psychology, organizational psychology, cognitive science, social psychology, neuroscience</t>
  </si>
  <si>
    <t xml:space="preserve">Dept. of Psychology, School of Behavioural Sciences</t>
  </si>
  <si>
    <t xml:space="preserve">SS</t>
  </si>
  <si>
    <t xml:space="preserve">Social Sciences</t>
  </si>
  <si>
    <t xml:space="preserve">Communication &amp; media, geography, politics &amp; international studies, sociology, anthropology, development studies, gender studies</t>
  </si>
  <si>
    <t xml:space="preserve">Dept. of Sociology, Political Science, Anthropology</t>
  </si>
  <si>
    <t xml:space="preserve">Raw Research Votes Log — Source Data for Subject Diversity Analysis</t>
  </si>
  <si>
    <t xml:space="preserve">Each row = one research vote (up to 15 per respondent). Captures respondent's subject area for subject diversity.</t>
  </si>
  <si>
    <t xml:space="preserve">Vote ID</t>
  </si>
  <si>
    <t xml:space="preserve">University Name</t>
  </si>
  <si>
    <t xml:space="preserve">Respondent ID</t>
  </si>
  <si>
    <t xml:space="preserve">Respondent Country (ISO)</t>
  </si>
  <si>
    <t xml:space="preserve">Subject Code</t>
  </si>
  <si>
    <t xml:space="preserve">Subject Area (Full Name)</t>
  </si>
  <si>
    <t xml:space="preserve">Self-Vote (Y/N)</t>
  </si>
  <si>
    <t xml:space="preserve">Date</t>
  </si>
  <si>
    <t xml:space="preserve">RV-00001</t>
  </si>
  <si>
    <t xml:space="preserve">RV-00002</t>
  </si>
  <si>
    <t xml:space="preserve">RV-00003</t>
  </si>
  <si>
    <t xml:space="preserve">RV-00004</t>
  </si>
  <si>
    <t xml:space="preserve">RV-00005</t>
  </si>
  <si>
    <t xml:space="preserve">RV-00006</t>
  </si>
  <si>
    <t xml:space="preserve">RV-00007</t>
  </si>
  <si>
    <t xml:space="preserve">RV-00008</t>
  </si>
  <si>
    <t xml:space="preserve">RV-00009</t>
  </si>
  <si>
    <t xml:space="preserve">RV-00010</t>
  </si>
  <si>
    <t xml:space="preserve">RV-00011</t>
  </si>
  <si>
    <t xml:space="preserve">RV-00012</t>
  </si>
  <si>
    <t xml:space="preserve">RV-00013</t>
  </si>
  <si>
    <t xml:space="preserve">RV-00014</t>
  </si>
  <si>
    <t xml:space="preserve">RV-00015</t>
  </si>
  <si>
    <t xml:space="preserve">RV-00016</t>
  </si>
  <si>
    <t xml:space="preserve">RV-00017</t>
  </si>
  <si>
    <t xml:space="preserve">RV-00018</t>
  </si>
  <si>
    <t xml:space="preserve">RV-00019</t>
  </si>
  <si>
    <t xml:space="preserve">RV-00020</t>
  </si>
  <si>
    <t xml:space="preserve">RV-00021</t>
  </si>
  <si>
    <t xml:space="preserve">RV-00022</t>
  </si>
  <si>
    <t xml:space="preserve">RV-00023</t>
  </si>
  <si>
    <t xml:space="preserve">RV-00024</t>
  </si>
  <si>
    <t xml:space="preserve">RV-00025</t>
  </si>
  <si>
    <t xml:space="preserve">RV-00026</t>
  </si>
  <si>
    <t xml:space="preserve">RV-00027</t>
  </si>
  <si>
    <t xml:space="preserve">RV-00028</t>
  </si>
  <si>
    <t xml:space="preserve">RV-00029</t>
  </si>
  <si>
    <t xml:space="preserve">RV-00030</t>
  </si>
  <si>
    <t xml:space="preserve">RV-00031</t>
  </si>
  <si>
    <t xml:space="preserve">RV-00032</t>
  </si>
  <si>
    <t xml:space="preserve">RV-00033</t>
  </si>
  <si>
    <t xml:space="preserve">RV-00034</t>
  </si>
  <si>
    <t xml:space="preserve">RV-00035</t>
  </si>
  <si>
    <t xml:space="preserve">RV-00036</t>
  </si>
  <si>
    <t xml:space="preserve">RV-00037</t>
  </si>
  <si>
    <t xml:space="preserve">RV-00038</t>
  </si>
  <si>
    <t xml:space="preserve">RV-00039</t>
  </si>
  <si>
    <t xml:space="preserve">RV-00040</t>
  </si>
  <si>
    <t xml:space="preserve">RV-00041</t>
  </si>
  <si>
    <t xml:space="preserve">RV-00042</t>
  </si>
  <si>
    <t xml:space="preserve">RV-00043</t>
  </si>
  <si>
    <t xml:space="preserve">RV-00044</t>
  </si>
  <si>
    <t xml:space="preserve">RV-00045</t>
  </si>
  <si>
    <t xml:space="preserve">RV-00046</t>
  </si>
  <si>
    <t xml:space="preserve">RV-00047</t>
  </si>
  <si>
    <t xml:space="preserve">RV-00048</t>
  </si>
  <si>
    <t xml:space="preserve">RV-00049</t>
  </si>
  <si>
    <t xml:space="preserve">RV-00050</t>
  </si>
  <si>
    <t xml:space="preserve">RV-00051</t>
  </si>
  <si>
    <t xml:space="preserve">RV-00052</t>
  </si>
  <si>
    <t xml:space="preserve">RV-00053</t>
  </si>
  <si>
    <t xml:space="preserve">RV-00054</t>
  </si>
  <si>
    <t xml:space="preserve">RV-00055</t>
  </si>
  <si>
    <t xml:space="preserve">RV-00056</t>
  </si>
  <si>
    <t xml:space="preserve">RV-00057</t>
  </si>
  <si>
    <t xml:space="preserve">RV-00058</t>
  </si>
  <si>
    <t xml:space="preserve">RV-00059</t>
  </si>
  <si>
    <t xml:space="preserve">RV-00060</t>
  </si>
  <si>
    <t xml:space="preserve">RV-00061</t>
  </si>
  <si>
    <t xml:space="preserve">RV-00062</t>
  </si>
  <si>
    <t xml:space="preserve">RV-00063</t>
  </si>
  <si>
    <t xml:space="preserve">RV-00064</t>
  </si>
  <si>
    <t xml:space="preserve">RV-00065</t>
  </si>
  <si>
    <t xml:space="preserve">RV-00066</t>
  </si>
  <si>
    <t xml:space="preserve">RV-00067</t>
  </si>
  <si>
    <t xml:space="preserve">RV-00068</t>
  </si>
  <si>
    <t xml:space="preserve">RV-00069</t>
  </si>
  <si>
    <t xml:space="preserve">RV-00070</t>
  </si>
  <si>
    <t xml:space="preserve">RV-00071</t>
  </si>
  <si>
    <t xml:space="preserve">RV-00072</t>
  </si>
  <si>
    <t xml:space="preserve">RV-00073</t>
  </si>
  <si>
    <t xml:space="preserve">RV-00074</t>
  </si>
  <si>
    <t xml:space="preserve">RV-00075</t>
  </si>
  <si>
    <t xml:space="preserve">RV-00076</t>
  </si>
  <si>
    <t xml:space="preserve">RV-00077</t>
  </si>
  <si>
    <t xml:space="preserve">RV-00078</t>
  </si>
  <si>
    <t xml:space="preserve">RV-00079</t>
  </si>
  <si>
    <t xml:space="preserve">RV-00080</t>
  </si>
  <si>
    <t xml:space="preserve">RV-00081</t>
  </si>
  <si>
    <t xml:space="preserve">RV-00082</t>
  </si>
  <si>
    <t xml:space="preserve">RV-00083</t>
  </si>
  <si>
    <t xml:space="preserve">RV-00084</t>
  </si>
  <si>
    <t xml:space="preserve">RV-00085</t>
  </si>
  <si>
    <t xml:space="preserve">RV-00086</t>
  </si>
  <si>
    <t xml:space="preserve">RV-00087</t>
  </si>
  <si>
    <t xml:space="preserve">RV-00088</t>
  </si>
  <si>
    <t xml:space="preserve">RV-00089</t>
  </si>
  <si>
    <t xml:space="preserve">RV-00090</t>
  </si>
  <si>
    <t xml:space="preserve">RV-00091</t>
  </si>
  <si>
    <t xml:space="preserve">RV-00092</t>
  </si>
  <si>
    <t xml:space="preserve">RV-00093</t>
  </si>
  <si>
    <t xml:space="preserve">RV-00094</t>
  </si>
  <si>
    <t xml:space="preserve">RV-00095</t>
  </si>
  <si>
    <t xml:space="preserve">RV-00096</t>
  </si>
  <si>
    <t xml:space="preserve">RV-00097</t>
  </si>
  <si>
    <t xml:space="preserve">RV-00098</t>
  </si>
  <si>
    <t xml:space="preserve">RV-00099</t>
  </si>
  <si>
    <t xml:space="preserve">RV-00100</t>
  </si>
  <si>
    <t xml:space="preserve">RV-00101</t>
  </si>
  <si>
    <t xml:space="preserve">RV-00102</t>
  </si>
  <si>
    <t xml:space="preserve">RV-00103</t>
  </si>
  <si>
    <t xml:space="preserve">RV-00104</t>
  </si>
  <si>
    <t xml:space="preserve">RV-00105</t>
  </si>
  <si>
    <t xml:space="preserve">RV-00106</t>
  </si>
  <si>
    <t xml:space="preserve">RV-00107</t>
  </si>
  <si>
    <t xml:space="preserve">RV-00108</t>
  </si>
  <si>
    <t xml:space="preserve">RV-00109</t>
  </si>
  <si>
    <t xml:space="preserve">RV-00110</t>
  </si>
  <si>
    <t xml:space="preserve">RV-00111</t>
  </si>
  <si>
    <t xml:space="preserve">RV-00112</t>
  </si>
  <si>
    <t xml:space="preserve">RV-00113</t>
  </si>
  <si>
    <t xml:space="preserve">RV-00114</t>
  </si>
  <si>
    <t xml:space="preserve">RV-00115</t>
  </si>
  <si>
    <t xml:space="preserve">RV-00116</t>
  </si>
  <si>
    <t xml:space="preserve">RV-00117</t>
  </si>
  <si>
    <t xml:space="preserve">RV-00118</t>
  </si>
  <si>
    <t xml:space="preserve">RV-00119</t>
  </si>
  <si>
    <t xml:space="preserve">RV-00120</t>
  </si>
  <si>
    <t xml:space="preserve">RV-00121</t>
  </si>
  <si>
    <t xml:space="preserve">RV-00122</t>
  </si>
  <si>
    <t xml:space="preserve">RV-00123</t>
  </si>
  <si>
    <t xml:space="preserve">RV-00124</t>
  </si>
  <si>
    <t xml:space="preserve">RV-00125</t>
  </si>
  <si>
    <t xml:space="preserve">RV-00126</t>
  </si>
  <si>
    <t xml:space="preserve">RV-00127</t>
  </si>
  <si>
    <t xml:space="preserve">RV-00128</t>
  </si>
  <si>
    <t xml:space="preserve">RV-00129</t>
  </si>
  <si>
    <t xml:space="preserve">RV-00130</t>
  </si>
  <si>
    <t xml:space="preserve">RV-00131</t>
  </si>
  <si>
    <t xml:space="preserve">RV-00132</t>
  </si>
  <si>
    <t xml:space="preserve">RV-00133</t>
  </si>
  <si>
    <t xml:space="preserve">RV-00134</t>
  </si>
  <si>
    <t xml:space="preserve">RV-00135</t>
  </si>
  <si>
    <t xml:space="preserve">RV-00136</t>
  </si>
  <si>
    <t xml:space="preserve">RV-00137</t>
  </si>
  <si>
    <t xml:space="preserve">RV-00138</t>
  </si>
  <si>
    <t xml:space="preserve">RV-00139</t>
  </si>
  <si>
    <t xml:space="preserve">RV-00140</t>
  </si>
  <si>
    <t xml:space="preserve">RV-00141</t>
  </si>
  <si>
    <t xml:space="preserve">RV-00142</t>
  </si>
  <si>
    <t xml:space="preserve">RV-00143</t>
  </si>
  <si>
    <t xml:space="preserve">RV-00144</t>
  </si>
  <si>
    <t xml:space="preserve">RV-00145</t>
  </si>
  <si>
    <t xml:space="preserve">RV-00146</t>
  </si>
  <si>
    <t xml:space="preserve">RV-00147</t>
  </si>
  <si>
    <t xml:space="preserve">RV-00148</t>
  </si>
  <si>
    <t xml:space="preserve">RV-00149</t>
  </si>
  <si>
    <t xml:space="preserve">RV-00150</t>
  </si>
  <si>
    <t xml:space="preserve">RV-00151</t>
  </si>
  <si>
    <t xml:space="preserve">RV-00152</t>
  </si>
  <si>
    <t xml:space="preserve">RV-00153</t>
  </si>
  <si>
    <t xml:space="preserve">RV-00154</t>
  </si>
  <si>
    <t xml:space="preserve">RV-00155</t>
  </si>
  <si>
    <t xml:space="preserve">RV-00156</t>
  </si>
  <si>
    <t xml:space="preserve">RV-00157</t>
  </si>
  <si>
    <t xml:space="preserve">RV-00158</t>
  </si>
  <si>
    <t xml:space="preserve">RV-00159</t>
  </si>
  <si>
    <t xml:space="preserve">RV-00160</t>
  </si>
  <si>
    <t xml:space="preserve">RV-00161</t>
  </si>
  <si>
    <t xml:space="preserve">RV-00162</t>
  </si>
  <si>
    <t xml:space="preserve">RV-00163</t>
  </si>
  <si>
    <t xml:space="preserve">RV-00164</t>
  </si>
  <si>
    <t xml:space="preserve">RV-00165</t>
  </si>
  <si>
    <t xml:space="preserve">RV-00166</t>
  </si>
  <si>
    <t xml:space="preserve">RV-00167</t>
  </si>
  <si>
    <t xml:space="preserve">RV-00168</t>
  </si>
  <si>
    <t xml:space="preserve">RV-00169</t>
  </si>
  <si>
    <t xml:space="preserve">RV-00170</t>
  </si>
  <si>
    <t xml:space="preserve">RV-00171</t>
  </si>
  <si>
    <t xml:space="preserve">RV-00172</t>
  </si>
  <si>
    <t xml:space="preserve">RV-00173</t>
  </si>
  <si>
    <t xml:space="preserve">RV-00174</t>
  </si>
  <si>
    <t xml:space="preserve">RV-00175</t>
  </si>
  <si>
    <t xml:space="preserve">RV-00176</t>
  </si>
  <si>
    <t xml:space="preserve">RV-00177</t>
  </si>
  <si>
    <t xml:space="preserve">RV-00178</t>
  </si>
  <si>
    <t xml:space="preserve">RV-00179</t>
  </si>
  <si>
    <t xml:space="preserve">RV-00180</t>
  </si>
  <si>
    <t xml:space="preserve">RV-00181</t>
  </si>
  <si>
    <t xml:space="preserve">RV-00182</t>
  </si>
  <si>
    <t xml:space="preserve">RV-00183</t>
  </si>
  <si>
    <t xml:space="preserve">RV-00184</t>
  </si>
  <si>
    <t xml:space="preserve">RV-00185</t>
  </si>
  <si>
    <t xml:space="preserve">RV-00186</t>
  </si>
  <si>
    <t xml:space="preserve">RV-00187</t>
  </si>
  <si>
    <t xml:space="preserve">RV-00188</t>
  </si>
  <si>
    <t xml:space="preserve">RV-00189</t>
  </si>
  <si>
    <t xml:space="preserve">RV-00190</t>
  </si>
  <si>
    <t xml:space="preserve">RV-00191</t>
  </si>
  <si>
    <t xml:space="preserve">RV-00192</t>
  </si>
  <si>
    <t xml:space="preserve">RV-00193</t>
  </si>
  <si>
    <t xml:space="preserve">RV-00194</t>
  </si>
  <si>
    <t xml:space="preserve">RV-00195</t>
  </si>
  <si>
    <t xml:space="preserve">RV-00196</t>
  </si>
  <si>
    <t xml:space="preserve">RV-00197</t>
  </si>
  <si>
    <t xml:space="preserve">RV-00198</t>
  </si>
  <si>
    <t xml:space="preserve">RV-00199</t>
  </si>
  <si>
    <t xml:space="preserve">RV-00200</t>
  </si>
  <si>
    <t xml:space="preserve">Raw Teaching Votes Log — Source Data for Subject Diversity Analysis</t>
  </si>
  <si>
    <t xml:space="preserve">Each row = one teaching vote (up to 15 per respondent). Captures respondent's subject area for teaching subject diversity.</t>
  </si>
  <si>
    <t xml:space="preserve">TV-00001</t>
  </si>
  <si>
    <t xml:space="preserve">TV-00002</t>
  </si>
  <si>
    <t xml:space="preserve">TV-00003</t>
  </si>
  <si>
    <t xml:space="preserve">TV-00004</t>
  </si>
  <si>
    <t xml:space="preserve">TV-00005</t>
  </si>
  <si>
    <t xml:space="preserve">TV-00006</t>
  </si>
  <si>
    <t xml:space="preserve">TV-00007</t>
  </si>
  <si>
    <t xml:space="preserve">TV-00008</t>
  </si>
  <si>
    <t xml:space="preserve">TV-00009</t>
  </si>
  <si>
    <t xml:space="preserve">TV-00010</t>
  </si>
  <si>
    <t xml:space="preserve">TV-00011</t>
  </si>
  <si>
    <t xml:space="preserve">TV-00012</t>
  </si>
  <si>
    <t xml:space="preserve">TV-00013</t>
  </si>
  <si>
    <t xml:space="preserve">TV-00014</t>
  </si>
  <si>
    <t xml:space="preserve">TV-00015</t>
  </si>
  <si>
    <t xml:space="preserve">TV-00016</t>
  </si>
  <si>
    <t xml:space="preserve">TV-00017</t>
  </si>
  <si>
    <t xml:space="preserve">TV-00018</t>
  </si>
  <si>
    <t xml:space="preserve">TV-00019</t>
  </si>
  <si>
    <t xml:space="preserve">TV-00020</t>
  </si>
  <si>
    <t xml:space="preserve">TV-00021</t>
  </si>
  <si>
    <t xml:space="preserve">TV-00022</t>
  </si>
  <si>
    <t xml:space="preserve">TV-00023</t>
  </si>
  <si>
    <t xml:space="preserve">TV-00024</t>
  </si>
  <si>
    <t xml:space="preserve">TV-00025</t>
  </si>
  <si>
    <t xml:space="preserve">TV-00026</t>
  </si>
  <si>
    <t xml:space="preserve">TV-00027</t>
  </si>
  <si>
    <t xml:space="preserve">TV-00028</t>
  </si>
  <si>
    <t xml:space="preserve">TV-00029</t>
  </si>
  <si>
    <t xml:space="preserve">TV-00030</t>
  </si>
  <si>
    <t xml:space="preserve">TV-00031</t>
  </si>
  <si>
    <t xml:space="preserve">TV-00032</t>
  </si>
  <si>
    <t xml:space="preserve">TV-00033</t>
  </si>
  <si>
    <t xml:space="preserve">TV-00034</t>
  </si>
  <si>
    <t xml:space="preserve">TV-00035</t>
  </si>
  <si>
    <t xml:space="preserve">TV-00036</t>
  </si>
  <si>
    <t xml:space="preserve">TV-00037</t>
  </si>
  <si>
    <t xml:space="preserve">TV-00038</t>
  </si>
  <si>
    <t xml:space="preserve">TV-00039</t>
  </si>
  <si>
    <t xml:space="preserve">TV-00040</t>
  </si>
  <si>
    <t xml:space="preserve">TV-00041</t>
  </si>
  <si>
    <t xml:space="preserve">TV-00042</t>
  </si>
  <si>
    <t xml:space="preserve">TV-00043</t>
  </si>
  <si>
    <t xml:space="preserve">TV-00044</t>
  </si>
  <si>
    <t xml:space="preserve">TV-00045</t>
  </si>
  <si>
    <t xml:space="preserve">TV-00046</t>
  </si>
  <si>
    <t xml:space="preserve">TV-00047</t>
  </si>
  <si>
    <t xml:space="preserve">TV-00048</t>
  </si>
  <si>
    <t xml:space="preserve">TV-00049</t>
  </si>
  <si>
    <t xml:space="preserve">TV-00050</t>
  </si>
  <si>
    <t xml:space="preserve">TV-00051</t>
  </si>
  <si>
    <t xml:space="preserve">TV-00052</t>
  </si>
  <si>
    <t xml:space="preserve">TV-00053</t>
  </si>
  <si>
    <t xml:space="preserve">TV-00054</t>
  </si>
  <si>
    <t xml:space="preserve">TV-00055</t>
  </si>
  <si>
    <t xml:space="preserve">TV-00056</t>
  </si>
  <si>
    <t xml:space="preserve">TV-00057</t>
  </si>
  <si>
    <t xml:space="preserve">TV-00058</t>
  </si>
  <si>
    <t xml:space="preserve">TV-00059</t>
  </si>
  <si>
    <t xml:space="preserve">TV-00060</t>
  </si>
  <si>
    <t xml:space="preserve">TV-00061</t>
  </si>
  <si>
    <t xml:space="preserve">TV-00062</t>
  </si>
  <si>
    <t xml:space="preserve">TV-00063</t>
  </si>
  <si>
    <t xml:space="preserve">TV-00064</t>
  </si>
  <si>
    <t xml:space="preserve">TV-00065</t>
  </si>
  <si>
    <t xml:space="preserve">TV-00066</t>
  </si>
  <si>
    <t xml:space="preserve">TV-00067</t>
  </si>
  <si>
    <t xml:space="preserve">TV-00068</t>
  </si>
  <si>
    <t xml:space="preserve">TV-00069</t>
  </si>
  <si>
    <t xml:space="preserve">TV-00070</t>
  </si>
  <si>
    <t xml:space="preserve">TV-00071</t>
  </si>
  <si>
    <t xml:space="preserve">TV-00072</t>
  </si>
  <si>
    <t xml:space="preserve">TV-00073</t>
  </si>
  <si>
    <t xml:space="preserve">TV-00074</t>
  </si>
  <si>
    <t xml:space="preserve">TV-00075</t>
  </si>
  <si>
    <t xml:space="preserve">TV-00076</t>
  </si>
  <si>
    <t xml:space="preserve">TV-00077</t>
  </si>
  <si>
    <t xml:space="preserve">TV-00078</t>
  </si>
  <si>
    <t xml:space="preserve">TV-00079</t>
  </si>
  <si>
    <t xml:space="preserve">TV-00080</t>
  </si>
  <si>
    <t xml:space="preserve">TV-00081</t>
  </si>
  <si>
    <t xml:space="preserve">TV-00082</t>
  </si>
  <si>
    <t xml:space="preserve">TV-00083</t>
  </si>
  <si>
    <t xml:space="preserve">TV-00084</t>
  </si>
  <si>
    <t xml:space="preserve">TV-00085</t>
  </si>
  <si>
    <t xml:space="preserve">TV-00086</t>
  </si>
  <si>
    <t xml:space="preserve">TV-00087</t>
  </si>
  <si>
    <t xml:space="preserve">TV-00088</t>
  </si>
  <si>
    <t xml:space="preserve">TV-00089</t>
  </si>
  <si>
    <t xml:space="preserve">TV-00090</t>
  </si>
  <si>
    <t xml:space="preserve">TV-00091</t>
  </si>
  <si>
    <t xml:space="preserve">TV-00092</t>
  </si>
  <si>
    <t xml:space="preserve">TV-00093</t>
  </si>
  <si>
    <t xml:space="preserve">TV-00094</t>
  </si>
  <si>
    <t xml:space="preserve">TV-00095</t>
  </si>
  <si>
    <t xml:space="preserve">TV-00096</t>
  </si>
  <si>
    <t xml:space="preserve">TV-00097</t>
  </si>
  <si>
    <t xml:space="preserve">TV-00098</t>
  </si>
  <si>
    <t xml:space="preserve">TV-00099</t>
  </si>
  <si>
    <t xml:space="preserve">TV-00100</t>
  </si>
  <si>
    <t xml:space="preserve">TV-00101</t>
  </si>
  <si>
    <t xml:space="preserve">TV-00102</t>
  </si>
  <si>
    <t xml:space="preserve">TV-00103</t>
  </si>
  <si>
    <t xml:space="preserve">TV-00104</t>
  </si>
  <si>
    <t xml:space="preserve">TV-00105</t>
  </si>
  <si>
    <t xml:space="preserve">TV-00106</t>
  </si>
  <si>
    <t xml:space="preserve">TV-00107</t>
  </si>
  <si>
    <t xml:space="preserve">TV-00108</t>
  </si>
  <si>
    <t xml:space="preserve">TV-00109</t>
  </si>
  <si>
    <t xml:space="preserve">TV-00110</t>
  </si>
  <si>
    <t xml:space="preserve">TV-00111</t>
  </si>
  <si>
    <t xml:space="preserve">TV-00112</t>
  </si>
  <si>
    <t xml:space="preserve">TV-00113</t>
  </si>
  <si>
    <t xml:space="preserve">TV-00114</t>
  </si>
  <si>
    <t xml:space="preserve">TV-00115</t>
  </si>
  <si>
    <t xml:space="preserve">TV-00116</t>
  </si>
  <si>
    <t xml:space="preserve">TV-00117</t>
  </si>
  <si>
    <t xml:space="preserve">TV-00118</t>
  </si>
  <si>
    <t xml:space="preserve">TV-00119</t>
  </si>
  <si>
    <t xml:space="preserve">TV-00120</t>
  </si>
  <si>
    <t xml:space="preserve">TV-00121</t>
  </si>
  <si>
    <t xml:space="preserve">TV-00122</t>
  </si>
  <si>
    <t xml:space="preserve">TV-00123</t>
  </si>
  <si>
    <t xml:space="preserve">TV-00124</t>
  </si>
  <si>
    <t xml:space="preserve">TV-00125</t>
  </si>
  <si>
    <t xml:space="preserve">TV-00126</t>
  </si>
  <si>
    <t xml:space="preserve">TV-00127</t>
  </si>
  <si>
    <t xml:space="preserve">TV-00128</t>
  </si>
  <si>
    <t xml:space="preserve">TV-00129</t>
  </si>
  <si>
    <t xml:space="preserve">TV-00130</t>
  </si>
  <si>
    <t xml:space="preserve">TV-00131</t>
  </si>
  <si>
    <t xml:space="preserve">TV-00132</t>
  </si>
  <si>
    <t xml:space="preserve">TV-00133</t>
  </si>
  <si>
    <t xml:space="preserve">TV-00134</t>
  </si>
  <si>
    <t xml:space="preserve">TV-00135</t>
  </si>
  <si>
    <t xml:space="preserve">TV-00136</t>
  </si>
  <si>
    <t xml:space="preserve">TV-00137</t>
  </si>
  <si>
    <t xml:space="preserve">TV-00138</t>
  </si>
  <si>
    <t xml:space="preserve">TV-00139</t>
  </si>
  <si>
    <t xml:space="preserve">TV-00140</t>
  </si>
  <si>
    <t xml:space="preserve">TV-00141</t>
  </si>
  <si>
    <t xml:space="preserve">TV-00142</t>
  </si>
  <si>
    <t xml:space="preserve">TV-00143</t>
  </si>
  <si>
    <t xml:space="preserve">TV-00144</t>
  </si>
  <si>
    <t xml:space="preserve">TV-00145</t>
  </si>
  <si>
    <t xml:space="preserve">TV-00146</t>
  </si>
  <si>
    <t xml:space="preserve">TV-00147</t>
  </si>
  <si>
    <t xml:space="preserve">TV-00148</t>
  </si>
  <si>
    <t xml:space="preserve">TV-00149</t>
  </si>
  <si>
    <t xml:space="preserve">TV-00150</t>
  </si>
  <si>
    <t xml:space="preserve">TV-00151</t>
  </si>
  <si>
    <t xml:space="preserve">TV-00152</t>
  </si>
  <si>
    <t xml:space="preserve">TV-00153</t>
  </si>
  <si>
    <t xml:space="preserve">TV-00154</t>
  </si>
  <si>
    <t xml:space="preserve">TV-00155</t>
  </si>
  <si>
    <t xml:space="preserve">TV-00156</t>
  </si>
  <si>
    <t xml:space="preserve">TV-00157</t>
  </si>
  <si>
    <t xml:space="preserve">TV-00158</t>
  </si>
  <si>
    <t xml:space="preserve">TV-00159</t>
  </si>
  <si>
    <t xml:space="preserve">TV-00160</t>
  </si>
  <si>
    <t xml:space="preserve">TV-00161</t>
  </si>
  <si>
    <t xml:space="preserve">TV-00162</t>
  </si>
  <si>
    <t xml:space="preserve">TV-00163</t>
  </si>
  <si>
    <t xml:space="preserve">TV-00164</t>
  </si>
  <si>
    <t xml:space="preserve">TV-00165</t>
  </si>
  <si>
    <t xml:space="preserve">TV-00166</t>
  </si>
  <si>
    <t xml:space="preserve">TV-00167</t>
  </si>
  <si>
    <t xml:space="preserve">TV-00168</t>
  </si>
  <si>
    <t xml:space="preserve">TV-00169</t>
  </si>
  <si>
    <t xml:space="preserve">TV-00170</t>
  </si>
  <si>
    <t xml:space="preserve">TV-00171</t>
  </si>
  <si>
    <t xml:space="preserve">TV-00172</t>
  </si>
  <si>
    <t xml:space="preserve">TV-00173</t>
  </si>
  <si>
    <t xml:space="preserve">TV-00174</t>
  </si>
  <si>
    <t xml:space="preserve">TV-00175</t>
  </si>
  <si>
    <t xml:space="preserve">TV-00176</t>
  </si>
  <si>
    <t xml:space="preserve">TV-00177</t>
  </si>
  <si>
    <t xml:space="preserve">TV-00178</t>
  </si>
  <si>
    <t xml:space="preserve">TV-00179</t>
  </si>
  <si>
    <t xml:space="preserve">TV-00180</t>
  </si>
  <si>
    <t xml:space="preserve">TV-00181</t>
  </si>
  <si>
    <t xml:space="preserve">TV-00182</t>
  </si>
  <si>
    <t xml:space="preserve">TV-00183</t>
  </si>
  <si>
    <t xml:space="preserve">TV-00184</t>
  </si>
  <si>
    <t xml:space="preserve">TV-00185</t>
  </si>
  <si>
    <t xml:space="preserve">TV-00186</t>
  </si>
  <si>
    <t xml:space="preserve">TV-00187</t>
  </si>
  <si>
    <t xml:space="preserve">TV-00188</t>
  </si>
  <si>
    <t xml:space="preserve">TV-00189</t>
  </si>
  <si>
    <t xml:space="preserve">TV-00190</t>
  </si>
  <si>
    <t xml:space="preserve">TV-00191</t>
  </si>
  <si>
    <t xml:space="preserve">TV-00192</t>
  </si>
  <si>
    <t xml:space="preserve">TV-00193</t>
  </si>
  <si>
    <t xml:space="preserve">TV-00194</t>
  </si>
  <si>
    <t xml:space="preserve">TV-00195</t>
  </si>
  <si>
    <t xml:space="preserve">TV-00196</t>
  </si>
  <si>
    <t xml:space="preserve">TV-00197</t>
  </si>
  <si>
    <t xml:space="preserve">TV-00198</t>
  </si>
  <si>
    <t xml:space="preserve">TV-00199</t>
  </si>
  <si>
    <t xml:space="preserve">TV-00200</t>
  </si>
  <si>
    <t xml:space="preserve">Research Votes: University × Subject Area Distribution</t>
  </si>
  <si>
    <t xml:space="preserve">Auto-populated from Research Votes Log — count of research votes per university per subject area</t>
  </si>
  <si>
    <t xml:space="preserve">University ↓ / Subject →</t>
  </si>
  <si>
    <t xml:space="preserve">Total Votes</t>
  </si>
  <si>
    <t xml:space="preserve">Unique Subjects</t>
  </si>
  <si>
    <t xml:space="preserve">Coverage %</t>
  </si>
  <si>
    <t xml:space="preserve">Teaching Votes: University × Subject Area Distribution</t>
  </si>
  <si>
    <t xml:space="preserve">Auto-populated from Teaching Votes Log — count of teaching votes per university per subject area</t>
  </si>
  <si>
    <t xml:space="preserve">Research Subject Entropy — Per-University Calculation</t>
  </si>
  <si>
    <t xml:space="preserve">H_subj = −Σ pⱼ × log₂(pⱼ) computed from Research Subject Matrix | Max H = log₂(11) ≈ 3.459</t>
  </si>
  <si>
    <t xml:space="preserve">S.No.</t>
  </si>
  <si>
    <t xml:space="preserve">Total Res. Votes</t>
  </si>
  <si>
    <t xml:space="preserve">Unique Subjects (of 11)</t>
  </si>
  <si>
    <t xml:space="preserve">Subject Entropy H (bits)</t>
  </si>
  <si>
    <t xml:space="preserve">Max Entropy log₂(11)</t>
  </si>
  <si>
    <t xml:space="preserve">Normalized Entropy (H/Hmax)</t>
  </si>
  <si>
    <t xml:space="preserve">Subject Diversity Score (0–100)</t>
  </si>
  <si>
    <t xml:space="preserve">Diversity Tier</t>
  </si>
  <si>
    <t xml:space="preserve">Teaching Subject Entropy — Per-University Calculation</t>
  </si>
  <si>
    <t xml:space="preserve">H_subj = −Σ pⱼ × log₂(pⱼ) computed from Teaching Subject Matrix | Max H = log₂(11) ≈ 3.459</t>
  </si>
  <si>
    <t xml:space="preserve">Total Tch. Votes</t>
  </si>
  <si>
    <t xml:space="preserve">Combined Subject Diversity Score — Research (2/3) + Teaching (1/3)</t>
  </si>
  <si>
    <t xml:space="preserve">Mirrors THE's 2:1 Research:Teaching weighting for the voter diversity pillar</t>
  </si>
  <si>
    <t xml:space="preserve">Research Subject Score</t>
  </si>
  <si>
    <t xml:space="preserve">Teaching Subject Score</t>
  </si>
  <si>
    <t xml:space="preserve">Combined Subject Diversity</t>
  </si>
  <si>
    <t xml:space="preserve">Overall Rank</t>
  </si>
  <si>
    <t xml:space="preserve">Tier</t>
  </si>
  <si>
    <t xml:space="preserve">Weights →</t>
  </si>
  <si>
    <t xml:space="preserve">Subject Gap Analysis — Identifying Weak &amp; Strong Subject Areas per University</t>
  </si>
  <si>
    <t xml:space="preserve">Shows % share of research votes by subject — highlights concentrations and gaps vs. ideal equal distribution (9.1% each)</t>
  </si>
  <si>
    <t xml:space="preserve">University ↓ / Subject % →</t>
  </si>
  <si>
    <t xml:space="preserve">AH %</t>
  </si>
  <si>
    <t xml:space="preserve">BE %</t>
  </si>
  <si>
    <t xml:space="preserve">CH %</t>
  </si>
  <si>
    <t xml:space="preserve">CS %</t>
  </si>
  <si>
    <t xml:space="preserve">ED %</t>
  </si>
  <si>
    <t xml:space="preserve">EN %</t>
  </si>
  <si>
    <t xml:space="preserve">LW %</t>
  </si>
  <si>
    <t xml:space="preserve">LS %</t>
  </si>
  <si>
    <t xml:space="preserve">PS %</t>
  </si>
  <si>
    <t xml:space="preserve">PY %</t>
  </si>
  <si>
    <t xml:space="preserve">SS %</t>
  </si>
  <si>
    <t xml:space="preserve">Strongest Subject</t>
  </si>
  <si>
    <t xml:space="preserve">Weakest / Missing Subjects</t>
  </si>
  <si>
    <t xml:space="preserve">IDEAL (Equal Distribution)</t>
  </si>
  <si>
    <t xml:space="preserve">Specialist vs. Generalist University Classification</t>
  </si>
  <si>
    <t xml:space="preserve">Classifies institutions by subject breadth — specialists concentrate in 1–3 areas; generalists span 7–11</t>
  </si>
  <si>
    <t xml:space="preserve">Subject Coverage (%)</t>
  </si>
  <si>
    <t xml:space="preserve">Concentration Index (HHI)</t>
  </si>
  <si>
    <t xml:space="preserve">Classification</t>
  </si>
  <si>
    <t xml:space="preserve">Dominant Subject(s)</t>
  </si>
  <si>
    <t xml:space="preserve">Implication for Diversity Score</t>
  </si>
  <si>
    <t xml:space="preserve">Subject Diversity — Data Quality &amp; Audit Checklist</t>
  </si>
  <si>
    <t xml:space="preserve">Validation checks specific to subject-dimension diversity calculations</t>
  </si>
  <si>
    <t xml:space="preserve">Quality Check</t>
  </si>
  <si>
    <t xml:space="preserve">Status (✓/✗/IP)</t>
  </si>
  <si>
    <t xml:space="preserve">Reviewer</t>
  </si>
  <si>
    <t xml:space="preserve">Subject code validation</t>
  </si>
  <si>
    <t xml:space="preserve">All votes use one of the 11 official THE subject codes (AH, BE, CH, CS, ED, EN, LW, LS, PS, PY, SS)</t>
  </si>
  <si>
    <t xml:space="preserve">No missing subject data</t>
  </si>
  <si>
    <t xml:space="preserve">Verify zero votes have blank or 'Unknown' subject codes in raw logs</t>
  </si>
  <si>
    <t xml:space="preserve">Subject code auto-lookup</t>
  </si>
  <si>
    <t xml:space="preserve">Subject full names correctly populated via VLOOKUP from Reference sheet</t>
  </si>
  <si>
    <t xml:space="preserve">Self-vote exclusion</t>
  </si>
  <si>
    <t xml:space="preserve">Self-votes flagged and excluded/diluted from subject distribution</t>
  </si>
  <si>
    <t xml:space="preserve">Vote count reconciliation</t>
  </si>
  <si>
    <t xml:space="preserve">Sum of per-subject votes = total university votes (row totals match)</t>
  </si>
  <si>
    <t xml:space="preserve">Entropy formula validation</t>
  </si>
  <si>
    <t xml:space="preserve">Entropy uses consistent log base 2 (bits); verified against manual calculation for 2–3 universities</t>
  </si>
  <si>
    <t xml:space="preserve">Zero-vote subject handling</t>
  </si>
  <si>
    <t xml:space="preserve">Subjects with 0 votes correctly excluded from entropy sum (0×log(0) treated as 0)</t>
  </si>
  <si>
    <t xml:space="preserve">Single-subject university check</t>
  </si>
  <si>
    <t xml:space="preserve">Universities with votes from only 1 subject flagged (H=0; requires investigation)</t>
  </si>
  <si>
    <t xml:space="preserve">Max entropy reference</t>
  </si>
  <si>
    <t xml:space="preserve">Max H correctly computed as log₂(K) where K = unique subjects with votes (not always 11)</t>
  </si>
  <si>
    <t xml:space="preserve">Normalization consistency</t>
  </si>
  <si>
    <t xml:space="preserve">Diversity scores use same normalization baseline across all universities</t>
  </si>
  <si>
    <t xml:space="preserve">Research vs Teaching separation</t>
  </si>
  <si>
    <t xml:space="preserve">Research and teaching subject distributions computed independently</t>
  </si>
  <si>
    <t xml:space="preserve">2:1 weighting verification</t>
  </si>
  <si>
    <t xml:space="preserve">Combined score correctly applies Research(2/3) + Teaching(1/3) weighting</t>
  </si>
  <si>
    <t xml:space="preserve">HHI cross-check</t>
  </si>
  <si>
    <t xml:space="preserve">Herfindahl-Hirschman Index consistent with entropy ranking (inverse relationship expected)</t>
  </si>
  <si>
    <t xml:space="preserve">Subject balance weighting</t>
  </si>
  <si>
    <t xml:space="preserve">If THE applied survey weights to rebalance subject representation, verify weights applied before entropy</t>
  </si>
  <si>
    <t xml:space="preserve">Specialist institution fairness</t>
  </si>
  <si>
    <t xml:space="preserve">Verify specialist institutions (medical, technical) are not unfairly penalized vs. comprehensive universities</t>
  </si>
  <si>
    <t xml:space="preserve">Coverage percentage accuracy</t>
  </si>
  <si>
    <t xml:space="preserve">Coverage % = unique subjects / 11 × 100, verified for all universities</t>
  </si>
  <si>
    <t xml:space="preserve">Gap analysis consistency</t>
  </si>
  <si>
    <t xml:space="preserve">Strongest subject and missing-subjects count match the subject matrix data</t>
  </si>
  <si>
    <t xml:space="preserve">Cross-validation with WRR 2025</t>
  </si>
  <si>
    <t xml:space="preserve">Spot-check results against THE published 2025 outcomes (Harvard/Oxford/Cambridge led diversity)</t>
  </si>
  <si>
    <t xml:space="preserve">Temporal consistency</t>
  </si>
  <si>
    <t xml:space="preserve">Subject distributions compared year-on-year for unusual shifts requiring investigation</t>
  </si>
  <si>
    <t xml:space="preserve">Reproducibility test</t>
  </si>
  <si>
    <t xml:space="preserve">All calculations reproducible by independent analyst using this workbook alone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</si>
</sst>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0"/>
    <numFmt numFmtId="167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3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i val="true"/>
      <sz val="10"/>
      <color rgb="FF548235"/>
      <name val="Arial"/>
      <family val="0"/>
      <charset val="1"/>
    </font>
    <font>
      <b val="true"/>
      <sz val="10"/>
      <color rgb="FF548235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3F51B5"/>
        <bgColor rgb="FF6666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C8102E"/>
        <bgColor rgb="FF993300"/>
      </patternFill>
    </fill>
    <fill>
      <patternFill patternType="solid">
        <fgColor rgb="FFFFF5D9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2F8F9D"/>
        <bgColor rgb="FF008080"/>
      </patternFill>
    </fill>
    <fill>
      <patternFill patternType="solid">
        <fgColor rgb="FF1A2E4F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808080"/>
      </patternFill>
    </fill>
    <fill>
      <patternFill patternType="solid">
        <fgColor rgb="FFBF8F00"/>
        <bgColor rgb="FFED7D31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2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75" hidden="false" customHeight="true" outlineLevel="0" collapsed="false">
      <c r="A5" s="4" t="n">
        <v>1</v>
      </c>
      <c r="B5" s="5" t="s">
        <v>6</v>
      </c>
      <c r="C5" s="6" t="s">
        <v>7</v>
      </c>
      <c r="D5" s="4" t="s">
        <v>8</v>
      </c>
    </row>
    <row r="6" customFormat="false" ht="75" hidden="false" customHeight="true" outlineLevel="0" collapsed="false">
      <c r="A6" s="7" t="n">
        <v>2</v>
      </c>
      <c r="B6" s="8" t="s">
        <v>9</v>
      </c>
      <c r="C6" s="9" t="s">
        <v>10</v>
      </c>
      <c r="D6" s="7" t="s">
        <v>11</v>
      </c>
    </row>
    <row r="7" customFormat="false" ht="75" hidden="false" customHeight="true" outlineLevel="0" collapsed="false">
      <c r="A7" s="4" t="n">
        <v>3</v>
      </c>
      <c r="B7" s="5" t="s">
        <v>12</v>
      </c>
      <c r="C7" s="6" t="s">
        <v>13</v>
      </c>
      <c r="D7" s="4" t="s">
        <v>14</v>
      </c>
    </row>
    <row r="8" customFormat="false" ht="75" hidden="false" customHeight="true" outlineLevel="0" collapsed="false">
      <c r="A8" s="7" t="n">
        <v>4</v>
      </c>
      <c r="B8" s="8" t="s">
        <v>15</v>
      </c>
      <c r="C8" s="9" t="s">
        <v>16</v>
      </c>
      <c r="D8" s="7" t="s">
        <v>17</v>
      </c>
    </row>
    <row r="9" customFormat="false" ht="75" hidden="false" customHeight="true" outlineLevel="0" collapsed="false">
      <c r="A9" s="4" t="n">
        <v>5</v>
      </c>
      <c r="B9" s="5" t="s">
        <v>18</v>
      </c>
      <c r="C9" s="6" t="s">
        <v>19</v>
      </c>
      <c r="D9" s="4" t="s">
        <v>20</v>
      </c>
    </row>
    <row r="10" customFormat="false" ht="75" hidden="false" customHeight="true" outlineLevel="0" collapsed="false">
      <c r="A10" s="7" t="n">
        <v>6</v>
      </c>
      <c r="B10" s="8" t="s">
        <v>21</v>
      </c>
      <c r="C10" s="9" t="s">
        <v>22</v>
      </c>
      <c r="D10" s="7" t="s">
        <v>23</v>
      </c>
    </row>
    <row r="11" customFormat="false" ht="75" hidden="false" customHeight="true" outlineLevel="0" collapsed="false">
      <c r="A11" s="4" t="n">
        <v>7</v>
      </c>
      <c r="B11" s="5" t="s">
        <v>24</v>
      </c>
      <c r="C11" s="6" t="s">
        <v>25</v>
      </c>
      <c r="D11" s="4" t="s">
        <v>26</v>
      </c>
    </row>
    <row r="13" customFormat="false" ht="25.5" hidden="false" customHeight="true" outlineLevel="0" collapsed="false">
      <c r="A13" s="10" t="s">
        <v>27</v>
      </c>
      <c r="B13" s="10"/>
      <c r="C13" s="10"/>
      <c r="D13" s="10"/>
    </row>
    <row r="14" customFormat="false" ht="36" hidden="false" customHeight="true" outlineLevel="0" collapsed="false">
      <c r="A14" s="11" t="s">
        <v>28</v>
      </c>
      <c r="B14" s="11"/>
      <c r="C14" s="11"/>
      <c r="D14" s="11"/>
    </row>
  </sheetData>
  <mergeCells count="4">
    <mergeCell ref="A1:D1"/>
    <mergeCell ref="A2:D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33.75" hidden="false" customHeight="true" outlineLevel="0" collapsed="false">
      <c r="A1" s="12" t="s">
        <v>29</v>
      </c>
      <c r="B1" s="12"/>
      <c r="C1" s="12"/>
      <c r="D1" s="12"/>
      <c r="E1" s="12"/>
      <c r="F1" s="12"/>
    </row>
    <row r="2" customFormat="false" ht="25.5" hidden="false" customHeight="true" outlineLevel="0" collapsed="false">
      <c r="A2" s="13" t="s">
        <v>30</v>
      </c>
      <c r="B2" s="13"/>
      <c r="C2" s="13"/>
      <c r="D2" s="13"/>
      <c r="E2" s="13"/>
      <c r="F2" s="13"/>
    </row>
    <row r="3" customFormat="false" ht="15" hidden="false" customHeight="false" outlineLevel="0" collapsed="false">
      <c r="A3" s="14" t="s">
        <v>2</v>
      </c>
      <c r="B3" s="14" t="s">
        <v>31</v>
      </c>
      <c r="C3" s="14" t="s">
        <v>32</v>
      </c>
      <c r="D3" s="14" t="s">
        <v>33</v>
      </c>
      <c r="E3" s="14" t="s">
        <v>34</v>
      </c>
      <c r="F3" s="14" t="s">
        <v>35</v>
      </c>
    </row>
    <row r="4" customFormat="false" ht="54.75" hidden="false" customHeight="true" outlineLevel="0" collapsed="false">
      <c r="A4" s="7" t="n">
        <v>1</v>
      </c>
      <c r="B4" s="15" t="s">
        <v>36</v>
      </c>
      <c r="C4" s="8" t="s">
        <v>37</v>
      </c>
      <c r="D4" s="9" t="s">
        <v>38</v>
      </c>
      <c r="E4" s="9" t="s">
        <v>39</v>
      </c>
      <c r="F4" s="7" t="s">
        <v>40</v>
      </c>
    </row>
    <row r="5" customFormat="false" ht="54.75" hidden="false" customHeight="true" outlineLevel="0" collapsed="false">
      <c r="A5" s="4" t="n">
        <v>2</v>
      </c>
      <c r="B5" s="16" t="s">
        <v>41</v>
      </c>
      <c r="C5" s="5" t="s">
        <v>42</v>
      </c>
      <c r="D5" s="6" t="s">
        <v>43</v>
      </c>
      <c r="E5" s="6" t="s">
        <v>44</v>
      </c>
      <c r="F5" s="4" t="s">
        <v>40</v>
      </c>
    </row>
    <row r="6" customFormat="false" ht="54.75" hidden="false" customHeight="true" outlineLevel="0" collapsed="false">
      <c r="A6" s="7" t="n">
        <v>3</v>
      </c>
      <c r="B6" s="15" t="s">
        <v>45</v>
      </c>
      <c r="C6" s="8" t="s">
        <v>46</v>
      </c>
      <c r="D6" s="9" t="s">
        <v>47</v>
      </c>
      <c r="E6" s="9" t="s">
        <v>48</v>
      </c>
      <c r="F6" s="7" t="s">
        <v>40</v>
      </c>
    </row>
    <row r="7" customFormat="false" ht="54.75" hidden="false" customHeight="true" outlineLevel="0" collapsed="false">
      <c r="A7" s="4" t="n">
        <v>4</v>
      </c>
      <c r="B7" s="16" t="s">
        <v>49</v>
      </c>
      <c r="C7" s="5" t="s">
        <v>50</v>
      </c>
      <c r="D7" s="6" t="s">
        <v>51</v>
      </c>
      <c r="E7" s="6" t="s">
        <v>52</v>
      </c>
      <c r="F7" s="4" t="s">
        <v>40</v>
      </c>
    </row>
    <row r="8" customFormat="false" ht="54.75" hidden="false" customHeight="true" outlineLevel="0" collapsed="false">
      <c r="A8" s="7" t="n">
        <v>5</v>
      </c>
      <c r="B8" s="15" t="s">
        <v>53</v>
      </c>
      <c r="C8" s="8" t="s">
        <v>54</v>
      </c>
      <c r="D8" s="9" t="s">
        <v>55</v>
      </c>
      <c r="E8" s="9" t="s">
        <v>56</v>
      </c>
      <c r="F8" s="7" t="s">
        <v>40</v>
      </c>
    </row>
    <row r="9" customFormat="false" ht="54.75" hidden="false" customHeight="true" outlineLevel="0" collapsed="false">
      <c r="A9" s="4" t="n">
        <v>6</v>
      </c>
      <c r="B9" s="16" t="s">
        <v>57</v>
      </c>
      <c r="C9" s="5" t="s">
        <v>58</v>
      </c>
      <c r="D9" s="6" t="s">
        <v>59</v>
      </c>
      <c r="E9" s="6" t="s">
        <v>60</v>
      </c>
      <c r="F9" s="4" t="s">
        <v>40</v>
      </c>
    </row>
    <row r="10" customFormat="false" ht="54.75" hidden="false" customHeight="true" outlineLevel="0" collapsed="false">
      <c r="A10" s="7" t="n">
        <v>7</v>
      </c>
      <c r="B10" s="15" t="s">
        <v>61</v>
      </c>
      <c r="C10" s="8" t="s">
        <v>62</v>
      </c>
      <c r="D10" s="9" t="s">
        <v>63</v>
      </c>
      <c r="E10" s="9" t="s">
        <v>64</v>
      </c>
      <c r="F10" s="7" t="s">
        <v>40</v>
      </c>
    </row>
    <row r="11" customFormat="false" ht="54.75" hidden="false" customHeight="true" outlineLevel="0" collapsed="false">
      <c r="A11" s="4" t="n">
        <v>8</v>
      </c>
      <c r="B11" s="16" t="s">
        <v>65</v>
      </c>
      <c r="C11" s="5" t="s">
        <v>66</v>
      </c>
      <c r="D11" s="6" t="s">
        <v>67</v>
      </c>
      <c r="E11" s="6" t="s">
        <v>68</v>
      </c>
      <c r="F11" s="4" t="s">
        <v>40</v>
      </c>
    </row>
    <row r="12" customFormat="false" ht="54.75" hidden="false" customHeight="true" outlineLevel="0" collapsed="false">
      <c r="A12" s="7" t="n">
        <v>9</v>
      </c>
      <c r="B12" s="15" t="s">
        <v>69</v>
      </c>
      <c r="C12" s="8" t="s">
        <v>70</v>
      </c>
      <c r="D12" s="9" t="s">
        <v>71</v>
      </c>
      <c r="E12" s="9" t="s">
        <v>72</v>
      </c>
      <c r="F12" s="7" t="s">
        <v>40</v>
      </c>
    </row>
    <row r="13" customFormat="false" ht="54.75" hidden="false" customHeight="true" outlineLevel="0" collapsed="false">
      <c r="A13" s="4" t="n">
        <v>10</v>
      </c>
      <c r="B13" s="16" t="s">
        <v>73</v>
      </c>
      <c r="C13" s="5" t="s">
        <v>74</v>
      </c>
      <c r="D13" s="6" t="s">
        <v>75</v>
      </c>
      <c r="E13" s="6" t="s">
        <v>76</v>
      </c>
      <c r="F13" s="4" t="s">
        <v>40</v>
      </c>
    </row>
    <row r="14" customFormat="false" ht="54.75" hidden="false" customHeight="true" outlineLevel="0" collapsed="false">
      <c r="A14" s="7" t="n">
        <v>11</v>
      </c>
      <c r="B14" s="15" t="s">
        <v>77</v>
      </c>
      <c r="C14" s="8" t="s">
        <v>78</v>
      </c>
      <c r="D14" s="9" t="s">
        <v>79</v>
      </c>
      <c r="E14" s="9" t="s">
        <v>80</v>
      </c>
      <c r="F14" s="7" t="s">
        <v>40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H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17" t="s">
        <v>81</v>
      </c>
      <c r="B1" s="17"/>
      <c r="C1" s="17"/>
      <c r="D1" s="17"/>
      <c r="E1" s="17"/>
      <c r="F1" s="17"/>
      <c r="G1" s="17"/>
      <c r="H1" s="17"/>
    </row>
    <row r="2" customFormat="false" ht="25.5" hidden="false" customHeight="true" outlineLevel="0" collapsed="false">
      <c r="A2" s="10" t="s">
        <v>82</v>
      </c>
      <c r="B2" s="10"/>
      <c r="C2" s="10"/>
      <c r="D2" s="10"/>
      <c r="E2" s="10"/>
      <c r="F2" s="10"/>
      <c r="G2" s="10"/>
      <c r="H2" s="10"/>
    </row>
    <row r="3" customFormat="false" ht="23.85" hidden="false" customHeight="false" outlineLevel="0" collapsed="false">
      <c r="A3" s="18" t="s">
        <v>83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</row>
    <row r="4" customFormat="false" ht="23.85" hidden="false" customHeight="false" outlineLevel="0" collapsed="false">
      <c r="A4" s="7" t="s">
        <v>91</v>
      </c>
      <c r="B4" s="19"/>
      <c r="C4" s="19"/>
      <c r="D4" s="19"/>
      <c r="E4" s="19"/>
      <c r="F4" s="7" t="str">
        <f aca="false">IFERROR(VLOOKUP(E4,'Subject Areas Reference'!$B$4:$C$14,2,FALSE()),"")</f>
        <v/>
      </c>
      <c r="G4" s="19"/>
      <c r="H4" s="19"/>
    </row>
    <row r="5" customFormat="false" ht="23.85" hidden="false" customHeight="false" outlineLevel="0" collapsed="false">
      <c r="A5" s="4" t="s">
        <v>92</v>
      </c>
      <c r="B5" s="20"/>
      <c r="C5" s="20"/>
      <c r="D5" s="20"/>
      <c r="E5" s="20"/>
      <c r="F5" s="4" t="str">
        <f aca="false">IFERROR(VLOOKUP(E5,'Subject Areas Reference'!$B$4:$C$14,2,FALSE()),"")</f>
        <v/>
      </c>
      <c r="G5" s="20"/>
      <c r="H5" s="20"/>
    </row>
    <row r="6" customFormat="false" ht="23.85" hidden="false" customHeight="false" outlineLevel="0" collapsed="false">
      <c r="A6" s="7" t="s">
        <v>93</v>
      </c>
      <c r="B6" s="19"/>
      <c r="C6" s="19"/>
      <c r="D6" s="19"/>
      <c r="E6" s="19"/>
      <c r="F6" s="7" t="str">
        <f aca="false">IFERROR(VLOOKUP(E6,'Subject Areas Reference'!$B$4:$C$14,2,FALSE()),"")</f>
        <v/>
      </c>
      <c r="G6" s="19"/>
      <c r="H6" s="19"/>
    </row>
    <row r="7" customFormat="false" ht="23.85" hidden="false" customHeight="false" outlineLevel="0" collapsed="false">
      <c r="A7" s="4" t="s">
        <v>94</v>
      </c>
      <c r="B7" s="20"/>
      <c r="C7" s="20"/>
      <c r="D7" s="20"/>
      <c r="E7" s="20"/>
      <c r="F7" s="4" t="str">
        <f aca="false">IFERROR(VLOOKUP(E7,'Subject Areas Reference'!$B$4:$C$14,2,FALSE()),"")</f>
        <v/>
      </c>
      <c r="G7" s="20"/>
      <c r="H7" s="20"/>
    </row>
    <row r="8" customFormat="false" ht="23.85" hidden="false" customHeight="false" outlineLevel="0" collapsed="false">
      <c r="A8" s="7" t="s">
        <v>95</v>
      </c>
      <c r="B8" s="19"/>
      <c r="C8" s="19"/>
      <c r="D8" s="19"/>
      <c r="E8" s="19"/>
      <c r="F8" s="7" t="str">
        <f aca="false">IFERROR(VLOOKUP(E8,'Subject Areas Reference'!$B$4:$C$14,2,FALSE()),"")</f>
        <v/>
      </c>
      <c r="G8" s="19"/>
      <c r="H8" s="19"/>
    </row>
    <row r="9" customFormat="false" ht="23.85" hidden="false" customHeight="false" outlineLevel="0" collapsed="false">
      <c r="A9" s="4" t="s">
        <v>96</v>
      </c>
      <c r="B9" s="20"/>
      <c r="C9" s="20"/>
      <c r="D9" s="20"/>
      <c r="E9" s="20"/>
      <c r="F9" s="4" t="str">
        <f aca="false">IFERROR(VLOOKUP(E9,'Subject Areas Reference'!$B$4:$C$14,2,FALSE()),"")</f>
        <v/>
      </c>
      <c r="G9" s="20"/>
      <c r="H9" s="20"/>
    </row>
    <row r="10" customFormat="false" ht="23.85" hidden="false" customHeight="false" outlineLevel="0" collapsed="false">
      <c r="A10" s="7" t="s">
        <v>97</v>
      </c>
      <c r="B10" s="19"/>
      <c r="C10" s="19"/>
      <c r="D10" s="19"/>
      <c r="E10" s="19"/>
      <c r="F10" s="7" t="str">
        <f aca="false">IFERROR(VLOOKUP(E10,'Subject Areas Reference'!$B$4:$C$14,2,FALSE()),"")</f>
        <v/>
      </c>
      <c r="G10" s="19"/>
      <c r="H10" s="19"/>
    </row>
    <row r="11" customFormat="false" ht="23.85" hidden="false" customHeight="false" outlineLevel="0" collapsed="false">
      <c r="A11" s="4" t="s">
        <v>98</v>
      </c>
      <c r="B11" s="20"/>
      <c r="C11" s="20"/>
      <c r="D11" s="20"/>
      <c r="E11" s="20"/>
      <c r="F11" s="4" t="str">
        <f aca="false">IFERROR(VLOOKUP(E11,'Subject Areas Reference'!$B$4:$C$14,2,FALSE()),"")</f>
        <v/>
      </c>
      <c r="G11" s="20"/>
      <c r="H11" s="20"/>
    </row>
    <row r="12" customFormat="false" ht="23.85" hidden="false" customHeight="false" outlineLevel="0" collapsed="false">
      <c r="A12" s="7" t="s">
        <v>99</v>
      </c>
      <c r="B12" s="19"/>
      <c r="C12" s="19"/>
      <c r="D12" s="19"/>
      <c r="E12" s="19"/>
      <c r="F12" s="7" t="str">
        <f aca="false">IFERROR(VLOOKUP(E12,'Subject Areas Reference'!$B$4:$C$14,2,FALSE()),"")</f>
        <v/>
      </c>
      <c r="G12" s="19"/>
      <c r="H12" s="19"/>
    </row>
    <row r="13" customFormat="false" ht="23.85" hidden="false" customHeight="false" outlineLevel="0" collapsed="false">
      <c r="A13" s="4" t="s">
        <v>100</v>
      </c>
      <c r="B13" s="20"/>
      <c r="C13" s="20"/>
      <c r="D13" s="20"/>
      <c r="E13" s="20"/>
      <c r="F13" s="4" t="str">
        <f aca="false">IFERROR(VLOOKUP(E13,'Subject Areas Reference'!$B$4:$C$14,2,FALSE()),"")</f>
        <v/>
      </c>
      <c r="G13" s="20"/>
      <c r="H13" s="20"/>
    </row>
    <row r="14" customFormat="false" ht="23.85" hidden="false" customHeight="false" outlineLevel="0" collapsed="false">
      <c r="A14" s="7" t="s">
        <v>101</v>
      </c>
      <c r="B14" s="19"/>
      <c r="C14" s="19"/>
      <c r="D14" s="19"/>
      <c r="E14" s="19"/>
      <c r="F14" s="7" t="str">
        <f aca="false">IFERROR(VLOOKUP(E14,'Subject Areas Reference'!$B$4:$C$14,2,FALSE()),"")</f>
        <v/>
      </c>
      <c r="G14" s="19"/>
      <c r="H14" s="19"/>
    </row>
    <row r="15" customFormat="false" ht="23.85" hidden="false" customHeight="false" outlineLevel="0" collapsed="false">
      <c r="A15" s="4" t="s">
        <v>102</v>
      </c>
      <c r="B15" s="20"/>
      <c r="C15" s="20"/>
      <c r="D15" s="20"/>
      <c r="E15" s="20"/>
      <c r="F15" s="4" t="str">
        <f aca="false">IFERROR(VLOOKUP(E15,'Subject Areas Reference'!$B$4:$C$14,2,FALSE()),"")</f>
        <v/>
      </c>
      <c r="G15" s="20"/>
      <c r="H15" s="20"/>
    </row>
    <row r="16" customFormat="false" ht="23.85" hidden="false" customHeight="false" outlineLevel="0" collapsed="false">
      <c r="A16" s="7" t="s">
        <v>103</v>
      </c>
      <c r="B16" s="19"/>
      <c r="C16" s="19"/>
      <c r="D16" s="19"/>
      <c r="E16" s="19"/>
      <c r="F16" s="7" t="str">
        <f aca="false">IFERROR(VLOOKUP(E16,'Subject Areas Reference'!$B$4:$C$14,2,FALSE()),"")</f>
        <v/>
      </c>
      <c r="G16" s="19"/>
      <c r="H16" s="19"/>
    </row>
    <row r="17" customFormat="false" ht="23.85" hidden="false" customHeight="false" outlineLevel="0" collapsed="false">
      <c r="A17" s="4" t="s">
        <v>104</v>
      </c>
      <c r="B17" s="20"/>
      <c r="C17" s="20"/>
      <c r="D17" s="20"/>
      <c r="E17" s="20"/>
      <c r="F17" s="4" t="str">
        <f aca="false">IFERROR(VLOOKUP(E17,'Subject Areas Reference'!$B$4:$C$14,2,FALSE()),"")</f>
        <v/>
      </c>
      <c r="G17" s="20"/>
      <c r="H17" s="20"/>
    </row>
    <row r="18" customFormat="false" ht="23.85" hidden="false" customHeight="false" outlineLevel="0" collapsed="false">
      <c r="A18" s="7" t="s">
        <v>105</v>
      </c>
      <c r="B18" s="19"/>
      <c r="C18" s="19"/>
      <c r="D18" s="19"/>
      <c r="E18" s="19"/>
      <c r="F18" s="7" t="str">
        <f aca="false">IFERROR(VLOOKUP(E18,'Subject Areas Reference'!$B$4:$C$14,2,FALSE()),"")</f>
        <v/>
      </c>
      <c r="G18" s="19"/>
      <c r="H18" s="19"/>
    </row>
    <row r="19" customFormat="false" ht="23.85" hidden="false" customHeight="false" outlineLevel="0" collapsed="false">
      <c r="A19" s="4" t="s">
        <v>106</v>
      </c>
      <c r="B19" s="20"/>
      <c r="C19" s="20"/>
      <c r="D19" s="20"/>
      <c r="E19" s="20"/>
      <c r="F19" s="4" t="str">
        <f aca="false">IFERROR(VLOOKUP(E19,'Subject Areas Reference'!$B$4:$C$14,2,FALSE()),"")</f>
        <v/>
      </c>
      <c r="G19" s="20"/>
      <c r="H19" s="20"/>
    </row>
    <row r="20" customFormat="false" ht="23.85" hidden="false" customHeight="false" outlineLevel="0" collapsed="false">
      <c r="A20" s="7" t="s">
        <v>107</v>
      </c>
      <c r="B20" s="19"/>
      <c r="C20" s="19"/>
      <c r="D20" s="19"/>
      <c r="E20" s="19"/>
      <c r="F20" s="7" t="str">
        <f aca="false">IFERROR(VLOOKUP(E20,'Subject Areas Reference'!$B$4:$C$14,2,FALSE()),"")</f>
        <v/>
      </c>
      <c r="G20" s="19"/>
      <c r="H20" s="19"/>
    </row>
    <row r="21" customFormat="false" ht="23.85" hidden="false" customHeight="false" outlineLevel="0" collapsed="false">
      <c r="A21" s="4" t="s">
        <v>108</v>
      </c>
      <c r="B21" s="20"/>
      <c r="C21" s="20"/>
      <c r="D21" s="20"/>
      <c r="E21" s="20"/>
      <c r="F21" s="4" t="str">
        <f aca="false">IFERROR(VLOOKUP(E21,'Subject Areas Reference'!$B$4:$C$14,2,FALSE()),"")</f>
        <v/>
      </c>
      <c r="G21" s="20"/>
      <c r="H21" s="20"/>
    </row>
    <row r="22" customFormat="false" ht="23.85" hidden="false" customHeight="false" outlineLevel="0" collapsed="false">
      <c r="A22" s="7" t="s">
        <v>109</v>
      </c>
      <c r="B22" s="19"/>
      <c r="C22" s="19"/>
      <c r="D22" s="19"/>
      <c r="E22" s="19"/>
      <c r="F22" s="7" t="str">
        <f aca="false">IFERROR(VLOOKUP(E22,'Subject Areas Reference'!$B$4:$C$14,2,FALSE()),"")</f>
        <v/>
      </c>
      <c r="G22" s="19"/>
      <c r="H22" s="19"/>
    </row>
    <row r="23" customFormat="false" ht="23.85" hidden="false" customHeight="false" outlineLevel="0" collapsed="false">
      <c r="A23" s="4" t="s">
        <v>110</v>
      </c>
      <c r="B23" s="20"/>
      <c r="C23" s="20"/>
      <c r="D23" s="20"/>
      <c r="E23" s="20"/>
      <c r="F23" s="4" t="str">
        <f aca="false">IFERROR(VLOOKUP(E23,'Subject Areas Reference'!$B$4:$C$14,2,FALSE()),"")</f>
        <v/>
      </c>
      <c r="G23" s="20"/>
      <c r="H23" s="20"/>
    </row>
    <row r="24" customFormat="false" ht="23.85" hidden="false" customHeight="false" outlineLevel="0" collapsed="false">
      <c r="A24" s="7" t="s">
        <v>111</v>
      </c>
      <c r="B24" s="19"/>
      <c r="C24" s="19"/>
      <c r="D24" s="19"/>
      <c r="E24" s="19"/>
      <c r="F24" s="7" t="str">
        <f aca="false">IFERROR(VLOOKUP(E24,'Subject Areas Reference'!$B$4:$C$14,2,FALSE()),"")</f>
        <v/>
      </c>
      <c r="G24" s="19"/>
      <c r="H24" s="19"/>
    </row>
    <row r="25" customFormat="false" ht="23.85" hidden="false" customHeight="false" outlineLevel="0" collapsed="false">
      <c r="A25" s="4" t="s">
        <v>112</v>
      </c>
      <c r="B25" s="20"/>
      <c r="C25" s="20"/>
      <c r="D25" s="20"/>
      <c r="E25" s="20"/>
      <c r="F25" s="4" t="str">
        <f aca="false">IFERROR(VLOOKUP(E25,'Subject Areas Reference'!$B$4:$C$14,2,FALSE()),"")</f>
        <v/>
      </c>
      <c r="G25" s="20"/>
      <c r="H25" s="20"/>
    </row>
    <row r="26" customFormat="false" ht="23.85" hidden="false" customHeight="false" outlineLevel="0" collapsed="false">
      <c r="A26" s="7" t="s">
        <v>113</v>
      </c>
      <c r="B26" s="19"/>
      <c r="C26" s="19"/>
      <c r="D26" s="19"/>
      <c r="E26" s="19"/>
      <c r="F26" s="7" t="str">
        <f aca="false">IFERROR(VLOOKUP(E26,'Subject Areas Reference'!$B$4:$C$14,2,FALSE()),"")</f>
        <v/>
      </c>
      <c r="G26" s="19"/>
      <c r="H26" s="19"/>
    </row>
    <row r="27" customFormat="false" ht="23.85" hidden="false" customHeight="false" outlineLevel="0" collapsed="false">
      <c r="A27" s="4" t="s">
        <v>114</v>
      </c>
      <c r="B27" s="20"/>
      <c r="C27" s="20"/>
      <c r="D27" s="20"/>
      <c r="E27" s="20"/>
      <c r="F27" s="4" t="str">
        <f aca="false">IFERROR(VLOOKUP(E27,'Subject Areas Reference'!$B$4:$C$14,2,FALSE()),"")</f>
        <v/>
      </c>
      <c r="G27" s="20"/>
      <c r="H27" s="20"/>
    </row>
    <row r="28" customFormat="false" ht="23.85" hidden="false" customHeight="false" outlineLevel="0" collapsed="false">
      <c r="A28" s="7" t="s">
        <v>115</v>
      </c>
      <c r="B28" s="19"/>
      <c r="C28" s="19"/>
      <c r="D28" s="19"/>
      <c r="E28" s="19"/>
      <c r="F28" s="7" t="str">
        <f aca="false">IFERROR(VLOOKUP(E28,'Subject Areas Reference'!$B$4:$C$14,2,FALSE()),"")</f>
        <v/>
      </c>
      <c r="G28" s="19"/>
      <c r="H28" s="19"/>
    </row>
    <row r="29" customFormat="false" ht="23.85" hidden="false" customHeight="false" outlineLevel="0" collapsed="false">
      <c r="A29" s="4" t="s">
        <v>116</v>
      </c>
      <c r="B29" s="20"/>
      <c r="C29" s="20"/>
      <c r="D29" s="20"/>
      <c r="E29" s="20"/>
      <c r="F29" s="4" t="str">
        <f aca="false">IFERROR(VLOOKUP(E29,'Subject Areas Reference'!$B$4:$C$14,2,FALSE()),"")</f>
        <v/>
      </c>
      <c r="G29" s="20"/>
      <c r="H29" s="20"/>
    </row>
    <row r="30" customFormat="false" ht="23.85" hidden="false" customHeight="false" outlineLevel="0" collapsed="false">
      <c r="A30" s="7" t="s">
        <v>117</v>
      </c>
      <c r="B30" s="19"/>
      <c r="C30" s="19"/>
      <c r="D30" s="19"/>
      <c r="E30" s="19"/>
      <c r="F30" s="7" t="str">
        <f aca="false">IFERROR(VLOOKUP(E30,'Subject Areas Reference'!$B$4:$C$14,2,FALSE()),"")</f>
        <v/>
      </c>
      <c r="G30" s="19"/>
      <c r="H30" s="19"/>
    </row>
    <row r="31" customFormat="false" ht="23.85" hidden="false" customHeight="false" outlineLevel="0" collapsed="false">
      <c r="A31" s="4" t="s">
        <v>118</v>
      </c>
      <c r="B31" s="20"/>
      <c r="C31" s="20"/>
      <c r="D31" s="20"/>
      <c r="E31" s="20"/>
      <c r="F31" s="4" t="str">
        <f aca="false">IFERROR(VLOOKUP(E31,'Subject Areas Reference'!$B$4:$C$14,2,FALSE()),"")</f>
        <v/>
      </c>
      <c r="G31" s="20"/>
      <c r="H31" s="20"/>
    </row>
    <row r="32" customFormat="false" ht="23.85" hidden="false" customHeight="false" outlineLevel="0" collapsed="false">
      <c r="A32" s="7" t="s">
        <v>119</v>
      </c>
      <c r="B32" s="19"/>
      <c r="C32" s="19"/>
      <c r="D32" s="19"/>
      <c r="E32" s="19"/>
      <c r="F32" s="7" t="str">
        <f aca="false">IFERROR(VLOOKUP(E32,'Subject Areas Reference'!$B$4:$C$14,2,FALSE()),"")</f>
        <v/>
      </c>
      <c r="G32" s="19"/>
      <c r="H32" s="19"/>
    </row>
    <row r="33" customFormat="false" ht="23.85" hidden="false" customHeight="false" outlineLevel="0" collapsed="false">
      <c r="A33" s="4" t="s">
        <v>120</v>
      </c>
      <c r="B33" s="20"/>
      <c r="C33" s="20"/>
      <c r="D33" s="20"/>
      <c r="E33" s="20"/>
      <c r="F33" s="4" t="str">
        <f aca="false">IFERROR(VLOOKUP(E33,'Subject Areas Reference'!$B$4:$C$14,2,FALSE()),"")</f>
        <v/>
      </c>
      <c r="G33" s="20"/>
      <c r="H33" s="20"/>
    </row>
    <row r="34" customFormat="false" ht="23.85" hidden="false" customHeight="false" outlineLevel="0" collapsed="false">
      <c r="A34" s="7" t="s">
        <v>121</v>
      </c>
      <c r="B34" s="19"/>
      <c r="C34" s="19"/>
      <c r="D34" s="19"/>
      <c r="E34" s="19"/>
      <c r="F34" s="7" t="str">
        <f aca="false">IFERROR(VLOOKUP(E34,'Subject Areas Reference'!$B$4:$C$14,2,FALSE()),"")</f>
        <v/>
      </c>
      <c r="G34" s="19"/>
      <c r="H34" s="19"/>
    </row>
    <row r="35" customFormat="false" ht="23.85" hidden="false" customHeight="false" outlineLevel="0" collapsed="false">
      <c r="A35" s="4" t="s">
        <v>122</v>
      </c>
      <c r="B35" s="20"/>
      <c r="C35" s="20"/>
      <c r="D35" s="20"/>
      <c r="E35" s="20"/>
      <c r="F35" s="4" t="str">
        <f aca="false">IFERROR(VLOOKUP(E35,'Subject Areas Reference'!$B$4:$C$14,2,FALSE()),"")</f>
        <v/>
      </c>
      <c r="G35" s="20"/>
      <c r="H35" s="20"/>
    </row>
    <row r="36" customFormat="false" ht="23.85" hidden="false" customHeight="false" outlineLevel="0" collapsed="false">
      <c r="A36" s="7" t="s">
        <v>123</v>
      </c>
      <c r="B36" s="19"/>
      <c r="C36" s="19"/>
      <c r="D36" s="19"/>
      <c r="E36" s="19"/>
      <c r="F36" s="7" t="str">
        <f aca="false">IFERROR(VLOOKUP(E36,'Subject Areas Reference'!$B$4:$C$14,2,FALSE()),"")</f>
        <v/>
      </c>
      <c r="G36" s="19"/>
      <c r="H36" s="19"/>
    </row>
    <row r="37" customFormat="false" ht="23.85" hidden="false" customHeight="false" outlineLevel="0" collapsed="false">
      <c r="A37" s="4" t="s">
        <v>124</v>
      </c>
      <c r="B37" s="20"/>
      <c r="C37" s="20"/>
      <c r="D37" s="20"/>
      <c r="E37" s="20"/>
      <c r="F37" s="4" t="str">
        <f aca="false">IFERROR(VLOOKUP(E37,'Subject Areas Reference'!$B$4:$C$14,2,FALSE()),"")</f>
        <v/>
      </c>
      <c r="G37" s="20"/>
      <c r="H37" s="20"/>
    </row>
    <row r="38" customFormat="false" ht="23.85" hidden="false" customHeight="false" outlineLevel="0" collapsed="false">
      <c r="A38" s="7" t="s">
        <v>125</v>
      </c>
      <c r="B38" s="19"/>
      <c r="C38" s="19"/>
      <c r="D38" s="19"/>
      <c r="E38" s="19"/>
      <c r="F38" s="7" t="str">
        <f aca="false">IFERROR(VLOOKUP(E38,'Subject Areas Reference'!$B$4:$C$14,2,FALSE()),"")</f>
        <v/>
      </c>
      <c r="G38" s="19"/>
      <c r="H38" s="19"/>
    </row>
    <row r="39" customFormat="false" ht="23.85" hidden="false" customHeight="false" outlineLevel="0" collapsed="false">
      <c r="A39" s="4" t="s">
        <v>126</v>
      </c>
      <c r="B39" s="20"/>
      <c r="C39" s="20"/>
      <c r="D39" s="20"/>
      <c r="E39" s="20"/>
      <c r="F39" s="4" t="str">
        <f aca="false">IFERROR(VLOOKUP(E39,'Subject Areas Reference'!$B$4:$C$14,2,FALSE()),"")</f>
        <v/>
      </c>
      <c r="G39" s="20"/>
      <c r="H39" s="20"/>
    </row>
    <row r="40" customFormat="false" ht="23.85" hidden="false" customHeight="false" outlineLevel="0" collapsed="false">
      <c r="A40" s="7" t="s">
        <v>127</v>
      </c>
      <c r="B40" s="19"/>
      <c r="C40" s="19"/>
      <c r="D40" s="19"/>
      <c r="E40" s="19"/>
      <c r="F40" s="7" t="str">
        <f aca="false">IFERROR(VLOOKUP(E40,'Subject Areas Reference'!$B$4:$C$14,2,FALSE()),"")</f>
        <v/>
      </c>
      <c r="G40" s="19"/>
      <c r="H40" s="19"/>
    </row>
    <row r="41" customFormat="false" ht="23.85" hidden="false" customHeight="false" outlineLevel="0" collapsed="false">
      <c r="A41" s="4" t="s">
        <v>128</v>
      </c>
      <c r="B41" s="20"/>
      <c r="C41" s="20"/>
      <c r="D41" s="20"/>
      <c r="E41" s="20"/>
      <c r="F41" s="4" t="str">
        <f aca="false">IFERROR(VLOOKUP(E41,'Subject Areas Reference'!$B$4:$C$14,2,FALSE()),"")</f>
        <v/>
      </c>
      <c r="G41" s="20"/>
      <c r="H41" s="20"/>
    </row>
    <row r="42" customFormat="false" ht="23.85" hidden="false" customHeight="false" outlineLevel="0" collapsed="false">
      <c r="A42" s="7" t="s">
        <v>129</v>
      </c>
      <c r="B42" s="19"/>
      <c r="C42" s="19"/>
      <c r="D42" s="19"/>
      <c r="E42" s="19"/>
      <c r="F42" s="7" t="str">
        <f aca="false">IFERROR(VLOOKUP(E42,'Subject Areas Reference'!$B$4:$C$14,2,FALSE()),"")</f>
        <v/>
      </c>
      <c r="G42" s="19"/>
      <c r="H42" s="19"/>
    </row>
    <row r="43" customFormat="false" ht="23.85" hidden="false" customHeight="false" outlineLevel="0" collapsed="false">
      <c r="A43" s="4" t="s">
        <v>130</v>
      </c>
      <c r="B43" s="20"/>
      <c r="C43" s="20"/>
      <c r="D43" s="20"/>
      <c r="E43" s="20"/>
      <c r="F43" s="4" t="str">
        <f aca="false">IFERROR(VLOOKUP(E43,'Subject Areas Reference'!$B$4:$C$14,2,FALSE()),"")</f>
        <v/>
      </c>
      <c r="G43" s="20"/>
      <c r="H43" s="20"/>
    </row>
    <row r="44" customFormat="false" ht="23.85" hidden="false" customHeight="false" outlineLevel="0" collapsed="false">
      <c r="A44" s="7" t="s">
        <v>131</v>
      </c>
      <c r="B44" s="19"/>
      <c r="C44" s="19"/>
      <c r="D44" s="19"/>
      <c r="E44" s="19"/>
      <c r="F44" s="7" t="str">
        <f aca="false">IFERROR(VLOOKUP(E44,'Subject Areas Reference'!$B$4:$C$14,2,FALSE()),"")</f>
        <v/>
      </c>
      <c r="G44" s="19"/>
      <c r="H44" s="19"/>
    </row>
    <row r="45" customFormat="false" ht="23.85" hidden="false" customHeight="false" outlineLevel="0" collapsed="false">
      <c r="A45" s="4" t="s">
        <v>132</v>
      </c>
      <c r="B45" s="20"/>
      <c r="C45" s="20"/>
      <c r="D45" s="20"/>
      <c r="E45" s="20"/>
      <c r="F45" s="4" t="str">
        <f aca="false">IFERROR(VLOOKUP(E45,'Subject Areas Reference'!$B$4:$C$14,2,FALSE()),"")</f>
        <v/>
      </c>
      <c r="G45" s="20"/>
      <c r="H45" s="20"/>
    </row>
    <row r="46" customFormat="false" ht="23.85" hidden="false" customHeight="false" outlineLevel="0" collapsed="false">
      <c r="A46" s="7" t="s">
        <v>133</v>
      </c>
      <c r="B46" s="19"/>
      <c r="C46" s="19"/>
      <c r="D46" s="19"/>
      <c r="E46" s="19"/>
      <c r="F46" s="7" t="str">
        <f aca="false">IFERROR(VLOOKUP(E46,'Subject Areas Reference'!$B$4:$C$14,2,FALSE()),"")</f>
        <v/>
      </c>
      <c r="G46" s="19"/>
      <c r="H46" s="19"/>
    </row>
    <row r="47" customFormat="false" ht="23.85" hidden="false" customHeight="false" outlineLevel="0" collapsed="false">
      <c r="A47" s="4" t="s">
        <v>134</v>
      </c>
      <c r="B47" s="20"/>
      <c r="C47" s="20"/>
      <c r="D47" s="20"/>
      <c r="E47" s="20"/>
      <c r="F47" s="4" t="str">
        <f aca="false">IFERROR(VLOOKUP(E47,'Subject Areas Reference'!$B$4:$C$14,2,FALSE()),"")</f>
        <v/>
      </c>
      <c r="G47" s="20"/>
      <c r="H47" s="20"/>
    </row>
    <row r="48" customFormat="false" ht="23.85" hidden="false" customHeight="false" outlineLevel="0" collapsed="false">
      <c r="A48" s="7" t="s">
        <v>135</v>
      </c>
      <c r="B48" s="19"/>
      <c r="C48" s="19"/>
      <c r="D48" s="19"/>
      <c r="E48" s="19"/>
      <c r="F48" s="7" t="str">
        <f aca="false">IFERROR(VLOOKUP(E48,'Subject Areas Reference'!$B$4:$C$14,2,FALSE()),"")</f>
        <v/>
      </c>
      <c r="G48" s="19"/>
      <c r="H48" s="19"/>
    </row>
    <row r="49" customFormat="false" ht="23.85" hidden="false" customHeight="false" outlineLevel="0" collapsed="false">
      <c r="A49" s="4" t="s">
        <v>136</v>
      </c>
      <c r="B49" s="20"/>
      <c r="C49" s="20"/>
      <c r="D49" s="20"/>
      <c r="E49" s="20"/>
      <c r="F49" s="4" t="str">
        <f aca="false">IFERROR(VLOOKUP(E49,'Subject Areas Reference'!$B$4:$C$14,2,FALSE()),"")</f>
        <v/>
      </c>
      <c r="G49" s="20"/>
      <c r="H49" s="20"/>
    </row>
    <row r="50" customFormat="false" ht="23.85" hidden="false" customHeight="false" outlineLevel="0" collapsed="false">
      <c r="A50" s="7" t="s">
        <v>137</v>
      </c>
      <c r="B50" s="19"/>
      <c r="C50" s="19"/>
      <c r="D50" s="19"/>
      <c r="E50" s="19"/>
      <c r="F50" s="7" t="str">
        <f aca="false">IFERROR(VLOOKUP(E50,'Subject Areas Reference'!$B$4:$C$14,2,FALSE()),"")</f>
        <v/>
      </c>
      <c r="G50" s="19"/>
      <c r="H50" s="19"/>
    </row>
    <row r="51" customFormat="false" ht="23.85" hidden="false" customHeight="false" outlineLevel="0" collapsed="false">
      <c r="A51" s="4" t="s">
        <v>138</v>
      </c>
      <c r="B51" s="20"/>
      <c r="C51" s="20"/>
      <c r="D51" s="20"/>
      <c r="E51" s="20"/>
      <c r="F51" s="4" t="str">
        <f aca="false">IFERROR(VLOOKUP(E51,'Subject Areas Reference'!$B$4:$C$14,2,FALSE()),"")</f>
        <v/>
      </c>
      <c r="G51" s="20"/>
      <c r="H51" s="20"/>
    </row>
    <row r="52" customFormat="false" ht="23.85" hidden="false" customHeight="false" outlineLevel="0" collapsed="false">
      <c r="A52" s="7" t="s">
        <v>139</v>
      </c>
      <c r="B52" s="19"/>
      <c r="C52" s="19"/>
      <c r="D52" s="19"/>
      <c r="E52" s="19"/>
      <c r="F52" s="7" t="str">
        <f aca="false">IFERROR(VLOOKUP(E52,'Subject Areas Reference'!$B$4:$C$14,2,FALSE()),"")</f>
        <v/>
      </c>
      <c r="G52" s="19"/>
      <c r="H52" s="19"/>
    </row>
    <row r="53" customFormat="false" ht="23.85" hidden="false" customHeight="false" outlineLevel="0" collapsed="false">
      <c r="A53" s="4" t="s">
        <v>140</v>
      </c>
      <c r="B53" s="20"/>
      <c r="C53" s="20"/>
      <c r="D53" s="20"/>
      <c r="E53" s="20"/>
      <c r="F53" s="4" t="str">
        <f aca="false">IFERROR(VLOOKUP(E53,'Subject Areas Reference'!$B$4:$C$14,2,FALSE()),"")</f>
        <v/>
      </c>
      <c r="G53" s="20"/>
      <c r="H53" s="20"/>
    </row>
    <row r="54" customFormat="false" ht="23.85" hidden="false" customHeight="false" outlineLevel="0" collapsed="false">
      <c r="A54" s="7" t="s">
        <v>141</v>
      </c>
      <c r="B54" s="19"/>
      <c r="C54" s="19"/>
      <c r="D54" s="19"/>
      <c r="E54" s="19"/>
      <c r="F54" s="7" t="str">
        <f aca="false">IFERROR(VLOOKUP(E54,'Subject Areas Reference'!$B$4:$C$14,2,FALSE()),"")</f>
        <v/>
      </c>
      <c r="G54" s="19"/>
      <c r="H54" s="19"/>
    </row>
    <row r="55" customFormat="false" ht="23.85" hidden="false" customHeight="false" outlineLevel="0" collapsed="false">
      <c r="A55" s="4" t="s">
        <v>142</v>
      </c>
      <c r="B55" s="20"/>
      <c r="C55" s="20"/>
      <c r="D55" s="20"/>
      <c r="E55" s="20"/>
      <c r="F55" s="4" t="str">
        <f aca="false">IFERROR(VLOOKUP(E55,'Subject Areas Reference'!$B$4:$C$14,2,FALSE()),"")</f>
        <v/>
      </c>
      <c r="G55" s="20"/>
      <c r="H55" s="20"/>
    </row>
    <row r="56" customFormat="false" ht="23.85" hidden="false" customHeight="false" outlineLevel="0" collapsed="false">
      <c r="A56" s="7" t="s">
        <v>143</v>
      </c>
      <c r="B56" s="19"/>
      <c r="C56" s="19"/>
      <c r="D56" s="19"/>
      <c r="E56" s="19"/>
      <c r="F56" s="7" t="str">
        <f aca="false">IFERROR(VLOOKUP(E56,'Subject Areas Reference'!$B$4:$C$14,2,FALSE()),"")</f>
        <v/>
      </c>
      <c r="G56" s="19"/>
      <c r="H56" s="19"/>
    </row>
    <row r="57" customFormat="false" ht="23.85" hidden="false" customHeight="false" outlineLevel="0" collapsed="false">
      <c r="A57" s="4" t="s">
        <v>144</v>
      </c>
      <c r="B57" s="20"/>
      <c r="C57" s="20"/>
      <c r="D57" s="20"/>
      <c r="E57" s="20"/>
      <c r="F57" s="4" t="str">
        <f aca="false">IFERROR(VLOOKUP(E57,'Subject Areas Reference'!$B$4:$C$14,2,FALSE()),"")</f>
        <v/>
      </c>
      <c r="G57" s="20"/>
      <c r="H57" s="20"/>
    </row>
    <row r="58" customFormat="false" ht="23.85" hidden="false" customHeight="false" outlineLevel="0" collapsed="false">
      <c r="A58" s="7" t="s">
        <v>145</v>
      </c>
      <c r="B58" s="19"/>
      <c r="C58" s="19"/>
      <c r="D58" s="19"/>
      <c r="E58" s="19"/>
      <c r="F58" s="7" t="str">
        <f aca="false">IFERROR(VLOOKUP(E58,'Subject Areas Reference'!$B$4:$C$14,2,FALSE()),"")</f>
        <v/>
      </c>
      <c r="G58" s="19"/>
      <c r="H58" s="19"/>
    </row>
    <row r="59" customFormat="false" ht="23.85" hidden="false" customHeight="false" outlineLevel="0" collapsed="false">
      <c r="A59" s="4" t="s">
        <v>146</v>
      </c>
      <c r="B59" s="20"/>
      <c r="C59" s="20"/>
      <c r="D59" s="20"/>
      <c r="E59" s="20"/>
      <c r="F59" s="4" t="str">
        <f aca="false">IFERROR(VLOOKUP(E59,'Subject Areas Reference'!$B$4:$C$14,2,FALSE()),"")</f>
        <v/>
      </c>
      <c r="G59" s="20"/>
      <c r="H59" s="20"/>
    </row>
    <row r="60" customFormat="false" ht="23.85" hidden="false" customHeight="false" outlineLevel="0" collapsed="false">
      <c r="A60" s="7" t="s">
        <v>147</v>
      </c>
      <c r="B60" s="19"/>
      <c r="C60" s="19"/>
      <c r="D60" s="19"/>
      <c r="E60" s="19"/>
      <c r="F60" s="7" t="str">
        <f aca="false">IFERROR(VLOOKUP(E60,'Subject Areas Reference'!$B$4:$C$14,2,FALSE()),"")</f>
        <v/>
      </c>
      <c r="G60" s="19"/>
      <c r="H60" s="19"/>
    </row>
    <row r="61" customFormat="false" ht="23.85" hidden="false" customHeight="false" outlineLevel="0" collapsed="false">
      <c r="A61" s="4" t="s">
        <v>148</v>
      </c>
      <c r="B61" s="20"/>
      <c r="C61" s="20"/>
      <c r="D61" s="20"/>
      <c r="E61" s="20"/>
      <c r="F61" s="4" t="str">
        <f aca="false">IFERROR(VLOOKUP(E61,'Subject Areas Reference'!$B$4:$C$14,2,FALSE()),"")</f>
        <v/>
      </c>
      <c r="G61" s="20"/>
      <c r="H61" s="20"/>
    </row>
    <row r="62" customFormat="false" ht="23.85" hidden="false" customHeight="false" outlineLevel="0" collapsed="false">
      <c r="A62" s="7" t="s">
        <v>149</v>
      </c>
      <c r="B62" s="19"/>
      <c r="C62" s="19"/>
      <c r="D62" s="19"/>
      <c r="E62" s="19"/>
      <c r="F62" s="7" t="str">
        <f aca="false">IFERROR(VLOOKUP(E62,'Subject Areas Reference'!$B$4:$C$14,2,FALSE()),"")</f>
        <v/>
      </c>
      <c r="G62" s="19"/>
      <c r="H62" s="19"/>
    </row>
    <row r="63" customFormat="false" ht="23.85" hidden="false" customHeight="false" outlineLevel="0" collapsed="false">
      <c r="A63" s="4" t="s">
        <v>150</v>
      </c>
      <c r="B63" s="20"/>
      <c r="C63" s="20"/>
      <c r="D63" s="20"/>
      <c r="E63" s="20"/>
      <c r="F63" s="4" t="str">
        <f aca="false">IFERROR(VLOOKUP(E63,'Subject Areas Reference'!$B$4:$C$14,2,FALSE()),"")</f>
        <v/>
      </c>
      <c r="G63" s="20"/>
      <c r="H63" s="20"/>
    </row>
    <row r="64" customFormat="false" ht="23.85" hidden="false" customHeight="false" outlineLevel="0" collapsed="false">
      <c r="A64" s="7" t="s">
        <v>151</v>
      </c>
      <c r="B64" s="19"/>
      <c r="C64" s="19"/>
      <c r="D64" s="19"/>
      <c r="E64" s="19"/>
      <c r="F64" s="7" t="str">
        <f aca="false">IFERROR(VLOOKUP(E64,'Subject Areas Reference'!$B$4:$C$14,2,FALSE()),"")</f>
        <v/>
      </c>
      <c r="G64" s="19"/>
      <c r="H64" s="19"/>
    </row>
    <row r="65" customFormat="false" ht="23.85" hidden="false" customHeight="false" outlineLevel="0" collapsed="false">
      <c r="A65" s="4" t="s">
        <v>152</v>
      </c>
      <c r="B65" s="20"/>
      <c r="C65" s="20"/>
      <c r="D65" s="20"/>
      <c r="E65" s="20"/>
      <c r="F65" s="4" t="str">
        <f aca="false">IFERROR(VLOOKUP(E65,'Subject Areas Reference'!$B$4:$C$14,2,FALSE()),"")</f>
        <v/>
      </c>
      <c r="G65" s="20"/>
      <c r="H65" s="20"/>
    </row>
    <row r="66" customFormat="false" ht="23.85" hidden="false" customHeight="false" outlineLevel="0" collapsed="false">
      <c r="A66" s="7" t="s">
        <v>153</v>
      </c>
      <c r="B66" s="19"/>
      <c r="C66" s="19"/>
      <c r="D66" s="19"/>
      <c r="E66" s="19"/>
      <c r="F66" s="7" t="str">
        <f aca="false">IFERROR(VLOOKUP(E66,'Subject Areas Reference'!$B$4:$C$14,2,FALSE()),"")</f>
        <v/>
      </c>
      <c r="G66" s="19"/>
      <c r="H66" s="19"/>
    </row>
    <row r="67" customFormat="false" ht="23.85" hidden="false" customHeight="false" outlineLevel="0" collapsed="false">
      <c r="A67" s="4" t="s">
        <v>154</v>
      </c>
      <c r="B67" s="20"/>
      <c r="C67" s="20"/>
      <c r="D67" s="20"/>
      <c r="E67" s="20"/>
      <c r="F67" s="4" t="str">
        <f aca="false">IFERROR(VLOOKUP(E67,'Subject Areas Reference'!$B$4:$C$14,2,FALSE()),"")</f>
        <v/>
      </c>
      <c r="G67" s="20"/>
      <c r="H67" s="20"/>
    </row>
    <row r="68" customFormat="false" ht="23.85" hidden="false" customHeight="false" outlineLevel="0" collapsed="false">
      <c r="A68" s="7" t="s">
        <v>155</v>
      </c>
      <c r="B68" s="19"/>
      <c r="C68" s="19"/>
      <c r="D68" s="19"/>
      <c r="E68" s="19"/>
      <c r="F68" s="7" t="str">
        <f aca="false">IFERROR(VLOOKUP(E68,'Subject Areas Reference'!$B$4:$C$14,2,FALSE()),"")</f>
        <v/>
      </c>
      <c r="G68" s="19"/>
      <c r="H68" s="19"/>
    </row>
    <row r="69" customFormat="false" ht="23.85" hidden="false" customHeight="false" outlineLevel="0" collapsed="false">
      <c r="A69" s="4" t="s">
        <v>156</v>
      </c>
      <c r="B69" s="20"/>
      <c r="C69" s="20"/>
      <c r="D69" s="20"/>
      <c r="E69" s="20"/>
      <c r="F69" s="4" t="str">
        <f aca="false">IFERROR(VLOOKUP(E69,'Subject Areas Reference'!$B$4:$C$14,2,FALSE()),"")</f>
        <v/>
      </c>
      <c r="G69" s="20"/>
      <c r="H69" s="20"/>
    </row>
    <row r="70" customFormat="false" ht="23.85" hidden="false" customHeight="false" outlineLevel="0" collapsed="false">
      <c r="A70" s="7" t="s">
        <v>157</v>
      </c>
      <c r="B70" s="19"/>
      <c r="C70" s="19"/>
      <c r="D70" s="19"/>
      <c r="E70" s="19"/>
      <c r="F70" s="7" t="str">
        <f aca="false">IFERROR(VLOOKUP(E70,'Subject Areas Reference'!$B$4:$C$14,2,FALSE()),"")</f>
        <v/>
      </c>
      <c r="G70" s="19"/>
      <c r="H70" s="19"/>
    </row>
    <row r="71" customFormat="false" ht="23.85" hidden="false" customHeight="false" outlineLevel="0" collapsed="false">
      <c r="A71" s="4" t="s">
        <v>158</v>
      </c>
      <c r="B71" s="20"/>
      <c r="C71" s="20"/>
      <c r="D71" s="20"/>
      <c r="E71" s="20"/>
      <c r="F71" s="4" t="str">
        <f aca="false">IFERROR(VLOOKUP(E71,'Subject Areas Reference'!$B$4:$C$14,2,FALSE()),"")</f>
        <v/>
      </c>
      <c r="G71" s="20"/>
      <c r="H71" s="20"/>
    </row>
    <row r="72" customFormat="false" ht="23.85" hidden="false" customHeight="false" outlineLevel="0" collapsed="false">
      <c r="A72" s="7" t="s">
        <v>159</v>
      </c>
      <c r="B72" s="19"/>
      <c r="C72" s="19"/>
      <c r="D72" s="19"/>
      <c r="E72" s="19"/>
      <c r="F72" s="7" t="str">
        <f aca="false">IFERROR(VLOOKUP(E72,'Subject Areas Reference'!$B$4:$C$14,2,FALSE()),"")</f>
        <v/>
      </c>
      <c r="G72" s="19"/>
      <c r="H72" s="19"/>
    </row>
    <row r="73" customFormat="false" ht="23.85" hidden="false" customHeight="false" outlineLevel="0" collapsed="false">
      <c r="A73" s="4" t="s">
        <v>160</v>
      </c>
      <c r="B73" s="20"/>
      <c r="C73" s="20"/>
      <c r="D73" s="20"/>
      <c r="E73" s="20"/>
      <c r="F73" s="4" t="str">
        <f aca="false">IFERROR(VLOOKUP(E73,'Subject Areas Reference'!$B$4:$C$14,2,FALSE()),"")</f>
        <v/>
      </c>
      <c r="G73" s="20"/>
      <c r="H73" s="20"/>
    </row>
    <row r="74" customFormat="false" ht="23.85" hidden="false" customHeight="false" outlineLevel="0" collapsed="false">
      <c r="A74" s="7" t="s">
        <v>161</v>
      </c>
      <c r="B74" s="19"/>
      <c r="C74" s="19"/>
      <c r="D74" s="19"/>
      <c r="E74" s="19"/>
      <c r="F74" s="7" t="str">
        <f aca="false">IFERROR(VLOOKUP(E74,'Subject Areas Reference'!$B$4:$C$14,2,FALSE()),"")</f>
        <v/>
      </c>
      <c r="G74" s="19"/>
      <c r="H74" s="19"/>
    </row>
    <row r="75" customFormat="false" ht="23.85" hidden="false" customHeight="false" outlineLevel="0" collapsed="false">
      <c r="A75" s="4" t="s">
        <v>162</v>
      </c>
      <c r="B75" s="20"/>
      <c r="C75" s="20"/>
      <c r="D75" s="20"/>
      <c r="E75" s="20"/>
      <c r="F75" s="4" t="str">
        <f aca="false">IFERROR(VLOOKUP(E75,'Subject Areas Reference'!$B$4:$C$14,2,FALSE()),"")</f>
        <v/>
      </c>
      <c r="G75" s="20"/>
      <c r="H75" s="20"/>
    </row>
    <row r="76" customFormat="false" ht="23.85" hidden="false" customHeight="false" outlineLevel="0" collapsed="false">
      <c r="A76" s="7" t="s">
        <v>163</v>
      </c>
      <c r="B76" s="19"/>
      <c r="C76" s="19"/>
      <c r="D76" s="19"/>
      <c r="E76" s="19"/>
      <c r="F76" s="7" t="str">
        <f aca="false">IFERROR(VLOOKUP(E76,'Subject Areas Reference'!$B$4:$C$14,2,FALSE()),"")</f>
        <v/>
      </c>
      <c r="G76" s="19"/>
      <c r="H76" s="19"/>
    </row>
    <row r="77" customFormat="false" ht="23.85" hidden="false" customHeight="false" outlineLevel="0" collapsed="false">
      <c r="A77" s="4" t="s">
        <v>164</v>
      </c>
      <c r="B77" s="20"/>
      <c r="C77" s="20"/>
      <c r="D77" s="20"/>
      <c r="E77" s="20"/>
      <c r="F77" s="4" t="str">
        <f aca="false">IFERROR(VLOOKUP(E77,'Subject Areas Reference'!$B$4:$C$14,2,FALSE()),"")</f>
        <v/>
      </c>
      <c r="G77" s="20"/>
      <c r="H77" s="20"/>
    </row>
    <row r="78" customFormat="false" ht="23.85" hidden="false" customHeight="false" outlineLevel="0" collapsed="false">
      <c r="A78" s="7" t="s">
        <v>165</v>
      </c>
      <c r="B78" s="19"/>
      <c r="C78" s="19"/>
      <c r="D78" s="19"/>
      <c r="E78" s="19"/>
      <c r="F78" s="7" t="str">
        <f aca="false">IFERROR(VLOOKUP(E78,'Subject Areas Reference'!$B$4:$C$14,2,FALSE()),"")</f>
        <v/>
      </c>
      <c r="G78" s="19"/>
      <c r="H78" s="19"/>
    </row>
    <row r="79" customFormat="false" ht="23.85" hidden="false" customHeight="false" outlineLevel="0" collapsed="false">
      <c r="A79" s="4" t="s">
        <v>166</v>
      </c>
      <c r="B79" s="20"/>
      <c r="C79" s="20"/>
      <c r="D79" s="20"/>
      <c r="E79" s="20"/>
      <c r="F79" s="4" t="str">
        <f aca="false">IFERROR(VLOOKUP(E79,'Subject Areas Reference'!$B$4:$C$14,2,FALSE()),"")</f>
        <v/>
      </c>
      <c r="G79" s="20"/>
      <c r="H79" s="20"/>
    </row>
    <row r="80" customFormat="false" ht="23.85" hidden="false" customHeight="false" outlineLevel="0" collapsed="false">
      <c r="A80" s="7" t="s">
        <v>167</v>
      </c>
      <c r="B80" s="19"/>
      <c r="C80" s="19"/>
      <c r="D80" s="19"/>
      <c r="E80" s="19"/>
      <c r="F80" s="7" t="str">
        <f aca="false">IFERROR(VLOOKUP(E80,'Subject Areas Reference'!$B$4:$C$14,2,FALSE()),"")</f>
        <v/>
      </c>
      <c r="G80" s="19"/>
      <c r="H80" s="19"/>
    </row>
    <row r="81" customFormat="false" ht="23.85" hidden="false" customHeight="false" outlineLevel="0" collapsed="false">
      <c r="A81" s="4" t="s">
        <v>168</v>
      </c>
      <c r="B81" s="20"/>
      <c r="C81" s="20"/>
      <c r="D81" s="20"/>
      <c r="E81" s="20"/>
      <c r="F81" s="4" t="str">
        <f aca="false">IFERROR(VLOOKUP(E81,'Subject Areas Reference'!$B$4:$C$14,2,FALSE()),"")</f>
        <v/>
      </c>
      <c r="G81" s="20"/>
      <c r="H81" s="20"/>
    </row>
    <row r="82" customFormat="false" ht="23.85" hidden="false" customHeight="false" outlineLevel="0" collapsed="false">
      <c r="A82" s="7" t="s">
        <v>169</v>
      </c>
      <c r="B82" s="19"/>
      <c r="C82" s="19"/>
      <c r="D82" s="19"/>
      <c r="E82" s="19"/>
      <c r="F82" s="7" t="str">
        <f aca="false">IFERROR(VLOOKUP(E82,'Subject Areas Reference'!$B$4:$C$14,2,FALSE()),"")</f>
        <v/>
      </c>
      <c r="G82" s="19"/>
      <c r="H82" s="19"/>
    </row>
    <row r="83" customFormat="false" ht="23.85" hidden="false" customHeight="false" outlineLevel="0" collapsed="false">
      <c r="A83" s="4" t="s">
        <v>170</v>
      </c>
      <c r="B83" s="20"/>
      <c r="C83" s="20"/>
      <c r="D83" s="20"/>
      <c r="E83" s="20"/>
      <c r="F83" s="4" t="str">
        <f aca="false">IFERROR(VLOOKUP(E83,'Subject Areas Reference'!$B$4:$C$14,2,FALSE()),"")</f>
        <v/>
      </c>
      <c r="G83" s="20"/>
      <c r="H83" s="20"/>
    </row>
    <row r="84" customFormat="false" ht="23.85" hidden="false" customHeight="false" outlineLevel="0" collapsed="false">
      <c r="A84" s="7" t="s">
        <v>171</v>
      </c>
      <c r="B84" s="19"/>
      <c r="C84" s="19"/>
      <c r="D84" s="19"/>
      <c r="E84" s="19"/>
      <c r="F84" s="7" t="str">
        <f aca="false">IFERROR(VLOOKUP(E84,'Subject Areas Reference'!$B$4:$C$14,2,FALSE()),"")</f>
        <v/>
      </c>
      <c r="G84" s="19"/>
      <c r="H84" s="19"/>
    </row>
    <row r="85" customFormat="false" ht="23.85" hidden="false" customHeight="false" outlineLevel="0" collapsed="false">
      <c r="A85" s="4" t="s">
        <v>172</v>
      </c>
      <c r="B85" s="20"/>
      <c r="C85" s="20"/>
      <c r="D85" s="20"/>
      <c r="E85" s="20"/>
      <c r="F85" s="4" t="str">
        <f aca="false">IFERROR(VLOOKUP(E85,'Subject Areas Reference'!$B$4:$C$14,2,FALSE()),"")</f>
        <v/>
      </c>
      <c r="G85" s="20"/>
      <c r="H85" s="20"/>
    </row>
    <row r="86" customFormat="false" ht="23.85" hidden="false" customHeight="false" outlineLevel="0" collapsed="false">
      <c r="A86" s="7" t="s">
        <v>173</v>
      </c>
      <c r="B86" s="19"/>
      <c r="C86" s="19"/>
      <c r="D86" s="19"/>
      <c r="E86" s="19"/>
      <c r="F86" s="7" t="str">
        <f aca="false">IFERROR(VLOOKUP(E86,'Subject Areas Reference'!$B$4:$C$14,2,FALSE()),"")</f>
        <v/>
      </c>
      <c r="G86" s="19"/>
      <c r="H86" s="19"/>
    </row>
    <row r="87" customFormat="false" ht="23.85" hidden="false" customHeight="false" outlineLevel="0" collapsed="false">
      <c r="A87" s="4" t="s">
        <v>174</v>
      </c>
      <c r="B87" s="20"/>
      <c r="C87" s="20"/>
      <c r="D87" s="20"/>
      <c r="E87" s="20"/>
      <c r="F87" s="4" t="str">
        <f aca="false">IFERROR(VLOOKUP(E87,'Subject Areas Reference'!$B$4:$C$14,2,FALSE()),"")</f>
        <v/>
      </c>
      <c r="G87" s="20"/>
      <c r="H87" s="20"/>
    </row>
    <row r="88" customFormat="false" ht="23.85" hidden="false" customHeight="false" outlineLevel="0" collapsed="false">
      <c r="A88" s="7" t="s">
        <v>175</v>
      </c>
      <c r="B88" s="19"/>
      <c r="C88" s="19"/>
      <c r="D88" s="19"/>
      <c r="E88" s="19"/>
      <c r="F88" s="7" t="str">
        <f aca="false">IFERROR(VLOOKUP(E88,'Subject Areas Reference'!$B$4:$C$14,2,FALSE()),"")</f>
        <v/>
      </c>
      <c r="G88" s="19"/>
      <c r="H88" s="19"/>
    </row>
    <row r="89" customFormat="false" ht="23.85" hidden="false" customHeight="false" outlineLevel="0" collapsed="false">
      <c r="A89" s="4" t="s">
        <v>176</v>
      </c>
      <c r="B89" s="20"/>
      <c r="C89" s="20"/>
      <c r="D89" s="20"/>
      <c r="E89" s="20"/>
      <c r="F89" s="4" t="str">
        <f aca="false">IFERROR(VLOOKUP(E89,'Subject Areas Reference'!$B$4:$C$14,2,FALSE()),"")</f>
        <v/>
      </c>
      <c r="G89" s="20"/>
      <c r="H89" s="20"/>
    </row>
    <row r="90" customFormat="false" ht="23.85" hidden="false" customHeight="false" outlineLevel="0" collapsed="false">
      <c r="A90" s="7" t="s">
        <v>177</v>
      </c>
      <c r="B90" s="19"/>
      <c r="C90" s="19"/>
      <c r="D90" s="19"/>
      <c r="E90" s="19"/>
      <c r="F90" s="7" t="str">
        <f aca="false">IFERROR(VLOOKUP(E90,'Subject Areas Reference'!$B$4:$C$14,2,FALSE()),"")</f>
        <v/>
      </c>
      <c r="G90" s="19"/>
      <c r="H90" s="19"/>
    </row>
    <row r="91" customFormat="false" ht="23.85" hidden="false" customHeight="false" outlineLevel="0" collapsed="false">
      <c r="A91" s="4" t="s">
        <v>178</v>
      </c>
      <c r="B91" s="20"/>
      <c r="C91" s="20"/>
      <c r="D91" s="20"/>
      <c r="E91" s="20"/>
      <c r="F91" s="4" t="str">
        <f aca="false">IFERROR(VLOOKUP(E91,'Subject Areas Reference'!$B$4:$C$14,2,FALSE()),"")</f>
        <v/>
      </c>
      <c r="G91" s="20"/>
      <c r="H91" s="20"/>
    </row>
    <row r="92" customFormat="false" ht="23.85" hidden="false" customHeight="false" outlineLevel="0" collapsed="false">
      <c r="A92" s="7" t="s">
        <v>179</v>
      </c>
      <c r="B92" s="19"/>
      <c r="C92" s="19"/>
      <c r="D92" s="19"/>
      <c r="E92" s="19"/>
      <c r="F92" s="7" t="str">
        <f aca="false">IFERROR(VLOOKUP(E92,'Subject Areas Reference'!$B$4:$C$14,2,FALSE()),"")</f>
        <v/>
      </c>
      <c r="G92" s="19"/>
      <c r="H92" s="19"/>
    </row>
    <row r="93" customFormat="false" ht="23.85" hidden="false" customHeight="false" outlineLevel="0" collapsed="false">
      <c r="A93" s="4" t="s">
        <v>180</v>
      </c>
      <c r="B93" s="20"/>
      <c r="C93" s="20"/>
      <c r="D93" s="20"/>
      <c r="E93" s="20"/>
      <c r="F93" s="4" t="str">
        <f aca="false">IFERROR(VLOOKUP(E93,'Subject Areas Reference'!$B$4:$C$14,2,FALSE()),"")</f>
        <v/>
      </c>
      <c r="G93" s="20"/>
      <c r="H93" s="20"/>
    </row>
    <row r="94" customFormat="false" ht="23.85" hidden="false" customHeight="false" outlineLevel="0" collapsed="false">
      <c r="A94" s="7" t="s">
        <v>181</v>
      </c>
      <c r="B94" s="19"/>
      <c r="C94" s="19"/>
      <c r="D94" s="19"/>
      <c r="E94" s="19"/>
      <c r="F94" s="7" t="str">
        <f aca="false">IFERROR(VLOOKUP(E94,'Subject Areas Reference'!$B$4:$C$14,2,FALSE()),"")</f>
        <v/>
      </c>
      <c r="G94" s="19"/>
      <c r="H94" s="19"/>
    </row>
    <row r="95" customFormat="false" ht="23.85" hidden="false" customHeight="false" outlineLevel="0" collapsed="false">
      <c r="A95" s="4" t="s">
        <v>182</v>
      </c>
      <c r="B95" s="20"/>
      <c r="C95" s="20"/>
      <c r="D95" s="20"/>
      <c r="E95" s="20"/>
      <c r="F95" s="4" t="str">
        <f aca="false">IFERROR(VLOOKUP(E95,'Subject Areas Reference'!$B$4:$C$14,2,FALSE()),"")</f>
        <v/>
      </c>
      <c r="G95" s="20"/>
      <c r="H95" s="20"/>
    </row>
    <row r="96" customFormat="false" ht="23.85" hidden="false" customHeight="false" outlineLevel="0" collapsed="false">
      <c r="A96" s="7" t="s">
        <v>183</v>
      </c>
      <c r="B96" s="19"/>
      <c r="C96" s="19"/>
      <c r="D96" s="19"/>
      <c r="E96" s="19"/>
      <c r="F96" s="7" t="str">
        <f aca="false">IFERROR(VLOOKUP(E96,'Subject Areas Reference'!$B$4:$C$14,2,FALSE()),"")</f>
        <v/>
      </c>
      <c r="G96" s="19"/>
      <c r="H96" s="19"/>
    </row>
    <row r="97" customFormat="false" ht="23.85" hidden="false" customHeight="false" outlineLevel="0" collapsed="false">
      <c r="A97" s="4" t="s">
        <v>184</v>
      </c>
      <c r="B97" s="20"/>
      <c r="C97" s="20"/>
      <c r="D97" s="20"/>
      <c r="E97" s="20"/>
      <c r="F97" s="4" t="str">
        <f aca="false">IFERROR(VLOOKUP(E97,'Subject Areas Reference'!$B$4:$C$14,2,FALSE()),"")</f>
        <v/>
      </c>
      <c r="G97" s="20"/>
      <c r="H97" s="20"/>
    </row>
    <row r="98" customFormat="false" ht="23.85" hidden="false" customHeight="false" outlineLevel="0" collapsed="false">
      <c r="A98" s="7" t="s">
        <v>185</v>
      </c>
      <c r="B98" s="19"/>
      <c r="C98" s="19"/>
      <c r="D98" s="19"/>
      <c r="E98" s="19"/>
      <c r="F98" s="7" t="str">
        <f aca="false">IFERROR(VLOOKUP(E98,'Subject Areas Reference'!$B$4:$C$14,2,FALSE()),"")</f>
        <v/>
      </c>
      <c r="G98" s="19"/>
      <c r="H98" s="19"/>
    </row>
    <row r="99" customFormat="false" ht="23.85" hidden="false" customHeight="false" outlineLevel="0" collapsed="false">
      <c r="A99" s="4" t="s">
        <v>186</v>
      </c>
      <c r="B99" s="20"/>
      <c r="C99" s="20"/>
      <c r="D99" s="20"/>
      <c r="E99" s="20"/>
      <c r="F99" s="4" t="str">
        <f aca="false">IFERROR(VLOOKUP(E99,'Subject Areas Reference'!$B$4:$C$14,2,FALSE()),"")</f>
        <v/>
      </c>
      <c r="G99" s="20"/>
      <c r="H99" s="20"/>
    </row>
    <row r="100" customFormat="false" ht="23.85" hidden="false" customHeight="false" outlineLevel="0" collapsed="false">
      <c r="A100" s="7" t="s">
        <v>187</v>
      </c>
      <c r="B100" s="19"/>
      <c r="C100" s="19"/>
      <c r="D100" s="19"/>
      <c r="E100" s="19"/>
      <c r="F100" s="7" t="str">
        <f aca="false">IFERROR(VLOOKUP(E100,'Subject Areas Reference'!$B$4:$C$14,2,FALSE()),"")</f>
        <v/>
      </c>
      <c r="G100" s="19"/>
      <c r="H100" s="19"/>
    </row>
    <row r="101" customFormat="false" ht="23.85" hidden="false" customHeight="false" outlineLevel="0" collapsed="false">
      <c r="A101" s="4" t="s">
        <v>188</v>
      </c>
      <c r="B101" s="20"/>
      <c r="C101" s="20"/>
      <c r="D101" s="20"/>
      <c r="E101" s="20"/>
      <c r="F101" s="4" t="str">
        <f aca="false">IFERROR(VLOOKUP(E101,'Subject Areas Reference'!$B$4:$C$14,2,FALSE()),"")</f>
        <v/>
      </c>
      <c r="G101" s="20"/>
      <c r="H101" s="20"/>
    </row>
    <row r="102" customFormat="false" ht="23.85" hidden="false" customHeight="false" outlineLevel="0" collapsed="false">
      <c r="A102" s="7" t="s">
        <v>189</v>
      </c>
      <c r="B102" s="19"/>
      <c r="C102" s="19"/>
      <c r="D102" s="19"/>
      <c r="E102" s="19"/>
      <c r="F102" s="7" t="str">
        <f aca="false">IFERROR(VLOOKUP(E102,'Subject Areas Reference'!$B$4:$C$14,2,FALSE()),"")</f>
        <v/>
      </c>
      <c r="G102" s="19"/>
      <c r="H102" s="19"/>
    </row>
    <row r="103" customFormat="false" ht="23.85" hidden="false" customHeight="false" outlineLevel="0" collapsed="false">
      <c r="A103" s="4" t="s">
        <v>190</v>
      </c>
      <c r="B103" s="20"/>
      <c r="C103" s="20"/>
      <c r="D103" s="20"/>
      <c r="E103" s="20"/>
      <c r="F103" s="4" t="str">
        <f aca="false">IFERROR(VLOOKUP(E103,'Subject Areas Reference'!$B$4:$C$14,2,FALSE()),"")</f>
        <v/>
      </c>
      <c r="G103" s="20"/>
      <c r="H103" s="20"/>
    </row>
    <row r="104" customFormat="false" ht="23.85" hidden="false" customHeight="false" outlineLevel="0" collapsed="false">
      <c r="A104" s="7" t="s">
        <v>191</v>
      </c>
      <c r="B104" s="19"/>
      <c r="C104" s="19"/>
      <c r="D104" s="19"/>
      <c r="E104" s="19"/>
      <c r="F104" s="7" t="str">
        <f aca="false">IFERROR(VLOOKUP(E104,'Subject Areas Reference'!$B$4:$C$14,2,FALSE()),"")</f>
        <v/>
      </c>
      <c r="G104" s="19"/>
      <c r="H104" s="19"/>
    </row>
    <row r="105" customFormat="false" ht="23.85" hidden="false" customHeight="false" outlineLevel="0" collapsed="false">
      <c r="A105" s="4" t="s">
        <v>192</v>
      </c>
      <c r="B105" s="20"/>
      <c r="C105" s="20"/>
      <c r="D105" s="20"/>
      <c r="E105" s="20"/>
      <c r="F105" s="4" t="str">
        <f aca="false">IFERROR(VLOOKUP(E105,'Subject Areas Reference'!$B$4:$C$14,2,FALSE()),"")</f>
        <v/>
      </c>
      <c r="G105" s="20"/>
      <c r="H105" s="20"/>
    </row>
    <row r="106" customFormat="false" ht="23.85" hidden="false" customHeight="false" outlineLevel="0" collapsed="false">
      <c r="A106" s="7" t="s">
        <v>193</v>
      </c>
      <c r="B106" s="19"/>
      <c r="C106" s="19"/>
      <c r="D106" s="19"/>
      <c r="E106" s="19"/>
      <c r="F106" s="7" t="str">
        <f aca="false">IFERROR(VLOOKUP(E106,'Subject Areas Reference'!$B$4:$C$14,2,FALSE()),"")</f>
        <v/>
      </c>
      <c r="G106" s="19"/>
      <c r="H106" s="19"/>
    </row>
    <row r="107" customFormat="false" ht="23.85" hidden="false" customHeight="false" outlineLevel="0" collapsed="false">
      <c r="A107" s="4" t="s">
        <v>194</v>
      </c>
      <c r="B107" s="20"/>
      <c r="C107" s="20"/>
      <c r="D107" s="20"/>
      <c r="E107" s="20"/>
      <c r="F107" s="4" t="str">
        <f aca="false">IFERROR(VLOOKUP(E107,'Subject Areas Reference'!$B$4:$C$14,2,FALSE()),"")</f>
        <v/>
      </c>
      <c r="G107" s="20"/>
      <c r="H107" s="20"/>
    </row>
    <row r="108" customFormat="false" ht="23.85" hidden="false" customHeight="false" outlineLevel="0" collapsed="false">
      <c r="A108" s="7" t="s">
        <v>195</v>
      </c>
      <c r="B108" s="19"/>
      <c r="C108" s="19"/>
      <c r="D108" s="19"/>
      <c r="E108" s="19"/>
      <c r="F108" s="7" t="str">
        <f aca="false">IFERROR(VLOOKUP(E108,'Subject Areas Reference'!$B$4:$C$14,2,FALSE()),"")</f>
        <v/>
      </c>
      <c r="G108" s="19"/>
      <c r="H108" s="19"/>
    </row>
    <row r="109" customFormat="false" ht="23.85" hidden="false" customHeight="false" outlineLevel="0" collapsed="false">
      <c r="A109" s="4" t="s">
        <v>196</v>
      </c>
      <c r="B109" s="20"/>
      <c r="C109" s="20"/>
      <c r="D109" s="20"/>
      <c r="E109" s="20"/>
      <c r="F109" s="4" t="str">
        <f aca="false">IFERROR(VLOOKUP(E109,'Subject Areas Reference'!$B$4:$C$14,2,FALSE()),"")</f>
        <v/>
      </c>
      <c r="G109" s="20"/>
      <c r="H109" s="20"/>
    </row>
    <row r="110" customFormat="false" ht="23.85" hidden="false" customHeight="false" outlineLevel="0" collapsed="false">
      <c r="A110" s="7" t="s">
        <v>197</v>
      </c>
      <c r="B110" s="19"/>
      <c r="C110" s="19"/>
      <c r="D110" s="19"/>
      <c r="E110" s="19"/>
      <c r="F110" s="7" t="str">
        <f aca="false">IFERROR(VLOOKUP(E110,'Subject Areas Reference'!$B$4:$C$14,2,FALSE()),"")</f>
        <v/>
      </c>
      <c r="G110" s="19"/>
      <c r="H110" s="19"/>
    </row>
    <row r="111" customFormat="false" ht="23.85" hidden="false" customHeight="false" outlineLevel="0" collapsed="false">
      <c r="A111" s="4" t="s">
        <v>198</v>
      </c>
      <c r="B111" s="20"/>
      <c r="C111" s="20"/>
      <c r="D111" s="20"/>
      <c r="E111" s="20"/>
      <c r="F111" s="4" t="str">
        <f aca="false">IFERROR(VLOOKUP(E111,'Subject Areas Reference'!$B$4:$C$14,2,FALSE()),"")</f>
        <v/>
      </c>
      <c r="G111" s="20"/>
      <c r="H111" s="20"/>
    </row>
    <row r="112" customFormat="false" ht="23.85" hidden="false" customHeight="false" outlineLevel="0" collapsed="false">
      <c r="A112" s="7" t="s">
        <v>199</v>
      </c>
      <c r="B112" s="19"/>
      <c r="C112" s="19"/>
      <c r="D112" s="19"/>
      <c r="E112" s="19"/>
      <c r="F112" s="7" t="str">
        <f aca="false">IFERROR(VLOOKUP(E112,'Subject Areas Reference'!$B$4:$C$14,2,FALSE()),"")</f>
        <v/>
      </c>
      <c r="G112" s="19"/>
      <c r="H112" s="19"/>
    </row>
    <row r="113" customFormat="false" ht="23.85" hidden="false" customHeight="false" outlineLevel="0" collapsed="false">
      <c r="A113" s="4" t="s">
        <v>200</v>
      </c>
      <c r="B113" s="20"/>
      <c r="C113" s="20"/>
      <c r="D113" s="20"/>
      <c r="E113" s="20"/>
      <c r="F113" s="4" t="str">
        <f aca="false">IFERROR(VLOOKUP(E113,'Subject Areas Reference'!$B$4:$C$14,2,FALSE()),"")</f>
        <v/>
      </c>
      <c r="G113" s="20"/>
      <c r="H113" s="20"/>
    </row>
    <row r="114" customFormat="false" ht="23.85" hidden="false" customHeight="false" outlineLevel="0" collapsed="false">
      <c r="A114" s="7" t="s">
        <v>201</v>
      </c>
      <c r="B114" s="19"/>
      <c r="C114" s="19"/>
      <c r="D114" s="19"/>
      <c r="E114" s="19"/>
      <c r="F114" s="7" t="str">
        <f aca="false">IFERROR(VLOOKUP(E114,'Subject Areas Reference'!$B$4:$C$14,2,FALSE()),"")</f>
        <v/>
      </c>
      <c r="G114" s="19"/>
      <c r="H114" s="19"/>
    </row>
    <row r="115" customFormat="false" ht="23.85" hidden="false" customHeight="false" outlineLevel="0" collapsed="false">
      <c r="A115" s="4" t="s">
        <v>202</v>
      </c>
      <c r="B115" s="20"/>
      <c r="C115" s="20"/>
      <c r="D115" s="20"/>
      <c r="E115" s="20"/>
      <c r="F115" s="4" t="str">
        <f aca="false">IFERROR(VLOOKUP(E115,'Subject Areas Reference'!$B$4:$C$14,2,FALSE()),"")</f>
        <v/>
      </c>
      <c r="G115" s="20"/>
      <c r="H115" s="20"/>
    </row>
    <row r="116" customFormat="false" ht="23.85" hidden="false" customHeight="false" outlineLevel="0" collapsed="false">
      <c r="A116" s="7" t="s">
        <v>203</v>
      </c>
      <c r="B116" s="19"/>
      <c r="C116" s="19"/>
      <c r="D116" s="19"/>
      <c r="E116" s="19"/>
      <c r="F116" s="7" t="str">
        <f aca="false">IFERROR(VLOOKUP(E116,'Subject Areas Reference'!$B$4:$C$14,2,FALSE()),"")</f>
        <v/>
      </c>
      <c r="G116" s="19"/>
      <c r="H116" s="19"/>
    </row>
    <row r="117" customFormat="false" ht="23.85" hidden="false" customHeight="false" outlineLevel="0" collapsed="false">
      <c r="A117" s="4" t="s">
        <v>204</v>
      </c>
      <c r="B117" s="20"/>
      <c r="C117" s="20"/>
      <c r="D117" s="20"/>
      <c r="E117" s="20"/>
      <c r="F117" s="4" t="str">
        <f aca="false">IFERROR(VLOOKUP(E117,'Subject Areas Reference'!$B$4:$C$14,2,FALSE()),"")</f>
        <v/>
      </c>
      <c r="G117" s="20"/>
      <c r="H117" s="20"/>
    </row>
    <row r="118" customFormat="false" ht="23.85" hidden="false" customHeight="false" outlineLevel="0" collapsed="false">
      <c r="A118" s="7" t="s">
        <v>205</v>
      </c>
      <c r="B118" s="19"/>
      <c r="C118" s="19"/>
      <c r="D118" s="19"/>
      <c r="E118" s="19"/>
      <c r="F118" s="7" t="str">
        <f aca="false">IFERROR(VLOOKUP(E118,'Subject Areas Reference'!$B$4:$C$14,2,FALSE()),"")</f>
        <v/>
      </c>
      <c r="G118" s="19"/>
      <c r="H118" s="19"/>
    </row>
    <row r="119" customFormat="false" ht="23.85" hidden="false" customHeight="false" outlineLevel="0" collapsed="false">
      <c r="A119" s="4" t="s">
        <v>206</v>
      </c>
      <c r="B119" s="20"/>
      <c r="C119" s="20"/>
      <c r="D119" s="20"/>
      <c r="E119" s="20"/>
      <c r="F119" s="4" t="str">
        <f aca="false">IFERROR(VLOOKUP(E119,'Subject Areas Reference'!$B$4:$C$14,2,FALSE()),"")</f>
        <v/>
      </c>
      <c r="G119" s="20"/>
      <c r="H119" s="20"/>
    </row>
    <row r="120" customFormat="false" ht="23.85" hidden="false" customHeight="false" outlineLevel="0" collapsed="false">
      <c r="A120" s="7" t="s">
        <v>207</v>
      </c>
      <c r="B120" s="19"/>
      <c r="C120" s="19"/>
      <c r="D120" s="19"/>
      <c r="E120" s="19"/>
      <c r="F120" s="7" t="str">
        <f aca="false">IFERROR(VLOOKUP(E120,'Subject Areas Reference'!$B$4:$C$14,2,FALSE()),"")</f>
        <v/>
      </c>
      <c r="G120" s="19"/>
      <c r="H120" s="19"/>
    </row>
    <row r="121" customFormat="false" ht="23.85" hidden="false" customHeight="false" outlineLevel="0" collapsed="false">
      <c r="A121" s="4" t="s">
        <v>208</v>
      </c>
      <c r="B121" s="20"/>
      <c r="C121" s="20"/>
      <c r="D121" s="20"/>
      <c r="E121" s="20"/>
      <c r="F121" s="4" t="str">
        <f aca="false">IFERROR(VLOOKUP(E121,'Subject Areas Reference'!$B$4:$C$14,2,FALSE()),"")</f>
        <v/>
      </c>
      <c r="G121" s="20"/>
      <c r="H121" s="20"/>
    </row>
    <row r="122" customFormat="false" ht="23.85" hidden="false" customHeight="false" outlineLevel="0" collapsed="false">
      <c r="A122" s="7" t="s">
        <v>209</v>
      </c>
      <c r="B122" s="19"/>
      <c r="C122" s="19"/>
      <c r="D122" s="19"/>
      <c r="E122" s="19"/>
      <c r="F122" s="7" t="str">
        <f aca="false">IFERROR(VLOOKUP(E122,'Subject Areas Reference'!$B$4:$C$14,2,FALSE()),"")</f>
        <v/>
      </c>
      <c r="G122" s="19"/>
      <c r="H122" s="19"/>
    </row>
    <row r="123" customFormat="false" ht="23.85" hidden="false" customHeight="false" outlineLevel="0" collapsed="false">
      <c r="A123" s="4" t="s">
        <v>210</v>
      </c>
      <c r="B123" s="20"/>
      <c r="C123" s="20"/>
      <c r="D123" s="20"/>
      <c r="E123" s="20"/>
      <c r="F123" s="4" t="str">
        <f aca="false">IFERROR(VLOOKUP(E123,'Subject Areas Reference'!$B$4:$C$14,2,FALSE()),"")</f>
        <v/>
      </c>
      <c r="G123" s="20"/>
      <c r="H123" s="20"/>
    </row>
    <row r="124" customFormat="false" ht="23.85" hidden="false" customHeight="false" outlineLevel="0" collapsed="false">
      <c r="A124" s="7" t="s">
        <v>211</v>
      </c>
      <c r="B124" s="19"/>
      <c r="C124" s="19"/>
      <c r="D124" s="19"/>
      <c r="E124" s="19"/>
      <c r="F124" s="7" t="str">
        <f aca="false">IFERROR(VLOOKUP(E124,'Subject Areas Reference'!$B$4:$C$14,2,FALSE()),"")</f>
        <v/>
      </c>
      <c r="G124" s="19"/>
      <c r="H124" s="19"/>
    </row>
    <row r="125" customFormat="false" ht="23.85" hidden="false" customHeight="false" outlineLevel="0" collapsed="false">
      <c r="A125" s="4" t="s">
        <v>212</v>
      </c>
      <c r="B125" s="20"/>
      <c r="C125" s="20"/>
      <c r="D125" s="20"/>
      <c r="E125" s="20"/>
      <c r="F125" s="4" t="str">
        <f aca="false">IFERROR(VLOOKUP(E125,'Subject Areas Reference'!$B$4:$C$14,2,FALSE()),"")</f>
        <v/>
      </c>
      <c r="G125" s="20"/>
      <c r="H125" s="20"/>
    </row>
    <row r="126" customFormat="false" ht="23.85" hidden="false" customHeight="false" outlineLevel="0" collapsed="false">
      <c r="A126" s="7" t="s">
        <v>213</v>
      </c>
      <c r="B126" s="19"/>
      <c r="C126" s="19"/>
      <c r="D126" s="19"/>
      <c r="E126" s="19"/>
      <c r="F126" s="7" t="str">
        <f aca="false">IFERROR(VLOOKUP(E126,'Subject Areas Reference'!$B$4:$C$14,2,FALSE()),"")</f>
        <v/>
      </c>
      <c r="G126" s="19"/>
      <c r="H126" s="19"/>
    </row>
    <row r="127" customFormat="false" ht="23.85" hidden="false" customHeight="false" outlineLevel="0" collapsed="false">
      <c r="A127" s="4" t="s">
        <v>214</v>
      </c>
      <c r="B127" s="20"/>
      <c r="C127" s="20"/>
      <c r="D127" s="20"/>
      <c r="E127" s="20"/>
      <c r="F127" s="4" t="str">
        <f aca="false">IFERROR(VLOOKUP(E127,'Subject Areas Reference'!$B$4:$C$14,2,FALSE()),"")</f>
        <v/>
      </c>
      <c r="G127" s="20"/>
      <c r="H127" s="20"/>
    </row>
    <row r="128" customFormat="false" ht="23.85" hidden="false" customHeight="false" outlineLevel="0" collapsed="false">
      <c r="A128" s="7" t="s">
        <v>215</v>
      </c>
      <c r="B128" s="19"/>
      <c r="C128" s="19"/>
      <c r="D128" s="19"/>
      <c r="E128" s="19"/>
      <c r="F128" s="7" t="str">
        <f aca="false">IFERROR(VLOOKUP(E128,'Subject Areas Reference'!$B$4:$C$14,2,FALSE()),"")</f>
        <v/>
      </c>
      <c r="G128" s="19"/>
      <c r="H128" s="19"/>
    </row>
    <row r="129" customFormat="false" ht="23.85" hidden="false" customHeight="false" outlineLevel="0" collapsed="false">
      <c r="A129" s="4" t="s">
        <v>216</v>
      </c>
      <c r="B129" s="20"/>
      <c r="C129" s="20"/>
      <c r="D129" s="20"/>
      <c r="E129" s="20"/>
      <c r="F129" s="4" t="str">
        <f aca="false">IFERROR(VLOOKUP(E129,'Subject Areas Reference'!$B$4:$C$14,2,FALSE()),"")</f>
        <v/>
      </c>
      <c r="G129" s="20"/>
      <c r="H129" s="20"/>
    </row>
    <row r="130" customFormat="false" ht="23.85" hidden="false" customHeight="false" outlineLevel="0" collapsed="false">
      <c r="A130" s="7" t="s">
        <v>217</v>
      </c>
      <c r="B130" s="19"/>
      <c r="C130" s="19"/>
      <c r="D130" s="19"/>
      <c r="E130" s="19"/>
      <c r="F130" s="7" t="str">
        <f aca="false">IFERROR(VLOOKUP(E130,'Subject Areas Reference'!$B$4:$C$14,2,FALSE()),"")</f>
        <v/>
      </c>
      <c r="G130" s="19"/>
      <c r="H130" s="19"/>
    </row>
    <row r="131" customFormat="false" ht="23.85" hidden="false" customHeight="false" outlineLevel="0" collapsed="false">
      <c r="A131" s="4" t="s">
        <v>218</v>
      </c>
      <c r="B131" s="20"/>
      <c r="C131" s="20"/>
      <c r="D131" s="20"/>
      <c r="E131" s="20"/>
      <c r="F131" s="4" t="str">
        <f aca="false">IFERROR(VLOOKUP(E131,'Subject Areas Reference'!$B$4:$C$14,2,FALSE()),"")</f>
        <v/>
      </c>
      <c r="G131" s="20"/>
      <c r="H131" s="20"/>
    </row>
    <row r="132" customFormat="false" ht="23.85" hidden="false" customHeight="false" outlineLevel="0" collapsed="false">
      <c r="A132" s="7" t="s">
        <v>219</v>
      </c>
      <c r="B132" s="19"/>
      <c r="C132" s="19"/>
      <c r="D132" s="19"/>
      <c r="E132" s="19"/>
      <c r="F132" s="7" t="str">
        <f aca="false">IFERROR(VLOOKUP(E132,'Subject Areas Reference'!$B$4:$C$14,2,FALSE()),"")</f>
        <v/>
      </c>
      <c r="G132" s="19"/>
      <c r="H132" s="19"/>
    </row>
    <row r="133" customFormat="false" ht="23.85" hidden="false" customHeight="false" outlineLevel="0" collapsed="false">
      <c r="A133" s="4" t="s">
        <v>220</v>
      </c>
      <c r="B133" s="20"/>
      <c r="C133" s="20"/>
      <c r="D133" s="20"/>
      <c r="E133" s="20"/>
      <c r="F133" s="4" t="str">
        <f aca="false">IFERROR(VLOOKUP(E133,'Subject Areas Reference'!$B$4:$C$14,2,FALSE()),"")</f>
        <v/>
      </c>
      <c r="G133" s="20"/>
      <c r="H133" s="20"/>
    </row>
    <row r="134" customFormat="false" ht="23.85" hidden="false" customHeight="false" outlineLevel="0" collapsed="false">
      <c r="A134" s="7" t="s">
        <v>221</v>
      </c>
      <c r="B134" s="19"/>
      <c r="C134" s="19"/>
      <c r="D134" s="19"/>
      <c r="E134" s="19"/>
      <c r="F134" s="7" t="str">
        <f aca="false">IFERROR(VLOOKUP(E134,'Subject Areas Reference'!$B$4:$C$14,2,FALSE()),"")</f>
        <v/>
      </c>
      <c r="G134" s="19"/>
      <c r="H134" s="19"/>
    </row>
    <row r="135" customFormat="false" ht="23.85" hidden="false" customHeight="false" outlineLevel="0" collapsed="false">
      <c r="A135" s="4" t="s">
        <v>222</v>
      </c>
      <c r="B135" s="20"/>
      <c r="C135" s="20"/>
      <c r="D135" s="20"/>
      <c r="E135" s="20"/>
      <c r="F135" s="4" t="str">
        <f aca="false">IFERROR(VLOOKUP(E135,'Subject Areas Reference'!$B$4:$C$14,2,FALSE()),"")</f>
        <v/>
      </c>
      <c r="G135" s="20"/>
      <c r="H135" s="20"/>
    </row>
    <row r="136" customFormat="false" ht="23.85" hidden="false" customHeight="false" outlineLevel="0" collapsed="false">
      <c r="A136" s="7" t="s">
        <v>223</v>
      </c>
      <c r="B136" s="19"/>
      <c r="C136" s="19"/>
      <c r="D136" s="19"/>
      <c r="E136" s="19"/>
      <c r="F136" s="7" t="str">
        <f aca="false">IFERROR(VLOOKUP(E136,'Subject Areas Reference'!$B$4:$C$14,2,FALSE()),"")</f>
        <v/>
      </c>
      <c r="G136" s="19"/>
      <c r="H136" s="19"/>
    </row>
    <row r="137" customFormat="false" ht="23.85" hidden="false" customHeight="false" outlineLevel="0" collapsed="false">
      <c r="A137" s="4" t="s">
        <v>224</v>
      </c>
      <c r="B137" s="20"/>
      <c r="C137" s="20"/>
      <c r="D137" s="20"/>
      <c r="E137" s="20"/>
      <c r="F137" s="4" t="str">
        <f aca="false">IFERROR(VLOOKUP(E137,'Subject Areas Reference'!$B$4:$C$14,2,FALSE()),"")</f>
        <v/>
      </c>
      <c r="G137" s="20"/>
      <c r="H137" s="20"/>
    </row>
    <row r="138" customFormat="false" ht="23.85" hidden="false" customHeight="false" outlineLevel="0" collapsed="false">
      <c r="A138" s="7" t="s">
        <v>225</v>
      </c>
      <c r="B138" s="19"/>
      <c r="C138" s="19"/>
      <c r="D138" s="19"/>
      <c r="E138" s="19"/>
      <c r="F138" s="7" t="str">
        <f aca="false">IFERROR(VLOOKUP(E138,'Subject Areas Reference'!$B$4:$C$14,2,FALSE()),"")</f>
        <v/>
      </c>
      <c r="G138" s="19"/>
      <c r="H138" s="19"/>
    </row>
    <row r="139" customFormat="false" ht="23.85" hidden="false" customHeight="false" outlineLevel="0" collapsed="false">
      <c r="A139" s="4" t="s">
        <v>226</v>
      </c>
      <c r="B139" s="20"/>
      <c r="C139" s="20"/>
      <c r="D139" s="20"/>
      <c r="E139" s="20"/>
      <c r="F139" s="4" t="str">
        <f aca="false">IFERROR(VLOOKUP(E139,'Subject Areas Reference'!$B$4:$C$14,2,FALSE()),"")</f>
        <v/>
      </c>
      <c r="G139" s="20"/>
      <c r="H139" s="20"/>
    </row>
    <row r="140" customFormat="false" ht="23.85" hidden="false" customHeight="false" outlineLevel="0" collapsed="false">
      <c r="A140" s="7" t="s">
        <v>227</v>
      </c>
      <c r="B140" s="19"/>
      <c r="C140" s="19"/>
      <c r="D140" s="19"/>
      <c r="E140" s="19"/>
      <c r="F140" s="7" t="str">
        <f aca="false">IFERROR(VLOOKUP(E140,'Subject Areas Reference'!$B$4:$C$14,2,FALSE()),"")</f>
        <v/>
      </c>
      <c r="G140" s="19"/>
      <c r="H140" s="19"/>
    </row>
    <row r="141" customFormat="false" ht="23.85" hidden="false" customHeight="false" outlineLevel="0" collapsed="false">
      <c r="A141" s="4" t="s">
        <v>228</v>
      </c>
      <c r="B141" s="20"/>
      <c r="C141" s="20"/>
      <c r="D141" s="20"/>
      <c r="E141" s="20"/>
      <c r="F141" s="4" t="str">
        <f aca="false">IFERROR(VLOOKUP(E141,'Subject Areas Reference'!$B$4:$C$14,2,FALSE()),"")</f>
        <v/>
      </c>
      <c r="G141" s="20"/>
      <c r="H141" s="20"/>
    </row>
    <row r="142" customFormat="false" ht="23.85" hidden="false" customHeight="false" outlineLevel="0" collapsed="false">
      <c r="A142" s="7" t="s">
        <v>229</v>
      </c>
      <c r="B142" s="19"/>
      <c r="C142" s="19"/>
      <c r="D142" s="19"/>
      <c r="E142" s="19"/>
      <c r="F142" s="7" t="str">
        <f aca="false">IFERROR(VLOOKUP(E142,'Subject Areas Reference'!$B$4:$C$14,2,FALSE()),"")</f>
        <v/>
      </c>
      <c r="G142" s="19"/>
      <c r="H142" s="19"/>
    </row>
    <row r="143" customFormat="false" ht="23.85" hidden="false" customHeight="false" outlineLevel="0" collapsed="false">
      <c r="A143" s="4" t="s">
        <v>230</v>
      </c>
      <c r="B143" s="20"/>
      <c r="C143" s="20"/>
      <c r="D143" s="20"/>
      <c r="E143" s="20"/>
      <c r="F143" s="4" t="str">
        <f aca="false">IFERROR(VLOOKUP(E143,'Subject Areas Reference'!$B$4:$C$14,2,FALSE()),"")</f>
        <v/>
      </c>
      <c r="G143" s="20"/>
      <c r="H143" s="20"/>
    </row>
    <row r="144" customFormat="false" ht="23.85" hidden="false" customHeight="false" outlineLevel="0" collapsed="false">
      <c r="A144" s="7" t="s">
        <v>231</v>
      </c>
      <c r="B144" s="19"/>
      <c r="C144" s="19"/>
      <c r="D144" s="19"/>
      <c r="E144" s="19"/>
      <c r="F144" s="7" t="str">
        <f aca="false">IFERROR(VLOOKUP(E144,'Subject Areas Reference'!$B$4:$C$14,2,FALSE()),"")</f>
        <v/>
      </c>
      <c r="G144" s="19"/>
      <c r="H144" s="19"/>
    </row>
    <row r="145" customFormat="false" ht="23.85" hidden="false" customHeight="false" outlineLevel="0" collapsed="false">
      <c r="A145" s="4" t="s">
        <v>232</v>
      </c>
      <c r="B145" s="20"/>
      <c r="C145" s="20"/>
      <c r="D145" s="20"/>
      <c r="E145" s="20"/>
      <c r="F145" s="4" t="str">
        <f aca="false">IFERROR(VLOOKUP(E145,'Subject Areas Reference'!$B$4:$C$14,2,FALSE()),"")</f>
        <v/>
      </c>
      <c r="G145" s="20"/>
      <c r="H145" s="20"/>
    </row>
    <row r="146" customFormat="false" ht="23.85" hidden="false" customHeight="false" outlineLevel="0" collapsed="false">
      <c r="A146" s="7" t="s">
        <v>233</v>
      </c>
      <c r="B146" s="19"/>
      <c r="C146" s="19"/>
      <c r="D146" s="19"/>
      <c r="E146" s="19"/>
      <c r="F146" s="7" t="str">
        <f aca="false">IFERROR(VLOOKUP(E146,'Subject Areas Reference'!$B$4:$C$14,2,FALSE()),"")</f>
        <v/>
      </c>
      <c r="G146" s="19"/>
      <c r="H146" s="19"/>
    </row>
    <row r="147" customFormat="false" ht="23.85" hidden="false" customHeight="false" outlineLevel="0" collapsed="false">
      <c r="A147" s="4" t="s">
        <v>234</v>
      </c>
      <c r="B147" s="20"/>
      <c r="C147" s="20"/>
      <c r="D147" s="20"/>
      <c r="E147" s="20"/>
      <c r="F147" s="4" t="str">
        <f aca="false">IFERROR(VLOOKUP(E147,'Subject Areas Reference'!$B$4:$C$14,2,FALSE()),"")</f>
        <v/>
      </c>
      <c r="G147" s="20"/>
      <c r="H147" s="20"/>
    </row>
    <row r="148" customFormat="false" ht="23.85" hidden="false" customHeight="false" outlineLevel="0" collapsed="false">
      <c r="A148" s="7" t="s">
        <v>235</v>
      </c>
      <c r="B148" s="19"/>
      <c r="C148" s="19"/>
      <c r="D148" s="19"/>
      <c r="E148" s="19"/>
      <c r="F148" s="7" t="str">
        <f aca="false">IFERROR(VLOOKUP(E148,'Subject Areas Reference'!$B$4:$C$14,2,FALSE()),"")</f>
        <v/>
      </c>
      <c r="G148" s="19"/>
      <c r="H148" s="19"/>
    </row>
    <row r="149" customFormat="false" ht="23.85" hidden="false" customHeight="false" outlineLevel="0" collapsed="false">
      <c r="A149" s="4" t="s">
        <v>236</v>
      </c>
      <c r="B149" s="20"/>
      <c r="C149" s="20"/>
      <c r="D149" s="20"/>
      <c r="E149" s="20"/>
      <c r="F149" s="4" t="str">
        <f aca="false">IFERROR(VLOOKUP(E149,'Subject Areas Reference'!$B$4:$C$14,2,FALSE()),"")</f>
        <v/>
      </c>
      <c r="G149" s="20"/>
      <c r="H149" s="20"/>
    </row>
    <row r="150" customFormat="false" ht="23.85" hidden="false" customHeight="false" outlineLevel="0" collapsed="false">
      <c r="A150" s="7" t="s">
        <v>237</v>
      </c>
      <c r="B150" s="19"/>
      <c r="C150" s="19"/>
      <c r="D150" s="19"/>
      <c r="E150" s="19"/>
      <c r="F150" s="7" t="str">
        <f aca="false">IFERROR(VLOOKUP(E150,'Subject Areas Reference'!$B$4:$C$14,2,FALSE()),"")</f>
        <v/>
      </c>
      <c r="G150" s="19"/>
      <c r="H150" s="19"/>
    </row>
    <row r="151" customFormat="false" ht="23.85" hidden="false" customHeight="false" outlineLevel="0" collapsed="false">
      <c r="A151" s="4" t="s">
        <v>238</v>
      </c>
      <c r="B151" s="20"/>
      <c r="C151" s="20"/>
      <c r="D151" s="20"/>
      <c r="E151" s="20"/>
      <c r="F151" s="4" t="str">
        <f aca="false">IFERROR(VLOOKUP(E151,'Subject Areas Reference'!$B$4:$C$14,2,FALSE()),"")</f>
        <v/>
      </c>
      <c r="G151" s="20"/>
      <c r="H151" s="20"/>
    </row>
    <row r="152" customFormat="false" ht="23.85" hidden="false" customHeight="false" outlineLevel="0" collapsed="false">
      <c r="A152" s="7" t="s">
        <v>239</v>
      </c>
      <c r="B152" s="19"/>
      <c r="C152" s="19"/>
      <c r="D152" s="19"/>
      <c r="E152" s="19"/>
      <c r="F152" s="7" t="str">
        <f aca="false">IFERROR(VLOOKUP(E152,'Subject Areas Reference'!$B$4:$C$14,2,FALSE()),"")</f>
        <v/>
      </c>
      <c r="G152" s="19"/>
      <c r="H152" s="19"/>
    </row>
    <row r="153" customFormat="false" ht="23.85" hidden="false" customHeight="false" outlineLevel="0" collapsed="false">
      <c r="A153" s="4" t="s">
        <v>240</v>
      </c>
      <c r="B153" s="20"/>
      <c r="C153" s="20"/>
      <c r="D153" s="20"/>
      <c r="E153" s="20"/>
      <c r="F153" s="4" t="str">
        <f aca="false">IFERROR(VLOOKUP(E153,'Subject Areas Reference'!$B$4:$C$14,2,FALSE()),"")</f>
        <v/>
      </c>
      <c r="G153" s="20"/>
      <c r="H153" s="20"/>
    </row>
    <row r="154" customFormat="false" ht="23.85" hidden="false" customHeight="false" outlineLevel="0" collapsed="false">
      <c r="A154" s="7" t="s">
        <v>241</v>
      </c>
      <c r="B154" s="19"/>
      <c r="C154" s="19"/>
      <c r="D154" s="19"/>
      <c r="E154" s="19"/>
      <c r="F154" s="7" t="str">
        <f aca="false">IFERROR(VLOOKUP(E154,'Subject Areas Reference'!$B$4:$C$14,2,FALSE()),"")</f>
        <v/>
      </c>
      <c r="G154" s="19"/>
      <c r="H154" s="19"/>
    </row>
    <row r="155" customFormat="false" ht="23.85" hidden="false" customHeight="false" outlineLevel="0" collapsed="false">
      <c r="A155" s="4" t="s">
        <v>242</v>
      </c>
      <c r="B155" s="20"/>
      <c r="C155" s="20"/>
      <c r="D155" s="20"/>
      <c r="E155" s="20"/>
      <c r="F155" s="4" t="str">
        <f aca="false">IFERROR(VLOOKUP(E155,'Subject Areas Reference'!$B$4:$C$14,2,FALSE()),"")</f>
        <v/>
      </c>
      <c r="G155" s="20"/>
      <c r="H155" s="20"/>
    </row>
    <row r="156" customFormat="false" ht="23.85" hidden="false" customHeight="false" outlineLevel="0" collapsed="false">
      <c r="A156" s="7" t="s">
        <v>243</v>
      </c>
      <c r="B156" s="19"/>
      <c r="C156" s="19"/>
      <c r="D156" s="19"/>
      <c r="E156" s="19"/>
      <c r="F156" s="7" t="str">
        <f aca="false">IFERROR(VLOOKUP(E156,'Subject Areas Reference'!$B$4:$C$14,2,FALSE()),"")</f>
        <v/>
      </c>
      <c r="G156" s="19"/>
      <c r="H156" s="19"/>
    </row>
    <row r="157" customFormat="false" ht="23.85" hidden="false" customHeight="false" outlineLevel="0" collapsed="false">
      <c r="A157" s="4" t="s">
        <v>244</v>
      </c>
      <c r="B157" s="20"/>
      <c r="C157" s="20"/>
      <c r="D157" s="20"/>
      <c r="E157" s="20"/>
      <c r="F157" s="4" t="str">
        <f aca="false">IFERROR(VLOOKUP(E157,'Subject Areas Reference'!$B$4:$C$14,2,FALSE()),"")</f>
        <v/>
      </c>
      <c r="G157" s="20"/>
      <c r="H157" s="20"/>
    </row>
    <row r="158" customFormat="false" ht="23.85" hidden="false" customHeight="false" outlineLevel="0" collapsed="false">
      <c r="A158" s="7" t="s">
        <v>245</v>
      </c>
      <c r="B158" s="19"/>
      <c r="C158" s="19"/>
      <c r="D158" s="19"/>
      <c r="E158" s="19"/>
      <c r="F158" s="7" t="str">
        <f aca="false">IFERROR(VLOOKUP(E158,'Subject Areas Reference'!$B$4:$C$14,2,FALSE()),"")</f>
        <v/>
      </c>
      <c r="G158" s="19"/>
      <c r="H158" s="19"/>
    </row>
    <row r="159" customFormat="false" ht="23.85" hidden="false" customHeight="false" outlineLevel="0" collapsed="false">
      <c r="A159" s="4" t="s">
        <v>246</v>
      </c>
      <c r="B159" s="20"/>
      <c r="C159" s="20"/>
      <c r="D159" s="20"/>
      <c r="E159" s="20"/>
      <c r="F159" s="4" t="str">
        <f aca="false">IFERROR(VLOOKUP(E159,'Subject Areas Reference'!$B$4:$C$14,2,FALSE()),"")</f>
        <v/>
      </c>
      <c r="G159" s="20"/>
      <c r="H159" s="20"/>
    </row>
    <row r="160" customFormat="false" ht="23.85" hidden="false" customHeight="false" outlineLevel="0" collapsed="false">
      <c r="A160" s="7" t="s">
        <v>247</v>
      </c>
      <c r="B160" s="19"/>
      <c r="C160" s="19"/>
      <c r="D160" s="19"/>
      <c r="E160" s="19"/>
      <c r="F160" s="7" t="str">
        <f aca="false">IFERROR(VLOOKUP(E160,'Subject Areas Reference'!$B$4:$C$14,2,FALSE()),"")</f>
        <v/>
      </c>
      <c r="G160" s="19"/>
      <c r="H160" s="19"/>
    </row>
    <row r="161" customFormat="false" ht="23.85" hidden="false" customHeight="false" outlineLevel="0" collapsed="false">
      <c r="A161" s="4" t="s">
        <v>248</v>
      </c>
      <c r="B161" s="20"/>
      <c r="C161" s="20"/>
      <c r="D161" s="20"/>
      <c r="E161" s="20"/>
      <c r="F161" s="4" t="str">
        <f aca="false">IFERROR(VLOOKUP(E161,'Subject Areas Reference'!$B$4:$C$14,2,FALSE()),"")</f>
        <v/>
      </c>
      <c r="G161" s="20"/>
      <c r="H161" s="20"/>
    </row>
    <row r="162" customFormat="false" ht="23.85" hidden="false" customHeight="false" outlineLevel="0" collapsed="false">
      <c r="A162" s="7" t="s">
        <v>249</v>
      </c>
      <c r="B162" s="19"/>
      <c r="C162" s="19"/>
      <c r="D162" s="19"/>
      <c r="E162" s="19"/>
      <c r="F162" s="7" t="str">
        <f aca="false">IFERROR(VLOOKUP(E162,'Subject Areas Reference'!$B$4:$C$14,2,FALSE()),"")</f>
        <v/>
      </c>
      <c r="G162" s="19"/>
      <c r="H162" s="19"/>
    </row>
    <row r="163" customFormat="false" ht="23.85" hidden="false" customHeight="false" outlineLevel="0" collapsed="false">
      <c r="A163" s="4" t="s">
        <v>250</v>
      </c>
      <c r="B163" s="20"/>
      <c r="C163" s="20"/>
      <c r="D163" s="20"/>
      <c r="E163" s="20"/>
      <c r="F163" s="4" t="str">
        <f aca="false">IFERROR(VLOOKUP(E163,'Subject Areas Reference'!$B$4:$C$14,2,FALSE()),"")</f>
        <v/>
      </c>
      <c r="G163" s="20"/>
      <c r="H163" s="20"/>
    </row>
    <row r="164" customFormat="false" ht="23.85" hidden="false" customHeight="false" outlineLevel="0" collapsed="false">
      <c r="A164" s="7" t="s">
        <v>251</v>
      </c>
      <c r="B164" s="19"/>
      <c r="C164" s="19"/>
      <c r="D164" s="19"/>
      <c r="E164" s="19"/>
      <c r="F164" s="7" t="str">
        <f aca="false">IFERROR(VLOOKUP(E164,'Subject Areas Reference'!$B$4:$C$14,2,FALSE()),"")</f>
        <v/>
      </c>
      <c r="G164" s="19"/>
      <c r="H164" s="19"/>
    </row>
    <row r="165" customFormat="false" ht="23.85" hidden="false" customHeight="false" outlineLevel="0" collapsed="false">
      <c r="A165" s="4" t="s">
        <v>252</v>
      </c>
      <c r="B165" s="20"/>
      <c r="C165" s="20"/>
      <c r="D165" s="20"/>
      <c r="E165" s="20"/>
      <c r="F165" s="4" t="str">
        <f aca="false">IFERROR(VLOOKUP(E165,'Subject Areas Reference'!$B$4:$C$14,2,FALSE()),"")</f>
        <v/>
      </c>
      <c r="G165" s="20"/>
      <c r="H165" s="20"/>
    </row>
    <row r="166" customFormat="false" ht="23.85" hidden="false" customHeight="false" outlineLevel="0" collapsed="false">
      <c r="A166" s="7" t="s">
        <v>253</v>
      </c>
      <c r="B166" s="19"/>
      <c r="C166" s="19"/>
      <c r="D166" s="19"/>
      <c r="E166" s="19"/>
      <c r="F166" s="7" t="str">
        <f aca="false">IFERROR(VLOOKUP(E166,'Subject Areas Reference'!$B$4:$C$14,2,FALSE()),"")</f>
        <v/>
      </c>
      <c r="G166" s="19"/>
      <c r="H166" s="19"/>
    </row>
    <row r="167" customFormat="false" ht="23.85" hidden="false" customHeight="false" outlineLevel="0" collapsed="false">
      <c r="A167" s="4" t="s">
        <v>254</v>
      </c>
      <c r="B167" s="20"/>
      <c r="C167" s="20"/>
      <c r="D167" s="20"/>
      <c r="E167" s="20"/>
      <c r="F167" s="4" t="str">
        <f aca="false">IFERROR(VLOOKUP(E167,'Subject Areas Reference'!$B$4:$C$14,2,FALSE()),"")</f>
        <v/>
      </c>
      <c r="G167" s="20"/>
      <c r="H167" s="20"/>
    </row>
    <row r="168" customFormat="false" ht="23.85" hidden="false" customHeight="false" outlineLevel="0" collapsed="false">
      <c r="A168" s="7" t="s">
        <v>255</v>
      </c>
      <c r="B168" s="19"/>
      <c r="C168" s="19"/>
      <c r="D168" s="19"/>
      <c r="E168" s="19"/>
      <c r="F168" s="7" t="str">
        <f aca="false">IFERROR(VLOOKUP(E168,'Subject Areas Reference'!$B$4:$C$14,2,FALSE()),"")</f>
        <v/>
      </c>
      <c r="G168" s="19"/>
      <c r="H168" s="19"/>
    </row>
    <row r="169" customFormat="false" ht="23.85" hidden="false" customHeight="false" outlineLevel="0" collapsed="false">
      <c r="A169" s="4" t="s">
        <v>256</v>
      </c>
      <c r="B169" s="20"/>
      <c r="C169" s="20"/>
      <c r="D169" s="20"/>
      <c r="E169" s="20"/>
      <c r="F169" s="4" t="str">
        <f aca="false">IFERROR(VLOOKUP(E169,'Subject Areas Reference'!$B$4:$C$14,2,FALSE()),"")</f>
        <v/>
      </c>
      <c r="G169" s="20"/>
      <c r="H169" s="20"/>
    </row>
    <row r="170" customFormat="false" ht="23.85" hidden="false" customHeight="false" outlineLevel="0" collapsed="false">
      <c r="A170" s="7" t="s">
        <v>257</v>
      </c>
      <c r="B170" s="19"/>
      <c r="C170" s="19"/>
      <c r="D170" s="19"/>
      <c r="E170" s="19"/>
      <c r="F170" s="7" t="str">
        <f aca="false">IFERROR(VLOOKUP(E170,'Subject Areas Reference'!$B$4:$C$14,2,FALSE()),"")</f>
        <v/>
      </c>
      <c r="G170" s="19"/>
      <c r="H170" s="19"/>
    </row>
    <row r="171" customFormat="false" ht="23.85" hidden="false" customHeight="false" outlineLevel="0" collapsed="false">
      <c r="A171" s="4" t="s">
        <v>258</v>
      </c>
      <c r="B171" s="20"/>
      <c r="C171" s="20"/>
      <c r="D171" s="20"/>
      <c r="E171" s="20"/>
      <c r="F171" s="4" t="str">
        <f aca="false">IFERROR(VLOOKUP(E171,'Subject Areas Reference'!$B$4:$C$14,2,FALSE()),"")</f>
        <v/>
      </c>
      <c r="G171" s="20"/>
      <c r="H171" s="20"/>
    </row>
    <row r="172" customFormat="false" ht="23.85" hidden="false" customHeight="false" outlineLevel="0" collapsed="false">
      <c r="A172" s="7" t="s">
        <v>259</v>
      </c>
      <c r="B172" s="19"/>
      <c r="C172" s="19"/>
      <c r="D172" s="19"/>
      <c r="E172" s="19"/>
      <c r="F172" s="7" t="str">
        <f aca="false">IFERROR(VLOOKUP(E172,'Subject Areas Reference'!$B$4:$C$14,2,FALSE()),"")</f>
        <v/>
      </c>
      <c r="G172" s="19"/>
      <c r="H172" s="19"/>
    </row>
    <row r="173" customFormat="false" ht="23.85" hidden="false" customHeight="false" outlineLevel="0" collapsed="false">
      <c r="A173" s="4" t="s">
        <v>260</v>
      </c>
      <c r="B173" s="20"/>
      <c r="C173" s="20"/>
      <c r="D173" s="20"/>
      <c r="E173" s="20"/>
      <c r="F173" s="4" t="str">
        <f aca="false">IFERROR(VLOOKUP(E173,'Subject Areas Reference'!$B$4:$C$14,2,FALSE()),"")</f>
        <v/>
      </c>
      <c r="G173" s="20"/>
      <c r="H173" s="20"/>
    </row>
    <row r="174" customFormat="false" ht="23.85" hidden="false" customHeight="false" outlineLevel="0" collapsed="false">
      <c r="A174" s="7" t="s">
        <v>261</v>
      </c>
      <c r="B174" s="19"/>
      <c r="C174" s="19"/>
      <c r="D174" s="19"/>
      <c r="E174" s="19"/>
      <c r="F174" s="7" t="str">
        <f aca="false">IFERROR(VLOOKUP(E174,'Subject Areas Reference'!$B$4:$C$14,2,FALSE()),"")</f>
        <v/>
      </c>
      <c r="G174" s="19"/>
      <c r="H174" s="19"/>
    </row>
    <row r="175" customFormat="false" ht="23.85" hidden="false" customHeight="false" outlineLevel="0" collapsed="false">
      <c r="A175" s="4" t="s">
        <v>262</v>
      </c>
      <c r="B175" s="20"/>
      <c r="C175" s="20"/>
      <c r="D175" s="20"/>
      <c r="E175" s="20"/>
      <c r="F175" s="4" t="str">
        <f aca="false">IFERROR(VLOOKUP(E175,'Subject Areas Reference'!$B$4:$C$14,2,FALSE()),"")</f>
        <v/>
      </c>
      <c r="G175" s="20"/>
      <c r="H175" s="20"/>
    </row>
    <row r="176" customFormat="false" ht="23.85" hidden="false" customHeight="false" outlineLevel="0" collapsed="false">
      <c r="A176" s="7" t="s">
        <v>263</v>
      </c>
      <c r="B176" s="19"/>
      <c r="C176" s="19"/>
      <c r="D176" s="19"/>
      <c r="E176" s="19"/>
      <c r="F176" s="7" t="str">
        <f aca="false">IFERROR(VLOOKUP(E176,'Subject Areas Reference'!$B$4:$C$14,2,FALSE()),"")</f>
        <v/>
      </c>
      <c r="G176" s="19"/>
      <c r="H176" s="19"/>
    </row>
    <row r="177" customFormat="false" ht="23.85" hidden="false" customHeight="false" outlineLevel="0" collapsed="false">
      <c r="A177" s="4" t="s">
        <v>264</v>
      </c>
      <c r="B177" s="20"/>
      <c r="C177" s="20"/>
      <c r="D177" s="20"/>
      <c r="E177" s="20"/>
      <c r="F177" s="4" t="str">
        <f aca="false">IFERROR(VLOOKUP(E177,'Subject Areas Reference'!$B$4:$C$14,2,FALSE()),"")</f>
        <v/>
      </c>
      <c r="G177" s="20"/>
      <c r="H177" s="20"/>
    </row>
    <row r="178" customFormat="false" ht="23.85" hidden="false" customHeight="false" outlineLevel="0" collapsed="false">
      <c r="A178" s="7" t="s">
        <v>265</v>
      </c>
      <c r="B178" s="19"/>
      <c r="C178" s="19"/>
      <c r="D178" s="19"/>
      <c r="E178" s="19"/>
      <c r="F178" s="7" t="str">
        <f aca="false">IFERROR(VLOOKUP(E178,'Subject Areas Reference'!$B$4:$C$14,2,FALSE()),"")</f>
        <v/>
      </c>
      <c r="G178" s="19"/>
      <c r="H178" s="19"/>
    </row>
    <row r="179" customFormat="false" ht="23.85" hidden="false" customHeight="false" outlineLevel="0" collapsed="false">
      <c r="A179" s="4" t="s">
        <v>266</v>
      </c>
      <c r="B179" s="20"/>
      <c r="C179" s="20"/>
      <c r="D179" s="20"/>
      <c r="E179" s="20"/>
      <c r="F179" s="4" t="str">
        <f aca="false">IFERROR(VLOOKUP(E179,'Subject Areas Reference'!$B$4:$C$14,2,FALSE()),"")</f>
        <v/>
      </c>
      <c r="G179" s="20"/>
      <c r="H179" s="20"/>
    </row>
    <row r="180" customFormat="false" ht="23.85" hidden="false" customHeight="false" outlineLevel="0" collapsed="false">
      <c r="A180" s="7" t="s">
        <v>267</v>
      </c>
      <c r="B180" s="19"/>
      <c r="C180" s="19"/>
      <c r="D180" s="19"/>
      <c r="E180" s="19"/>
      <c r="F180" s="7" t="str">
        <f aca="false">IFERROR(VLOOKUP(E180,'Subject Areas Reference'!$B$4:$C$14,2,FALSE()),"")</f>
        <v/>
      </c>
      <c r="G180" s="19"/>
      <c r="H180" s="19"/>
    </row>
    <row r="181" customFormat="false" ht="23.85" hidden="false" customHeight="false" outlineLevel="0" collapsed="false">
      <c r="A181" s="4" t="s">
        <v>268</v>
      </c>
      <c r="B181" s="20"/>
      <c r="C181" s="20"/>
      <c r="D181" s="20"/>
      <c r="E181" s="20"/>
      <c r="F181" s="4" t="str">
        <f aca="false">IFERROR(VLOOKUP(E181,'Subject Areas Reference'!$B$4:$C$14,2,FALSE()),"")</f>
        <v/>
      </c>
      <c r="G181" s="20"/>
      <c r="H181" s="20"/>
    </row>
    <row r="182" customFormat="false" ht="23.85" hidden="false" customHeight="false" outlineLevel="0" collapsed="false">
      <c r="A182" s="7" t="s">
        <v>269</v>
      </c>
      <c r="B182" s="19"/>
      <c r="C182" s="19"/>
      <c r="D182" s="19"/>
      <c r="E182" s="19"/>
      <c r="F182" s="7" t="str">
        <f aca="false">IFERROR(VLOOKUP(E182,'Subject Areas Reference'!$B$4:$C$14,2,FALSE()),"")</f>
        <v/>
      </c>
      <c r="G182" s="19"/>
      <c r="H182" s="19"/>
    </row>
    <row r="183" customFormat="false" ht="23.85" hidden="false" customHeight="false" outlineLevel="0" collapsed="false">
      <c r="A183" s="4" t="s">
        <v>270</v>
      </c>
      <c r="B183" s="20"/>
      <c r="C183" s="20"/>
      <c r="D183" s="20"/>
      <c r="E183" s="20"/>
      <c r="F183" s="4" t="str">
        <f aca="false">IFERROR(VLOOKUP(E183,'Subject Areas Reference'!$B$4:$C$14,2,FALSE()),"")</f>
        <v/>
      </c>
      <c r="G183" s="20"/>
      <c r="H183" s="20"/>
    </row>
    <row r="184" customFormat="false" ht="23.85" hidden="false" customHeight="false" outlineLevel="0" collapsed="false">
      <c r="A184" s="7" t="s">
        <v>271</v>
      </c>
      <c r="B184" s="19"/>
      <c r="C184" s="19"/>
      <c r="D184" s="19"/>
      <c r="E184" s="19"/>
      <c r="F184" s="7" t="str">
        <f aca="false">IFERROR(VLOOKUP(E184,'Subject Areas Reference'!$B$4:$C$14,2,FALSE()),"")</f>
        <v/>
      </c>
      <c r="G184" s="19"/>
      <c r="H184" s="19"/>
    </row>
    <row r="185" customFormat="false" ht="23.85" hidden="false" customHeight="false" outlineLevel="0" collapsed="false">
      <c r="A185" s="4" t="s">
        <v>272</v>
      </c>
      <c r="B185" s="20"/>
      <c r="C185" s="20"/>
      <c r="D185" s="20"/>
      <c r="E185" s="20"/>
      <c r="F185" s="4" t="str">
        <f aca="false">IFERROR(VLOOKUP(E185,'Subject Areas Reference'!$B$4:$C$14,2,FALSE()),"")</f>
        <v/>
      </c>
      <c r="G185" s="20"/>
      <c r="H185" s="20"/>
    </row>
    <row r="186" customFormat="false" ht="23.85" hidden="false" customHeight="false" outlineLevel="0" collapsed="false">
      <c r="A186" s="7" t="s">
        <v>273</v>
      </c>
      <c r="B186" s="19"/>
      <c r="C186" s="19"/>
      <c r="D186" s="19"/>
      <c r="E186" s="19"/>
      <c r="F186" s="7" t="str">
        <f aca="false">IFERROR(VLOOKUP(E186,'Subject Areas Reference'!$B$4:$C$14,2,FALSE()),"")</f>
        <v/>
      </c>
      <c r="G186" s="19"/>
      <c r="H186" s="19"/>
    </row>
    <row r="187" customFormat="false" ht="23.85" hidden="false" customHeight="false" outlineLevel="0" collapsed="false">
      <c r="A187" s="4" t="s">
        <v>274</v>
      </c>
      <c r="B187" s="20"/>
      <c r="C187" s="20"/>
      <c r="D187" s="20"/>
      <c r="E187" s="20"/>
      <c r="F187" s="4" t="str">
        <f aca="false">IFERROR(VLOOKUP(E187,'Subject Areas Reference'!$B$4:$C$14,2,FALSE()),"")</f>
        <v/>
      </c>
      <c r="G187" s="20"/>
      <c r="H187" s="20"/>
    </row>
    <row r="188" customFormat="false" ht="23.85" hidden="false" customHeight="false" outlineLevel="0" collapsed="false">
      <c r="A188" s="7" t="s">
        <v>275</v>
      </c>
      <c r="B188" s="19"/>
      <c r="C188" s="19"/>
      <c r="D188" s="19"/>
      <c r="E188" s="19"/>
      <c r="F188" s="7" t="str">
        <f aca="false">IFERROR(VLOOKUP(E188,'Subject Areas Reference'!$B$4:$C$14,2,FALSE()),"")</f>
        <v/>
      </c>
      <c r="G188" s="19"/>
      <c r="H188" s="19"/>
    </row>
    <row r="189" customFormat="false" ht="23.85" hidden="false" customHeight="false" outlineLevel="0" collapsed="false">
      <c r="A189" s="4" t="s">
        <v>276</v>
      </c>
      <c r="B189" s="20"/>
      <c r="C189" s="20"/>
      <c r="D189" s="20"/>
      <c r="E189" s="20"/>
      <c r="F189" s="4" t="str">
        <f aca="false">IFERROR(VLOOKUP(E189,'Subject Areas Reference'!$B$4:$C$14,2,FALSE()),"")</f>
        <v/>
      </c>
      <c r="G189" s="20"/>
      <c r="H189" s="20"/>
    </row>
    <row r="190" customFormat="false" ht="23.85" hidden="false" customHeight="false" outlineLevel="0" collapsed="false">
      <c r="A190" s="7" t="s">
        <v>277</v>
      </c>
      <c r="B190" s="19"/>
      <c r="C190" s="19"/>
      <c r="D190" s="19"/>
      <c r="E190" s="19"/>
      <c r="F190" s="7" t="str">
        <f aca="false">IFERROR(VLOOKUP(E190,'Subject Areas Reference'!$B$4:$C$14,2,FALSE()),"")</f>
        <v/>
      </c>
      <c r="G190" s="19"/>
      <c r="H190" s="19"/>
    </row>
    <row r="191" customFormat="false" ht="23.85" hidden="false" customHeight="false" outlineLevel="0" collapsed="false">
      <c r="A191" s="4" t="s">
        <v>278</v>
      </c>
      <c r="B191" s="20"/>
      <c r="C191" s="20"/>
      <c r="D191" s="20"/>
      <c r="E191" s="20"/>
      <c r="F191" s="4" t="str">
        <f aca="false">IFERROR(VLOOKUP(E191,'Subject Areas Reference'!$B$4:$C$14,2,FALSE()),"")</f>
        <v/>
      </c>
      <c r="G191" s="20"/>
      <c r="H191" s="20"/>
    </row>
    <row r="192" customFormat="false" ht="23.85" hidden="false" customHeight="false" outlineLevel="0" collapsed="false">
      <c r="A192" s="7" t="s">
        <v>279</v>
      </c>
      <c r="B192" s="19"/>
      <c r="C192" s="19"/>
      <c r="D192" s="19"/>
      <c r="E192" s="19"/>
      <c r="F192" s="7" t="str">
        <f aca="false">IFERROR(VLOOKUP(E192,'Subject Areas Reference'!$B$4:$C$14,2,FALSE()),"")</f>
        <v/>
      </c>
      <c r="G192" s="19"/>
      <c r="H192" s="19"/>
    </row>
    <row r="193" customFormat="false" ht="23.85" hidden="false" customHeight="false" outlineLevel="0" collapsed="false">
      <c r="A193" s="4" t="s">
        <v>280</v>
      </c>
      <c r="B193" s="20"/>
      <c r="C193" s="20"/>
      <c r="D193" s="20"/>
      <c r="E193" s="20"/>
      <c r="F193" s="4" t="str">
        <f aca="false">IFERROR(VLOOKUP(E193,'Subject Areas Reference'!$B$4:$C$14,2,FALSE()),"")</f>
        <v/>
      </c>
      <c r="G193" s="20"/>
      <c r="H193" s="20"/>
    </row>
    <row r="194" customFormat="false" ht="23.85" hidden="false" customHeight="false" outlineLevel="0" collapsed="false">
      <c r="A194" s="7" t="s">
        <v>281</v>
      </c>
      <c r="B194" s="19"/>
      <c r="C194" s="19"/>
      <c r="D194" s="19"/>
      <c r="E194" s="19"/>
      <c r="F194" s="7" t="str">
        <f aca="false">IFERROR(VLOOKUP(E194,'Subject Areas Reference'!$B$4:$C$14,2,FALSE()),"")</f>
        <v/>
      </c>
      <c r="G194" s="19"/>
      <c r="H194" s="19"/>
    </row>
    <row r="195" customFormat="false" ht="23.85" hidden="false" customHeight="false" outlineLevel="0" collapsed="false">
      <c r="A195" s="4" t="s">
        <v>282</v>
      </c>
      <c r="B195" s="20"/>
      <c r="C195" s="20"/>
      <c r="D195" s="20"/>
      <c r="E195" s="20"/>
      <c r="F195" s="4" t="str">
        <f aca="false">IFERROR(VLOOKUP(E195,'Subject Areas Reference'!$B$4:$C$14,2,FALSE()),"")</f>
        <v/>
      </c>
      <c r="G195" s="20"/>
      <c r="H195" s="20"/>
    </row>
    <row r="196" customFormat="false" ht="23.85" hidden="false" customHeight="false" outlineLevel="0" collapsed="false">
      <c r="A196" s="7" t="s">
        <v>283</v>
      </c>
      <c r="B196" s="19"/>
      <c r="C196" s="19"/>
      <c r="D196" s="19"/>
      <c r="E196" s="19"/>
      <c r="F196" s="7" t="str">
        <f aca="false">IFERROR(VLOOKUP(E196,'Subject Areas Reference'!$B$4:$C$14,2,FALSE()),"")</f>
        <v/>
      </c>
      <c r="G196" s="19"/>
      <c r="H196" s="19"/>
    </row>
    <row r="197" customFormat="false" ht="23.85" hidden="false" customHeight="false" outlineLevel="0" collapsed="false">
      <c r="A197" s="4" t="s">
        <v>284</v>
      </c>
      <c r="B197" s="20"/>
      <c r="C197" s="20"/>
      <c r="D197" s="20"/>
      <c r="E197" s="20"/>
      <c r="F197" s="4" t="str">
        <f aca="false">IFERROR(VLOOKUP(E197,'Subject Areas Reference'!$B$4:$C$14,2,FALSE()),"")</f>
        <v/>
      </c>
      <c r="G197" s="20"/>
      <c r="H197" s="20"/>
    </row>
    <row r="198" customFormat="false" ht="23.85" hidden="false" customHeight="false" outlineLevel="0" collapsed="false">
      <c r="A198" s="7" t="s">
        <v>285</v>
      </c>
      <c r="B198" s="19"/>
      <c r="C198" s="19"/>
      <c r="D198" s="19"/>
      <c r="E198" s="19"/>
      <c r="F198" s="7" t="str">
        <f aca="false">IFERROR(VLOOKUP(E198,'Subject Areas Reference'!$B$4:$C$14,2,FALSE()),"")</f>
        <v/>
      </c>
      <c r="G198" s="19"/>
      <c r="H198" s="19"/>
    </row>
    <row r="199" customFormat="false" ht="23.85" hidden="false" customHeight="false" outlineLevel="0" collapsed="false">
      <c r="A199" s="4" t="s">
        <v>286</v>
      </c>
      <c r="B199" s="20"/>
      <c r="C199" s="20"/>
      <c r="D199" s="20"/>
      <c r="E199" s="20"/>
      <c r="F199" s="4" t="str">
        <f aca="false">IFERROR(VLOOKUP(E199,'Subject Areas Reference'!$B$4:$C$14,2,FALSE()),"")</f>
        <v/>
      </c>
      <c r="G199" s="20"/>
      <c r="H199" s="20"/>
    </row>
    <row r="200" customFormat="false" ht="23.85" hidden="false" customHeight="false" outlineLevel="0" collapsed="false">
      <c r="A200" s="7" t="s">
        <v>287</v>
      </c>
      <c r="B200" s="19"/>
      <c r="C200" s="19"/>
      <c r="D200" s="19"/>
      <c r="E200" s="19"/>
      <c r="F200" s="7" t="str">
        <f aca="false">IFERROR(VLOOKUP(E200,'Subject Areas Reference'!$B$4:$C$14,2,FALSE()),"")</f>
        <v/>
      </c>
      <c r="G200" s="19"/>
      <c r="H200" s="19"/>
    </row>
    <row r="201" customFormat="false" ht="23.85" hidden="false" customHeight="false" outlineLevel="0" collapsed="false">
      <c r="A201" s="4" t="s">
        <v>288</v>
      </c>
      <c r="B201" s="20"/>
      <c r="C201" s="20"/>
      <c r="D201" s="20"/>
      <c r="E201" s="20"/>
      <c r="F201" s="4" t="str">
        <f aca="false">IFERROR(VLOOKUP(E201,'Subject Areas Reference'!$B$4:$C$14,2,FALSE()),"")</f>
        <v/>
      </c>
      <c r="G201" s="20"/>
      <c r="H201" s="20"/>
    </row>
    <row r="202" customFormat="false" ht="23.85" hidden="false" customHeight="false" outlineLevel="0" collapsed="false">
      <c r="A202" s="7" t="s">
        <v>289</v>
      </c>
      <c r="B202" s="19"/>
      <c r="C202" s="19"/>
      <c r="D202" s="19"/>
      <c r="E202" s="19"/>
      <c r="F202" s="7" t="str">
        <f aca="false">IFERROR(VLOOKUP(E202,'Subject Areas Reference'!$B$4:$C$14,2,FALSE()),"")</f>
        <v/>
      </c>
      <c r="G202" s="19"/>
      <c r="H202" s="19"/>
    </row>
    <row r="203" customFormat="false" ht="23.85" hidden="false" customHeight="false" outlineLevel="0" collapsed="false">
      <c r="A203" s="4" t="s">
        <v>290</v>
      </c>
      <c r="B203" s="20"/>
      <c r="C203" s="20"/>
      <c r="D203" s="20"/>
      <c r="E203" s="20"/>
      <c r="F203" s="4" t="str">
        <f aca="false">IFERROR(VLOOKUP(E203,'Subject Areas Reference'!$B$4:$C$14,2,FALSE()),"")</f>
        <v/>
      </c>
      <c r="G203" s="20"/>
      <c r="H203" s="2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H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3.75" hidden="false" customHeight="true" outlineLevel="0" collapsed="false">
      <c r="A1" s="21" t="s">
        <v>291</v>
      </c>
      <c r="B1" s="21"/>
      <c r="C1" s="21"/>
      <c r="D1" s="21"/>
      <c r="E1" s="21"/>
      <c r="F1" s="21"/>
      <c r="G1" s="21"/>
      <c r="H1" s="21"/>
    </row>
    <row r="2" customFormat="false" ht="25.5" hidden="false" customHeight="true" outlineLevel="0" collapsed="false">
      <c r="A2" s="22" t="s">
        <v>292</v>
      </c>
      <c r="B2" s="22"/>
      <c r="C2" s="22"/>
      <c r="D2" s="22"/>
      <c r="E2" s="22"/>
      <c r="F2" s="22"/>
      <c r="G2" s="22"/>
      <c r="H2" s="22"/>
    </row>
    <row r="3" customFormat="false" ht="23.85" hidden="false" customHeight="false" outlineLevel="0" collapsed="false">
      <c r="A3" s="23" t="s">
        <v>83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</row>
    <row r="4" customFormat="false" ht="23.85" hidden="false" customHeight="false" outlineLevel="0" collapsed="false">
      <c r="A4" s="7" t="s">
        <v>293</v>
      </c>
      <c r="B4" s="19"/>
      <c r="C4" s="19"/>
      <c r="D4" s="19"/>
      <c r="E4" s="19"/>
      <c r="F4" s="7" t="str">
        <f aca="false">IFERROR(VLOOKUP(E4,'Subject Areas Reference'!$B$4:$C$14,2,FALSE()),"")</f>
        <v/>
      </c>
      <c r="G4" s="19"/>
      <c r="H4" s="19"/>
    </row>
    <row r="5" customFormat="false" ht="23.85" hidden="false" customHeight="false" outlineLevel="0" collapsed="false">
      <c r="A5" s="4" t="s">
        <v>294</v>
      </c>
      <c r="B5" s="20"/>
      <c r="C5" s="20"/>
      <c r="D5" s="20"/>
      <c r="E5" s="20"/>
      <c r="F5" s="4" t="str">
        <f aca="false">IFERROR(VLOOKUP(E5,'Subject Areas Reference'!$B$4:$C$14,2,FALSE()),"")</f>
        <v/>
      </c>
      <c r="G5" s="20"/>
      <c r="H5" s="20"/>
    </row>
    <row r="6" customFormat="false" ht="23.85" hidden="false" customHeight="false" outlineLevel="0" collapsed="false">
      <c r="A6" s="7" t="s">
        <v>295</v>
      </c>
      <c r="B6" s="19"/>
      <c r="C6" s="19"/>
      <c r="D6" s="19"/>
      <c r="E6" s="19"/>
      <c r="F6" s="7" t="str">
        <f aca="false">IFERROR(VLOOKUP(E6,'Subject Areas Reference'!$B$4:$C$14,2,FALSE()),"")</f>
        <v/>
      </c>
      <c r="G6" s="19"/>
      <c r="H6" s="19"/>
    </row>
    <row r="7" customFormat="false" ht="23.85" hidden="false" customHeight="false" outlineLevel="0" collapsed="false">
      <c r="A7" s="4" t="s">
        <v>296</v>
      </c>
      <c r="B7" s="20"/>
      <c r="C7" s="20"/>
      <c r="D7" s="20"/>
      <c r="E7" s="20"/>
      <c r="F7" s="4" t="str">
        <f aca="false">IFERROR(VLOOKUP(E7,'Subject Areas Reference'!$B$4:$C$14,2,FALSE()),"")</f>
        <v/>
      </c>
      <c r="G7" s="20"/>
      <c r="H7" s="20"/>
    </row>
    <row r="8" customFormat="false" ht="23.85" hidden="false" customHeight="false" outlineLevel="0" collapsed="false">
      <c r="A8" s="7" t="s">
        <v>297</v>
      </c>
      <c r="B8" s="19"/>
      <c r="C8" s="19"/>
      <c r="D8" s="19"/>
      <c r="E8" s="19"/>
      <c r="F8" s="7" t="str">
        <f aca="false">IFERROR(VLOOKUP(E8,'Subject Areas Reference'!$B$4:$C$14,2,FALSE()),"")</f>
        <v/>
      </c>
      <c r="G8" s="19"/>
      <c r="H8" s="19"/>
    </row>
    <row r="9" customFormat="false" ht="23.85" hidden="false" customHeight="false" outlineLevel="0" collapsed="false">
      <c r="A9" s="4" t="s">
        <v>298</v>
      </c>
      <c r="B9" s="20"/>
      <c r="C9" s="20"/>
      <c r="D9" s="20"/>
      <c r="E9" s="20"/>
      <c r="F9" s="4" t="str">
        <f aca="false">IFERROR(VLOOKUP(E9,'Subject Areas Reference'!$B$4:$C$14,2,FALSE()),"")</f>
        <v/>
      </c>
      <c r="G9" s="20"/>
      <c r="H9" s="20"/>
    </row>
    <row r="10" customFormat="false" ht="23.85" hidden="false" customHeight="false" outlineLevel="0" collapsed="false">
      <c r="A10" s="7" t="s">
        <v>299</v>
      </c>
      <c r="B10" s="19"/>
      <c r="C10" s="19"/>
      <c r="D10" s="19"/>
      <c r="E10" s="19"/>
      <c r="F10" s="7" t="str">
        <f aca="false">IFERROR(VLOOKUP(E10,'Subject Areas Reference'!$B$4:$C$14,2,FALSE()),"")</f>
        <v/>
      </c>
      <c r="G10" s="19"/>
      <c r="H10" s="19"/>
    </row>
    <row r="11" customFormat="false" ht="23.85" hidden="false" customHeight="false" outlineLevel="0" collapsed="false">
      <c r="A11" s="4" t="s">
        <v>300</v>
      </c>
      <c r="B11" s="20"/>
      <c r="C11" s="20"/>
      <c r="D11" s="20"/>
      <c r="E11" s="20"/>
      <c r="F11" s="4" t="str">
        <f aca="false">IFERROR(VLOOKUP(E11,'Subject Areas Reference'!$B$4:$C$14,2,FALSE()),"")</f>
        <v/>
      </c>
      <c r="G11" s="20"/>
      <c r="H11" s="20"/>
    </row>
    <row r="12" customFormat="false" ht="23.85" hidden="false" customHeight="false" outlineLevel="0" collapsed="false">
      <c r="A12" s="7" t="s">
        <v>301</v>
      </c>
      <c r="B12" s="19"/>
      <c r="C12" s="19"/>
      <c r="D12" s="19"/>
      <c r="E12" s="19"/>
      <c r="F12" s="7" t="str">
        <f aca="false">IFERROR(VLOOKUP(E12,'Subject Areas Reference'!$B$4:$C$14,2,FALSE()),"")</f>
        <v/>
      </c>
      <c r="G12" s="19"/>
      <c r="H12" s="19"/>
    </row>
    <row r="13" customFormat="false" ht="23.85" hidden="false" customHeight="false" outlineLevel="0" collapsed="false">
      <c r="A13" s="4" t="s">
        <v>302</v>
      </c>
      <c r="B13" s="20"/>
      <c r="C13" s="20"/>
      <c r="D13" s="20"/>
      <c r="E13" s="20"/>
      <c r="F13" s="4" t="str">
        <f aca="false">IFERROR(VLOOKUP(E13,'Subject Areas Reference'!$B$4:$C$14,2,FALSE()),"")</f>
        <v/>
      </c>
      <c r="G13" s="20"/>
      <c r="H13" s="20"/>
    </row>
    <row r="14" customFormat="false" ht="23.85" hidden="false" customHeight="false" outlineLevel="0" collapsed="false">
      <c r="A14" s="7" t="s">
        <v>303</v>
      </c>
      <c r="B14" s="19"/>
      <c r="C14" s="19"/>
      <c r="D14" s="19"/>
      <c r="E14" s="19"/>
      <c r="F14" s="7" t="str">
        <f aca="false">IFERROR(VLOOKUP(E14,'Subject Areas Reference'!$B$4:$C$14,2,FALSE()),"")</f>
        <v/>
      </c>
      <c r="G14" s="19"/>
      <c r="H14" s="19"/>
    </row>
    <row r="15" customFormat="false" ht="23.85" hidden="false" customHeight="false" outlineLevel="0" collapsed="false">
      <c r="A15" s="4" t="s">
        <v>304</v>
      </c>
      <c r="B15" s="20"/>
      <c r="C15" s="20"/>
      <c r="D15" s="20"/>
      <c r="E15" s="20"/>
      <c r="F15" s="4" t="str">
        <f aca="false">IFERROR(VLOOKUP(E15,'Subject Areas Reference'!$B$4:$C$14,2,FALSE()),"")</f>
        <v/>
      </c>
      <c r="G15" s="20"/>
      <c r="H15" s="20"/>
    </row>
    <row r="16" customFormat="false" ht="23.85" hidden="false" customHeight="false" outlineLevel="0" collapsed="false">
      <c r="A16" s="7" t="s">
        <v>305</v>
      </c>
      <c r="B16" s="19"/>
      <c r="C16" s="19"/>
      <c r="D16" s="19"/>
      <c r="E16" s="19"/>
      <c r="F16" s="7" t="str">
        <f aca="false">IFERROR(VLOOKUP(E16,'Subject Areas Reference'!$B$4:$C$14,2,FALSE()),"")</f>
        <v/>
      </c>
      <c r="G16" s="19"/>
      <c r="H16" s="19"/>
    </row>
    <row r="17" customFormat="false" ht="23.85" hidden="false" customHeight="false" outlineLevel="0" collapsed="false">
      <c r="A17" s="4" t="s">
        <v>306</v>
      </c>
      <c r="B17" s="20"/>
      <c r="C17" s="20"/>
      <c r="D17" s="20"/>
      <c r="E17" s="20"/>
      <c r="F17" s="4" t="str">
        <f aca="false">IFERROR(VLOOKUP(E17,'Subject Areas Reference'!$B$4:$C$14,2,FALSE()),"")</f>
        <v/>
      </c>
      <c r="G17" s="20"/>
      <c r="H17" s="20"/>
    </row>
    <row r="18" customFormat="false" ht="23.85" hidden="false" customHeight="false" outlineLevel="0" collapsed="false">
      <c r="A18" s="7" t="s">
        <v>307</v>
      </c>
      <c r="B18" s="19"/>
      <c r="C18" s="19"/>
      <c r="D18" s="19"/>
      <c r="E18" s="19"/>
      <c r="F18" s="7" t="str">
        <f aca="false">IFERROR(VLOOKUP(E18,'Subject Areas Reference'!$B$4:$C$14,2,FALSE()),"")</f>
        <v/>
      </c>
      <c r="G18" s="19"/>
      <c r="H18" s="19"/>
    </row>
    <row r="19" customFormat="false" ht="23.85" hidden="false" customHeight="false" outlineLevel="0" collapsed="false">
      <c r="A19" s="4" t="s">
        <v>308</v>
      </c>
      <c r="B19" s="20"/>
      <c r="C19" s="20"/>
      <c r="D19" s="20"/>
      <c r="E19" s="20"/>
      <c r="F19" s="4" t="str">
        <f aca="false">IFERROR(VLOOKUP(E19,'Subject Areas Reference'!$B$4:$C$14,2,FALSE()),"")</f>
        <v/>
      </c>
      <c r="G19" s="20"/>
      <c r="H19" s="20"/>
    </row>
    <row r="20" customFormat="false" ht="23.85" hidden="false" customHeight="false" outlineLevel="0" collapsed="false">
      <c r="A20" s="7" t="s">
        <v>309</v>
      </c>
      <c r="B20" s="19"/>
      <c r="C20" s="19"/>
      <c r="D20" s="19"/>
      <c r="E20" s="19"/>
      <c r="F20" s="7" t="str">
        <f aca="false">IFERROR(VLOOKUP(E20,'Subject Areas Reference'!$B$4:$C$14,2,FALSE()),"")</f>
        <v/>
      </c>
      <c r="G20" s="19"/>
      <c r="H20" s="19"/>
    </row>
    <row r="21" customFormat="false" ht="23.85" hidden="false" customHeight="false" outlineLevel="0" collapsed="false">
      <c r="A21" s="4" t="s">
        <v>310</v>
      </c>
      <c r="B21" s="20"/>
      <c r="C21" s="20"/>
      <c r="D21" s="20"/>
      <c r="E21" s="20"/>
      <c r="F21" s="4" t="str">
        <f aca="false">IFERROR(VLOOKUP(E21,'Subject Areas Reference'!$B$4:$C$14,2,FALSE()),"")</f>
        <v/>
      </c>
      <c r="G21" s="20"/>
      <c r="H21" s="20"/>
    </row>
    <row r="22" customFormat="false" ht="23.85" hidden="false" customHeight="false" outlineLevel="0" collapsed="false">
      <c r="A22" s="7" t="s">
        <v>311</v>
      </c>
      <c r="B22" s="19"/>
      <c r="C22" s="19"/>
      <c r="D22" s="19"/>
      <c r="E22" s="19"/>
      <c r="F22" s="7" t="str">
        <f aca="false">IFERROR(VLOOKUP(E22,'Subject Areas Reference'!$B$4:$C$14,2,FALSE()),"")</f>
        <v/>
      </c>
      <c r="G22" s="19"/>
      <c r="H22" s="19"/>
    </row>
    <row r="23" customFormat="false" ht="23.85" hidden="false" customHeight="false" outlineLevel="0" collapsed="false">
      <c r="A23" s="4" t="s">
        <v>312</v>
      </c>
      <c r="B23" s="20"/>
      <c r="C23" s="20"/>
      <c r="D23" s="20"/>
      <c r="E23" s="20"/>
      <c r="F23" s="4" t="str">
        <f aca="false">IFERROR(VLOOKUP(E23,'Subject Areas Reference'!$B$4:$C$14,2,FALSE()),"")</f>
        <v/>
      </c>
      <c r="G23" s="20"/>
      <c r="H23" s="20"/>
    </row>
    <row r="24" customFormat="false" ht="23.85" hidden="false" customHeight="false" outlineLevel="0" collapsed="false">
      <c r="A24" s="7" t="s">
        <v>313</v>
      </c>
      <c r="B24" s="19"/>
      <c r="C24" s="19"/>
      <c r="D24" s="19"/>
      <c r="E24" s="19"/>
      <c r="F24" s="7" t="str">
        <f aca="false">IFERROR(VLOOKUP(E24,'Subject Areas Reference'!$B$4:$C$14,2,FALSE()),"")</f>
        <v/>
      </c>
      <c r="G24" s="19"/>
      <c r="H24" s="19"/>
    </row>
    <row r="25" customFormat="false" ht="23.85" hidden="false" customHeight="false" outlineLevel="0" collapsed="false">
      <c r="A25" s="4" t="s">
        <v>314</v>
      </c>
      <c r="B25" s="20"/>
      <c r="C25" s="20"/>
      <c r="D25" s="20"/>
      <c r="E25" s="20"/>
      <c r="F25" s="4" t="str">
        <f aca="false">IFERROR(VLOOKUP(E25,'Subject Areas Reference'!$B$4:$C$14,2,FALSE()),"")</f>
        <v/>
      </c>
      <c r="G25" s="20"/>
      <c r="H25" s="20"/>
    </row>
    <row r="26" customFormat="false" ht="23.85" hidden="false" customHeight="false" outlineLevel="0" collapsed="false">
      <c r="A26" s="7" t="s">
        <v>315</v>
      </c>
      <c r="B26" s="19"/>
      <c r="C26" s="19"/>
      <c r="D26" s="19"/>
      <c r="E26" s="19"/>
      <c r="F26" s="7" t="str">
        <f aca="false">IFERROR(VLOOKUP(E26,'Subject Areas Reference'!$B$4:$C$14,2,FALSE()),"")</f>
        <v/>
      </c>
      <c r="G26" s="19"/>
      <c r="H26" s="19"/>
    </row>
    <row r="27" customFormat="false" ht="23.85" hidden="false" customHeight="false" outlineLevel="0" collapsed="false">
      <c r="A27" s="4" t="s">
        <v>316</v>
      </c>
      <c r="B27" s="20"/>
      <c r="C27" s="20"/>
      <c r="D27" s="20"/>
      <c r="E27" s="20"/>
      <c r="F27" s="4" t="str">
        <f aca="false">IFERROR(VLOOKUP(E27,'Subject Areas Reference'!$B$4:$C$14,2,FALSE()),"")</f>
        <v/>
      </c>
      <c r="G27" s="20"/>
      <c r="H27" s="20"/>
    </row>
    <row r="28" customFormat="false" ht="23.85" hidden="false" customHeight="false" outlineLevel="0" collapsed="false">
      <c r="A28" s="7" t="s">
        <v>317</v>
      </c>
      <c r="B28" s="19"/>
      <c r="C28" s="19"/>
      <c r="D28" s="19"/>
      <c r="E28" s="19"/>
      <c r="F28" s="7" t="str">
        <f aca="false">IFERROR(VLOOKUP(E28,'Subject Areas Reference'!$B$4:$C$14,2,FALSE()),"")</f>
        <v/>
      </c>
      <c r="G28" s="19"/>
      <c r="H28" s="19"/>
    </row>
    <row r="29" customFormat="false" ht="23.85" hidden="false" customHeight="false" outlineLevel="0" collapsed="false">
      <c r="A29" s="4" t="s">
        <v>318</v>
      </c>
      <c r="B29" s="20"/>
      <c r="C29" s="20"/>
      <c r="D29" s="20"/>
      <c r="E29" s="20"/>
      <c r="F29" s="4" t="str">
        <f aca="false">IFERROR(VLOOKUP(E29,'Subject Areas Reference'!$B$4:$C$14,2,FALSE()),"")</f>
        <v/>
      </c>
      <c r="G29" s="20"/>
      <c r="H29" s="20"/>
    </row>
    <row r="30" customFormat="false" ht="23.85" hidden="false" customHeight="false" outlineLevel="0" collapsed="false">
      <c r="A30" s="7" t="s">
        <v>319</v>
      </c>
      <c r="B30" s="19"/>
      <c r="C30" s="19"/>
      <c r="D30" s="19"/>
      <c r="E30" s="19"/>
      <c r="F30" s="7" t="str">
        <f aca="false">IFERROR(VLOOKUP(E30,'Subject Areas Reference'!$B$4:$C$14,2,FALSE()),"")</f>
        <v/>
      </c>
      <c r="G30" s="19"/>
      <c r="H30" s="19"/>
    </row>
    <row r="31" customFormat="false" ht="23.85" hidden="false" customHeight="false" outlineLevel="0" collapsed="false">
      <c r="A31" s="4" t="s">
        <v>320</v>
      </c>
      <c r="B31" s="20"/>
      <c r="C31" s="20"/>
      <c r="D31" s="20"/>
      <c r="E31" s="20"/>
      <c r="F31" s="4" t="str">
        <f aca="false">IFERROR(VLOOKUP(E31,'Subject Areas Reference'!$B$4:$C$14,2,FALSE()),"")</f>
        <v/>
      </c>
      <c r="G31" s="20"/>
      <c r="H31" s="20"/>
    </row>
    <row r="32" customFormat="false" ht="23.85" hidden="false" customHeight="false" outlineLevel="0" collapsed="false">
      <c r="A32" s="7" t="s">
        <v>321</v>
      </c>
      <c r="B32" s="19"/>
      <c r="C32" s="19"/>
      <c r="D32" s="19"/>
      <c r="E32" s="19"/>
      <c r="F32" s="7" t="str">
        <f aca="false">IFERROR(VLOOKUP(E32,'Subject Areas Reference'!$B$4:$C$14,2,FALSE()),"")</f>
        <v/>
      </c>
      <c r="G32" s="19"/>
      <c r="H32" s="19"/>
    </row>
    <row r="33" customFormat="false" ht="23.85" hidden="false" customHeight="false" outlineLevel="0" collapsed="false">
      <c r="A33" s="4" t="s">
        <v>322</v>
      </c>
      <c r="B33" s="20"/>
      <c r="C33" s="20"/>
      <c r="D33" s="20"/>
      <c r="E33" s="20"/>
      <c r="F33" s="4" t="str">
        <f aca="false">IFERROR(VLOOKUP(E33,'Subject Areas Reference'!$B$4:$C$14,2,FALSE()),"")</f>
        <v/>
      </c>
      <c r="G33" s="20"/>
      <c r="H33" s="20"/>
    </row>
    <row r="34" customFormat="false" ht="23.85" hidden="false" customHeight="false" outlineLevel="0" collapsed="false">
      <c r="A34" s="7" t="s">
        <v>323</v>
      </c>
      <c r="B34" s="19"/>
      <c r="C34" s="19"/>
      <c r="D34" s="19"/>
      <c r="E34" s="19"/>
      <c r="F34" s="7" t="str">
        <f aca="false">IFERROR(VLOOKUP(E34,'Subject Areas Reference'!$B$4:$C$14,2,FALSE()),"")</f>
        <v/>
      </c>
      <c r="G34" s="19"/>
      <c r="H34" s="19"/>
    </row>
    <row r="35" customFormat="false" ht="23.85" hidden="false" customHeight="false" outlineLevel="0" collapsed="false">
      <c r="A35" s="4" t="s">
        <v>324</v>
      </c>
      <c r="B35" s="20"/>
      <c r="C35" s="20"/>
      <c r="D35" s="20"/>
      <c r="E35" s="20"/>
      <c r="F35" s="4" t="str">
        <f aca="false">IFERROR(VLOOKUP(E35,'Subject Areas Reference'!$B$4:$C$14,2,FALSE()),"")</f>
        <v/>
      </c>
      <c r="G35" s="20"/>
      <c r="H35" s="20"/>
    </row>
    <row r="36" customFormat="false" ht="23.85" hidden="false" customHeight="false" outlineLevel="0" collapsed="false">
      <c r="A36" s="7" t="s">
        <v>325</v>
      </c>
      <c r="B36" s="19"/>
      <c r="C36" s="19"/>
      <c r="D36" s="19"/>
      <c r="E36" s="19"/>
      <c r="F36" s="7" t="str">
        <f aca="false">IFERROR(VLOOKUP(E36,'Subject Areas Reference'!$B$4:$C$14,2,FALSE()),"")</f>
        <v/>
      </c>
      <c r="G36" s="19"/>
      <c r="H36" s="19"/>
    </row>
    <row r="37" customFormat="false" ht="23.85" hidden="false" customHeight="false" outlineLevel="0" collapsed="false">
      <c r="A37" s="4" t="s">
        <v>326</v>
      </c>
      <c r="B37" s="20"/>
      <c r="C37" s="20"/>
      <c r="D37" s="20"/>
      <c r="E37" s="20"/>
      <c r="F37" s="4" t="str">
        <f aca="false">IFERROR(VLOOKUP(E37,'Subject Areas Reference'!$B$4:$C$14,2,FALSE()),"")</f>
        <v/>
      </c>
      <c r="G37" s="20"/>
      <c r="H37" s="20"/>
    </row>
    <row r="38" customFormat="false" ht="23.85" hidden="false" customHeight="false" outlineLevel="0" collapsed="false">
      <c r="A38" s="7" t="s">
        <v>327</v>
      </c>
      <c r="B38" s="19"/>
      <c r="C38" s="19"/>
      <c r="D38" s="19"/>
      <c r="E38" s="19"/>
      <c r="F38" s="7" t="str">
        <f aca="false">IFERROR(VLOOKUP(E38,'Subject Areas Reference'!$B$4:$C$14,2,FALSE()),"")</f>
        <v/>
      </c>
      <c r="G38" s="19"/>
      <c r="H38" s="19"/>
    </row>
    <row r="39" customFormat="false" ht="23.85" hidden="false" customHeight="false" outlineLevel="0" collapsed="false">
      <c r="A39" s="4" t="s">
        <v>328</v>
      </c>
      <c r="B39" s="20"/>
      <c r="C39" s="20"/>
      <c r="D39" s="20"/>
      <c r="E39" s="20"/>
      <c r="F39" s="4" t="str">
        <f aca="false">IFERROR(VLOOKUP(E39,'Subject Areas Reference'!$B$4:$C$14,2,FALSE()),"")</f>
        <v/>
      </c>
      <c r="G39" s="20"/>
      <c r="H39" s="20"/>
    </row>
    <row r="40" customFormat="false" ht="23.85" hidden="false" customHeight="false" outlineLevel="0" collapsed="false">
      <c r="A40" s="7" t="s">
        <v>329</v>
      </c>
      <c r="B40" s="19"/>
      <c r="C40" s="19"/>
      <c r="D40" s="19"/>
      <c r="E40" s="19"/>
      <c r="F40" s="7" t="str">
        <f aca="false">IFERROR(VLOOKUP(E40,'Subject Areas Reference'!$B$4:$C$14,2,FALSE()),"")</f>
        <v/>
      </c>
      <c r="G40" s="19"/>
      <c r="H40" s="19"/>
    </row>
    <row r="41" customFormat="false" ht="23.85" hidden="false" customHeight="false" outlineLevel="0" collapsed="false">
      <c r="A41" s="4" t="s">
        <v>330</v>
      </c>
      <c r="B41" s="20"/>
      <c r="C41" s="20"/>
      <c r="D41" s="20"/>
      <c r="E41" s="20"/>
      <c r="F41" s="4" t="str">
        <f aca="false">IFERROR(VLOOKUP(E41,'Subject Areas Reference'!$B$4:$C$14,2,FALSE()),"")</f>
        <v/>
      </c>
      <c r="G41" s="20"/>
      <c r="H41" s="20"/>
    </row>
    <row r="42" customFormat="false" ht="23.85" hidden="false" customHeight="false" outlineLevel="0" collapsed="false">
      <c r="A42" s="7" t="s">
        <v>331</v>
      </c>
      <c r="B42" s="19"/>
      <c r="C42" s="19"/>
      <c r="D42" s="19"/>
      <c r="E42" s="19"/>
      <c r="F42" s="7" t="str">
        <f aca="false">IFERROR(VLOOKUP(E42,'Subject Areas Reference'!$B$4:$C$14,2,FALSE()),"")</f>
        <v/>
      </c>
      <c r="G42" s="19"/>
      <c r="H42" s="19"/>
    </row>
    <row r="43" customFormat="false" ht="23.85" hidden="false" customHeight="false" outlineLevel="0" collapsed="false">
      <c r="A43" s="4" t="s">
        <v>332</v>
      </c>
      <c r="B43" s="20"/>
      <c r="C43" s="20"/>
      <c r="D43" s="20"/>
      <c r="E43" s="20"/>
      <c r="F43" s="4" t="str">
        <f aca="false">IFERROR(VLOOKUP(E43,'Subject Areas Reference'!$B$4:$C$14,2,FALSE()),"")</f>
        <v/>
      </c>
      <c r="G43" s="20"/>
      <c r="H43" s="20"/>
    </row>
    <row r="44" customFormat="false" ht="23.85" hidden="false" customHeight="false" outlineLevel="0" collapsed="false">
      <c r="A44" s="7" t="s">
        <v>333</v>
      </c>
      <c r="B44" s="19"/>
      <c r="C44" s="19"/>
      <c r="D44" s="19"/>
      <c r="E44" s="19"/>
      <c r="F44" s="7" t="str">
        <f aca="false">IFERROR(VLOOKUP(E44,'Subject Areas Reference'!$B$4:$C$14,2,FALSE()),"")</f>
        <v/>
      </c>
      <c r="G44" s="19"/>
      <c r="H44" s="19"/>
    </row>
    <row r="45" customFormat="false" ht="23.85" hidden="false" customHeight="false" outlineLevel="0" collapsed="false">
      <c r="A45" s="4" t="s">
        <v>334</v>
      </c>
      <c r="B45" s="20"/>
      <c r="C45" s="20"/>
      <c r="D45" s="20"/>
      <c r="E45" s="20"/>
      <c r="F45" s="4" t="str">
        <f aca="false">IFERROR(VLOOKUP(E45,'Subject Areas Reference'!$B$4:$C$14,2,FALSE()),"")</f>
        <v/>
      </c>
      <c r="G45" s="20"/>
      <c r="H45" s="20"/>
    </row>
    <row r="46" customFormat="false" ht="23.85" hidden="false" customHeight="false" outlineLevel="0" collapsed="false">
      <c r="A46" s="7" t="s">
        <v>335</v>
      </c>
      <c r="B46" s="19"/>
      <c r="C46" s="19"/>
      <c r="D46" s="19"/>
      <c r="E46" s="19"/>
      <c r="F46" s="7" t="str">
        <f aca="false">IFERROR(VLOOKUP(E46,'Subject Areas Reference'!$B$4:$C$14,2,FALSE()),"")</f>
        <v/>
      </c>
      <c r="G46" s="19"/>
      <c r="H46" s="19"/>
    </row>
    <row r="47" customFormat="false" ht="23.85" hidden="false" customHeight="false" outlineLevel="0" collapsed="false">
      <c r="A47" s="4" t="s">
        <v>336</v>
      </c>
      <c r="B47" s="20"/>
      <c r="C47" s="20"/>
      <c r="D47" s="20"/>
      <c r="E47" s="20"/>
      <c r="F47" s="4" t="str">
        <f aca="false">IFERROR(VLOOKUP(E47,'Subject Areas Reference'!$B$4:$C$14,2,FALSE()),"")</f>
        <v/>
      </c>
      <c r="G47" s="20"/>
      <c r="H47" s="20"/>
    </row>
    <row r="48" customFormat="false" ht="23.85" hidden="false" customHeight="false" outlineLevel="0" collapsed="false">
      <c r="A48" s="7" t="s">
        <v>337</v>
      </c>
      <c r="B48" s="19"/>
      <c r="C48" s="19"/>
      <c r="D48" s="19"/>
      <c r="E48" s="19"/>
      <c r="F48" s="7" t="str">
        <f aca="false">IFERROR(VLOOKUP(E48,'Subject Areas Reference'!$B$4:$C$14,2,FALSE()),"")</f>
        <v/>
      </c>
      <c r="G48" s="19"/>
      <c r="H48" s="19"/>
    </row>
    <row r="49" customFormat="false" ht="23.85" hidden="false" customHeight="false" outlineLevel="0" collapsed="false">
      <c r="A49" s="4" t="s">
        <v>338</v>
      </c>
      <c r="B49" s="20"/>
      <c r="C49" s="20"/>
      <c r="D49" s="20"/>
      <c r="E49" s="20"/>
      <c r="F49" s="4" t="str">
        <f aca="false">IFERROR(VLOOKUP(E49,'Subject Areas Reference'!$B$4:$C$14,2,FALSE()),"")</f>
        <v/>
      </c>
      <c r="G49" s="20"/>
      <c r="H49" s="20"/>
    </row>
    <row r="50" customFormat="false" ht="23.85" hidden="false" customHeight="false" outlineLevel="0" collapsed="false">
      <c r="A50" s="7" t="s">
        <v>339</v>
      </c>
      <c r="B50" s="19"/>
      <c r="C50" s="19"/>
      <c r="D50" s="19"/>
      <c r="E50" s="19"/>
      <c r="F50" s="7" t="str">
        <f aca="false">IFERROR(VLOOKUP(E50,'Subject Areas Reference'!$B$4:$C$14,2,FALSE()),"")</f>
        <v/>
      </c>
      <c r="G50" s="19"/>
      <c r="H50" s="19"/>
    </row>
    <row r="51" customFormat="false" ht="23.85" hidden="false" customHeight="false" outlineLevel="0" collapsed="false">
      <c r="A51" s="4" t="s">
        <v>340</v>
      </c>
      <c r="B51" s="20"/>
      <c r="C51" s="20"/>
      <c r="D51" s="20"/>
      <c r="E51" s="20"/>
      <c r="F51" s="4" t="str">
        <f aca="false">IFERROR(VLOOKUP(E51,'Subject Areas Reference'!$B$4:$C$14,2,FALSE()),"")</f>
        <v/>
      </c>
      <c r="G51" s="20"/>
      <c r="H51" s="20"/>
    </row>
    <row r="52" customFormat="false" ht="23.85" hidden="false" customHeight="false" outlineLevel="0" collapsed="false">
      <c r="A52" s="7" t="s">
        <v>341</v>
      </c>
      <c r="B52" s="19"/>
      <c r="C52" s="19"/>
      <c r="D52" s="19"/>
      <c r="E52" s="19"/>
      <c r="F52" s="7" t="str">
        <f aca="false">IFERROR(VLOOKUP(E52,'Subject Areas Reference'!$B$4:$C$14,2,FALSE()),"")</f>
        <v/>
      </c>
      <c r="G52" s="19"/>
      <c r="H52" s="19"/>
    </row>
    <row r="53" customFormat="false" ht="23.85" hidden="false" customHeight="false" outlineLevel="0" collapsed="false">
      <c r="A53" s="4" t="s">
        <v>342</v>
      </c>
      <c r="B53" s="20"/>
      <c r="C53" s="20"/>
      <c r="D53" s="20"/>
      <c r="E53" s="20"/>
      <c r="F53" s="4" t="str">
        <f aca="false">IFERROR(VLOOKUP(E53,'Subject Areas Reference'!$B$4:$C$14,2,FALSE()),"")</f>
        <v/>
      </c>
      <c r="G53" s="20"/>
      <c r="H53" s="20"/>
    </row>
    <row r="54" customFormat="false" ht="23.85" hidden="false" customHeight="false" outlineLevel="0" collapsed="false">
      <c r="A54" s="7" t="s">
        <v>343</v>
      </c>
      <c r="B54" s="19"/>
      <c r="C54" s="19"/>
      <c r="D54" s="19"/>
      <c r="E54" s="19"/>
      <c r="F54" s="7" t="str">
        <f aca="false">IFERROR(VLOOKUP(E54,'Subject Areas Reference'!$B$4:$C$14,2,FALSE()),"")</f>
        <v/>
      </c>
      <c r="G54" s="19"/>
      <c r="H54" s="19"/>
    </row>
    <row r="55" customFormat="false" ht="23.85" hidden="false" customHeight="false" outlineLevel="0" collapsed="false">
      <c r="A55" s="4" t="s">
        <v>344</v>
      </c>
      <c r="B55" s="20"/>
      <c r="C55" s="20"/>
      <c r="D55" s="20"/>
      <c r="E55" s="20"/>
      <c r="F55" s="4" t="str">
        <f aca="false">IFERROR(VLOOKUP(E55,'Subject Areas Reference'!$B$4:$C$14,2,FALSE()),"")</f>
        <v/>
      </c>
      <c r="G55" s="20"/>
      <c r="H55" s="20"/>
    </row>
    <row r="56" customFormat="false" ht="23.85" hidden="false" customHeight="false" outlineLevel="0" collapsed="false">
      <c r="A56" s="7" t="s">
        <v>345</v>
      </c>
      <c r="B56" s="19"/>
      <c r="C56" s="19"/>
      <c r="D56" s="19"/>
      <c r="E56" s="19"/>
      <c r="F56" s="7" t="str">
        <f aca="false">IFERROR(VLOOKUP(E56,'Subject Areas Reference'!$B$4:$C$14,2,FALSE()),"")</f>
        <v/>
      </c>
      <c r="G56" s="19"/>
      <c r="H56" s="19"/>
    </row>
    <row r="57" customFormat="false" ht="23.85" hidden="false" customHeight="false" outlineLevel="0" collapsed="false">
      <c r="A57" s="4" t="s">
        <v>346</v>
      </c>
      <c r="B57" s="20"/>
      <c r="C57" s="20"/>
      <c r="D57" s="20"/>
      <c r="E57" s="20"/>
      <c r="F57" s="4" t="str">
        <f aca="false">IFERROR(VLOOKUP(E57,'Subject Areas Reference'!$B$4:$C$14,2,FALSE()),"")</f>
        <v/>
      </c>
      <c r="G57" s="20"/>
      <c r="H57" s="20"/>
    </row>
    <row r="58" customFormat="false" ht="23.85" hidden="false" customHeight="false" outlineLevel="0" collapsed="false">
      <c r="A58" s="7" t="s">
        <v>347</v>
      </c>
      <c r="B58" s="19"/>
      <c r="C58" s="19"/>
      <c r="D58" s="19"/>
      <c r="E58" s="19"/>
      <c r="F58" s="7" t="str">
        <f aca="false">IFERROR(VLOOKUP(E58,'Subject Areas Reference'!$B$4:$C$14,2,FALSE()),"")</f>
        <v/>
      </c>
      <c r="G58" s="19"/>
      <c r="H58" s="19"/>
    </row>
    <row r="59" customFormat="false" ht="23.85" hidden="false" customHeight="false" outlineLevel="0" collapsed="false">
      <c r="A59" s="4" t="s">
        <v>348</v>
      </c>
      <c r="B59" s="20"/>
      <c r="C59" s="20"/>
      <c r="D59" s="20"/>
      <c r="E59" s="20"/>
      <c r="F59" s="4" t="str">
        <f aca="false">IFERROR(VLOOKUP(E59,'Subject Areas Reference'!$B$4:$C$14,2,FALSE()),"")</f>
        <v/>
      </c>
      <c r="G59" s="20"/>
      <c r="H59" s="20"/>
    </row>
    <row r="60" customFormat="false" ht="23.85" hidden="false" customHeight="false" outlineLevel="0" collapsed="false">
      <c r="A60" s="7" t="s">
        <v>349</v>
      </c>
      <c r="B60" s="19"/>
      <c r="C60" s="19"/>
      <c r="D60" s="19"/>
      <c r="E60" s="19"/>
      <c r="F60" s="7" t="str">
        <f aca="false">IFERROR(VLOOKUP(E60,'Subject Areas Reference'!$B$4:$C$14,2,FALSE()),"")</f>
        <v/>
      </c>
      <c r="G60" s="19"/>
      <c r="H60" s="19"/>
    </row>
    <row r="61" customFormat="false" ht="23.85" hidden="false" customHeight="false" outlineLevel="0" collapsed="false">
      <c r="A61" s="4" t="s">
        <v>350</v>
      </c>
      <c r="B61" s="20"/>
      <c r="C61" s="20"/>
      <c r="D61" s="20"/>
      <c r="E61" s="20"/>
      <c r="F61" s="4" t="str">
        <f aca="false">IFERROR(VLOOKUP(E61,'Subject Areas Reference'!$B$4:$C$14,2,FALSE()),"")</f>
        <v/>
      </c>
      <c r="G61" s="20"/>
      <c r="H61" s="20"/>
    </row>
    <row r="62" customFormat="false" ht="23.85" hidden="false" customHeight="false" outlineLevel="0" collapsed="false">
      <c r="A62" s="7" t="s">
        <v>351</v>
      </c>
      <c r="B62" s="19"/>
      <c r="C62" s="19"/>
      <c r="D62" s="19"/>
      <c r="E62" s="19"/>
      <c r="F62" s="7" t="str">
        <f aca="false">IFERROR(VLOOKUP(E62,'Subject Areas Reference'!$B$4:$C$14,2,FALSE()),"")</f>
        <v/>
      </c>
      <c r="G62" s="19"/>
      <c r="H62" s="19"/>
    </row>
    <row r="63" customFormat="false" ht="23.85" hidden="false" customHeight="false" outlineLevel="0" collapsed="false">
      <c r="A63" s="4" t="s">
        <v>352</v>
      </c>
      <c r="B63" s="20"/>
      <c r="C63" s="20"/>
      <c r="D63" s="20"/>
      <c r="E63" s="20"/>
      <c r="F63" s="4" t="str">
        <f aca="false">IFERROR(VLOOKUP(E63,'Subject Areas Reference'!$B$4:$C$14,2,FALSE()),"")</f>
        <v/>
      </c>
      <c r="G63" s="20"/>
      <c r="H63" s="20"/>
    </row>
    <row r="64" customFormat="false" ht="23.85" hidden="false" customHeight="false" outlineLevel="0" collapsed="false">
      <c r="A64" s="7" t="s">
        <v>353</v>
      </c>
      <c r="B64" s="19"/>
      <c r="C64" s="19"/>
      <c r="D64" s="19"/>
      <c r="E64" s="19"/>
      <c r="F64" s="7" t="str">
        <f aca="false">IFERROR(VLOOKUP(E64,'Subject Areas Reference'!$B$4:$C$14,2,FALSE()),"")</f>
        <v/>
      </c>
      <c r="G64" s="19"/>
      <c r="H64" s="19"/>
    </row>
    <row r="65" customFormat="false" ht="23.85" hidden="false" customHeight="false" outlineLevel="0" collapsed="false">
      <c r="A65" s="4" t="s">
        <v>354</v>
      </c>
      <c r="B65" s="20"/>
      <c r="C65" s="20"/>
      <c r="D65" s="20"/>
      <c r="E65" s="20"/>
      <c r="F65" s="4" t="str">
        <f aca="false">IFERROR(VLOOKUP(E65,'Subject Areas Reference'!$B$4:$C$14,2,FALSE()),"")</f>
        <v/>
      </c>
      <c r="G65" s="20"/>
      <c r="H65" s="20"/>
    </row>
    <row r="66" customFormat="false" ht="23.85" hidden="false" customHeight="false" outlineLevel="0" collapsed="false">
      <c r="A66" s="7" t="s">
        <v>355</v>
      </c>
      <c r="B66" s="19"/>
      <c r="C66" s="19"/>
      <c r="D66" s="19"/>
      <c r="E66" s="19"/>
      <c r="F66" s="7" t="str">
        <f aca="false">IFERROR(VLOOKUP(E66,'Subject Areas Reference'!$B$4:$C$14,2,FALSE()),"")</f>
        <v/>
      </c>
      <c r="G66" s="19"/>
      <c r="H66" s="19"/>
    </row>
    <row r="67" customFormat="false" ht="23.85" hidden="false" customHeight="false" outlineLevel="0" collapsed="false">
      <c r="A67" s="4" t="s">
        <v>356</v>
      </c>
      <c r="B67" s="20"/>
      <c r="C67" s="20"/>
      <c r="D67" s="20"/>
      <c r="E67" s="20"/>
      <c r="F67" s="4" t="str">
        <f aca="false">IFERROR(VLOOKUP(E67,'Subject Areas Reference'!$B$4:$C$14,2,FALSE()),"")</f>
        <v/>
      </c>
      <c r="G67" s="20"/>
      <c r="H67" s="20"/>
    </row>
    <row r="68" customFormat="false" ht="23.85" hidden="false" customHeight="false" outlineLevel="0" collapsed="false">
      <c r="A68" s="7" t="s">
        <v>357</v>
      </c>
      <c r="B68" s="19"/>
      <c r="C68" s="19"/>
      <c r="D68" s="19"/>
      <c r="E68" s="19"/>
      <c r="F68" s="7" t="str">
        <f aca="false">IFERROR(VLOOKUP(E68,'Subject Areas Reference'!$B$4:$C$14,2,FALSE()),"")</f>
        <v/>
      </c>
      <c r="G68" s="19"/>
      <c r="H68" s="19"/>
    </row>
    <row r="69" customFormat="false" ht="23.85" hidden="false" customHeight="false" outlineLevel="0" collapsed="false">
      <c r="A69" s="4" t="s">
        <v>358</v>
      </c>
      <c r="B69" s="20"/>
      <c r="C69" s="20"/>
      <c r="D69" s="20"/>
      <c r="E69" s="20"/>
      <c r="F69" s="4" t="str">
        <f aca="false">IFERROR(VLOOKUP(E69,'Subject Areas Reference'!$B$4:$C$14,2,FALSE()),"")</f>
        <v/>
      </c>
      <c r="G69" s="20"/>
      <c r="H69" s="20"/>
    </row>
    <row r="70" customFormat="false" ht="23.85" hidden="false" customHeight="false" outlineLevel="0" collapsed="false">
      <c r="A70" s="7" t="s">
        <v>359</v>
      </c>
      <c r="B70" s="19"/>
      <c r="C70" s="19"/>
      <c r="D70" s="19"/>
      <c r="E70" s="19"/>
      <c r="F70" s="7" t="str">
        <f aca="false">IFERROR(VLOOKUP(E70,'Subject Areas Reference'!$B$4:$C$14,2,FALSE()),"")</f>
        <v/>
      </c>
      <c r="G70" s="19"/>
      <c r="H70" s="19"/>
    </row>
    <row r="71" customFormat="false" ht="23.85" hidden="false" customHeight="false" outlineLevel="0" collapsed="false">
      <c r="A71" s="4" t="s">
        <v>360</v>
      </c>
      <c r="B71" s="20"/>
      <c r="C71" s="20"/>
      <c r="D71" s="20"/>
      <c r="E71" s="20"/>
      <c r="F71" s="4" t="str">
        <f aca="false">IFERROR(VLOOKUP(E71,'Subject Areas Reference'!$B$4:$C$14,2,FALSE()),"")</f>
        <v/>
      </c>
      <c r="G71" s="20"/>
      <c r="H71" s="20"/>
    </row>
    <row r="72" customFormat="false" ht="23.85" hidden="false" customHeight="false" outlineLevel="0" collapsed="false">
      <c r="A72" s="7" t="s">
        <v>361</v>
      </c>
      <c r="B72" s="19"/>
      <c r="C72" s="19"/>
      <c r="D72" s="19"/>
      <c r="E72" s="19"/>
      <c r="F72" s="7" t="str">
        <f aca="false">IFERROR(VLOOKUP(E72,'Subject Areas Reference'!$B$4:$C$14,2,FALSE()),"")</f>
        <v/>
      </c>
      <c r="G72" s="19"/>
      <c r="H72" s="19"/>
    </row>
    <row r="73" customFormat="false" ht="23.85" hidden="false" customHeight="false" outlineLevel="0" collapsed="false">
      <c r="A73" s="4" t="s">
        <v>362</v>
      </c>
      <c r="B73" s="20"/>
      <c r="C73" s="20"/>
      <c r="D73" s="20"/>
      <c r="E73" s="20"/>
      <c r="F73" s="4" t="str">
        <f aca="false">IFERROR(VLOOKUP(E73,'Subject Areas Reference'!$B$4:$C$14,2,FALSE()),"")</f>
        <v/>
      </c>
      <c r="G73" s="20"/>
      <c r="H73" s="20"/>
    </row>
    <row r="74" customFormat="false" ht="23.85" hidden="false" customHeight="false" outlineLevel="0" collapsed="false">
      <c r="A74" s="7" t="s">
        <v>363</v>
      </c>
      <c r="B74" s="19"/>
      <c r="C74" s="19"/>
      <c r="D74" s="19"/>
      <c r="E74" s="19"/>
      <c r="F74" s="7" t="str">
        <f aca="false">IFERROR(VLOOKUP(E74,'Subject Areas Reference'!$B$4:$C$14,2,FALSE()),"")</f>
        <v/>
      </c>
      <c r="G74" s="19"/>
      <c r="H74" s="19"/>
    </row>
    <row r="75" customFormat="false" ht="23.85" hidden="false" customHeight="false" outlineLevel="0" collapsed="false">
      <c r="A75" s="4" t="s">
        <v>364</v>
      </c>
      <c r="B75" s="20"/>
      <c r="C75" s="20"/>
      <c r="D75" s="20"/>
      <c r="E75" s="20"/>
      <c r="F75" s="4" t="str">
        <f aca="false">IFERROR(VLOOKUP(E75,'Subject Areas Reference'!$B$4:$C$14,2,FALSE()),"")</f>
        <v/>
      </c>
      <c r="G75" s="20"/>
      <c r="H75" s="20"/>
    </row>
    <row r="76" customFormat="false" ht="23.85" hidden="false" customHeight="false" outlineLevel="0" collapsed="false">
      <c r="A76" s="7" t="s">
        <v>365</v>
      </c>
      <c r="B76" s="19"/>
      <c r="C76" s="19"/>
      <c r="D76" s="19"/>
      <c r="E76" s="19"/>
      <c r="F76" s="7" t="str">
        <f aca="false">IFERROR(VLOOKUP(E76,'Subject Areas Reference'!$B$4:$C$14,2,FALSE()),"")</f>
        <v/>
      </c>
      <c r="G76" s="19"/>
      <c r="H76" s="19"/>
    </row>
    <row r="77" customFormat="false" ht="23.85" hidden="false" customHeight="false" outlineLevel="0" collapsed="false">
      <c r="A77" s="4" t="s">
        <v>366</v>
      </c>
      <c r="B77" s="20"/>
      <c r="C77" s="20"/>
      <c r="D77" s="20"/>
      <c r="E77" s="20"/>
      <c r="F77" s="4" t="str">
        <f aca="false">IFERROR(VLOOKUP(E77,'Subject Areas Reference'!$B$4:$C$14,2,FALSE()),"")</f>
        <v/>
      </c>
      <c r="G77" s="20"/>
      <c r="H77" s="20"/>
    </row>
    <row r="78" customFormat="false" ht="23.85" hidden="false" customHeight="false" outlineLevel="0" collapsed="false">
      <c r="A78" s="7" t="s">
        <v>367</v>
      </c>
      <c r="B78" s="19"/>
      <c r="C78" s="19"/>
      <c r="D78" s="19"/>
      <c r="E78" s="19"/>
      <c r="F78" s="7" t="str">
        <f aca="false">IFERROR(VLOOKUP(E78,'Subject Areas Reference'!$B$4:$C$14,2,FALSE()),"")</f>
        <v/>
      </c>
      <c r="G78" s="19"/>
      <c r="H78" s="19"/>
    </row>
    <row r="79" customFormat="false" ht="23.85" hidden="false" customHeight="false" outlineLevel="0" collapsed="false">
      <c r="A79" s="4" t="s">
        <v>368</v>
      </c>
      <c r="B79" s="20"/>
      <c r="C79" s="20"/>
      <c r="D79" s="20"/>
      <c r="E79" s="20"/>
      <c r="F79" s="4" t="str">
        <f aca="false">IFERROR(VLOOKUP(E79,'Subject Areas Reference'!$B$4:$C$14,2,FALSE()),"")</f>
        <v/>
      </c>
      <c r="G79" s="20"/>
      <c r="H79" s="20"/>
    </row>
    <row r="80" customFormat="false" ht="23.85" hidden="false" customHeight="false" outlineLevel="0" collapsed="false">
      <c r="A80" s="7" t="s">
        <v>369</v>
      </c>
      <c r="B80" s="19"/>
      <c r="C80" s="19"/>
      <c r="D80" s="19"/>
      <c r="E80" s="19"/>
      <c r="F80" s="7" t="str">
        <f aca="false">IFERROR(VLOOKUP(E80,'Subject Areas Reference'!$B$4:$C$14,2,FALSE()),"")</f>
        <v/>
      </c>
      <c r="G80" s="19"/>
      <c r="H80" s="19"/>
    </row>
    <row r="81" customFormat="false" ht="23.85" hidden="false" customHeight="false" outlineLevel="0" collapsed="false">
      <c r="A81" s="4" t="s">
        <v>370</v>
      </c>
      <c r="B81" s="20"/>
      <c r="C81" s="20"/>
      <c r="D81" s="20"/>
      <c r="E81" s="20"/>
      <c r="F81" s="4" t="str">
        <f aca="false">IFERROR(VLOOKUP(E81,'Subject Areas Reference'!$B$4:$C$14,2,FALSE()),"")</f>
        <v/>
      </c>
      <c r="G81" s="20"/>
      <c r="H81" s="20"/>
    </row>
    <row r="82" customFormat="false" ht="23.85" hidden="false" customHeight="false" outlineLevel="0" collapsed="false">
      <c r="A82" s="7" t="s">
        <v>371</v>
      </c>
      <c r="B82" s="19"/>
      <c r="C82" s="19"/>
      <c r="D82" s="19"/>
      <c r="E82" s="19"/>
      <c r="F82" s="7" t="str">
        <f aca="false">IFERROR(VLOOKUP(E82,'Subject Areas Reference'!$B$4:$C$14,2,FALSE()),"")</f>
        <v/>
      </c>
      <c r="G82" s="19"/>
      <c r="H82" s="19"/>
    </row>
    <row r="83" customFormat="false" ht="23.85" hidden="false" customHeight="false" outlineLevel="0" collapsed="false">
      <c r="A83" s="4" t="s">
        <v>372</v>
      </c>
      <c r="B83" s="20"/>
      <c r="C83" s="20"/>
      <c r="D83" s="20"/>
      <c r="E83" s="20"/>
      <c r="F83" s="4" t="str">
        <f aca="false">IFERROR(VLOOKUP(E83,'Subject Areas Reference'!$B$4:$C$14,2,FALSE()),"")</f>
        <v/>
      </c>
      <c r="G83" s="20"/>
      <c r="H83" s="20"/>
    </row>
    <row r="84" customFormat="false" ht="23.85" hidden="false" customHeight="false" outlineLevel="0" collapsed="false">
      <c r="A84" s="7" t="s">
        <v>373</v>
      </c>
      <c r="B84" s="19"/>
      <c r="C84" s="19"/>
      <c r="D84" s="19"/>
      <c r="E84" s="19"/>
      <c r="F84" s="7" t="str">
        <f aca="false">IFERROR(VLOOKUP(E84,'Subject Areas Reference'!$B$4:$C$14,2,FALSE()),"")</f>
        <v/>
      </c>
      <c r="G84" s="19"/>
      <c r="H84" s="19"/>
    </row>
    <row r="85" customFormat="false" ht="23.85" hidden="false" customHeight="false" outlineLevel="0" collapsed="false">
      <c r="A85" s="4" t="s">
        <v>374</v>
      </c>
      <c r="B85" s="20"/>
      <c r="C85" s="20"/>
      <c r="D85" s="20"/>
      <c r="E85" s="20"/>
      <c r="F85" s="4" t="str">
        <f aca="false">IFERROR(VLOOKUP(E85,'Subject Areas Reference'!$B$4:$C$14,2,FALSE()),"")</f>
        <v/>
      </c>
      <c r="G85" s="20"/>
      <c r="H85" s="20"/>
    </row>
    <row r="86" customFormat="false" ht="23.85" hidden="false" customHeight="false" outlineLevel="0" collapsed="false">
      <c r="A86" s="7" t="s">
        <v>375</v>
      </c>
      <c r="B86" s="19"/>
      <c r="C86" s="19"/>
      <c r="D86" s="19"/>
      <c r="E86" s="19"/>
      <c r="F86" s="7" t="str">
        <f aca="false">IFERROR(VLOOKUP(E86,'Subject Areas Reference'!$B$4:$C$14,2,FALSE()),"")</f>
        <v/>
      </c>
      <c r="G86" s="19"/>
      <c r="H86" s="19"/>
    </row>
    <row r="87" customFormat="false" ht="23.85" hidden="false" customHeight="false" outlineLevel="0" collapsed="false">
      <c r="A87" s="4" t="s">
        <v>376</v>
      </c>
      <c r="B87" s="20"/>
      <c r="C87" s="20"/>
      <c r="D87" s="20"/>
      <c r="E87" s="20"/>
      <c r="F87" s="4" t="str">
        <f aca="false">IFERROR(VLOOKUP(E87,'Subject Areas Reference'!$B$4:$C$14,2,FALSE()),"")</f>
        <v/>
      </c>
      <c r="G87" s="20"/>
      <c r="H87" s="20"/>
    </row>
    <row r="88" customFormat="false" ht="23.85" hidden="false" customHeight="false" outlineLevel="0" collapsed="false">
      <c r="A88" s="7" t="s">
        <v>377</v>
      </c>
      <c r="B88" s="19"/>
      <c r="C88" s="19"/>
      <c r="D88" s="19"/>
      <c r="E88" s="19"/>
      <c r="F88" s="7" t="str">
        <f aca="false">IFERROR(VLOOKUP(E88,'Subject Areas Reference'!$B$4:$C$14,2,FALSE()),"")</f>
        <v/>
      </c>
      <c r="G88" s="19"/>
      <c r="H88" s="19"/>
    </row>
    <row r="89" customFormat="false" ht="23.85" hidden="false" customHeight="false" outlineLevel="0" collapsed="false">
      <c r="A89" s="4" t="s">
        <v>378</v>
      </c>
      <c r="B89" s="20"/>
      <c r="C89" s="20"/>
      <c r="D89" s="20"/>
      <c r="E89" s="20"/>
      <c r="F89" s="4" t="str">
        <f aca="false">IFERROR(VLOOKUP(E89,'Subject Areas Reference'!$B$4:$C$14,2,FALSE()),"")</f>
        <v/>
      </c>
      <c r="G89" s="20"/>
      <c r="H89" s="20"/>
    </row>
    <row r="90" customFormat="false" ht="23.85" hidden="false" customHeight="false" outlineLevel="0" collapsed="false">
      <c r="A90" s="7" t="s">
        <v>379</v>
      </c>
      <c r="B90" s="19"/>
      <c r="C90" s="19"/>
      <c r="D90" s="19"/>
      <c r="E90" s="19"/>
      <c r="F90" s="7" t="str">
        <f aca="false">IFERROR(VLOOKUP(E90,'Subject Areas Reference'!$B$4:$C$14,2,FALSE()),"")</f>
        <v/>
      </c>
      <c r="G90" s="19"/>
      <c r="H90" s="19"/>
    </row>
    <row r="91" customFormat="false" ht="23.85" hidden="false" customHeight="false" outlineLevel="0" collapsed="false">
      <c r="A91" s="4" t="s">
        <v>380</v>
      </c>
      <c r="B91" s="20"/>
      <c r="C91" s="20"/>
      <c r="D91" s="20"/>
      <c r="E91" s="20"/>
      <c r="F91" s="4" t="str">
        <f aca="false">IFERROR(VLOOKUP(E91,'Subject Areas Reference'!$B$4:$C$14,2,FALSE()),"")</f>
        <v/>
      </c>
      <c r="G91" s="20"/>
      <c r="H91" s="20"/>
    </row>
    <row r="92" customFormat="false" ht="23.85" hidden="false" customHeight="false" outlineLevel="0" collapsed="false">
      <c r="A92" s="7" t="s">
        <v>381</v>
      </c>
      <c r="B92" s="19"/>
      <c r="C92" s="19"/>
      <c r="D92" s="19"/>
      <c r="E92" s="19"/>
      <c r="F92" s="7" t="str">
        <f aca="false">IFERROR(VLOOKUP(E92,'Subject Areas Reference'!$B$4:$C$14,2,FALSE()),"")</f>
        <v/>
      </c>
      <c r="G92" s="19"/>
      <c r="H92" s="19"/>
    </row>
    <row r="93" customFormat="false" ht="23.85" hidden="false" customHeight="false" outlineLevel="0" collapsed="false">
      <c r="A93" s="4" t="s">
        <v>382</v>
      </c>
      <c r="B93" s="20"/>
      <c r="C93" s="20"/>
      <c r="D93" s="20"/>
      <c r="E93" s="20"/>
      <c r="F93" s="4" t="str">
        <f aca="false">IFERROR(VLOOKUP(E93,'Subject Areas Reference'!$B$4:$C$14,2,FALSE()),"")</f>
        <v/>
      </c>
      <c r="G93" s="20"/>
      <c r="H93" s="20"/>
    </row>
    <row r="94" customFormat="false" ht="23.85" hidden="false" customHeight="false" outlineLevel="0" collapsed="false">
      <c r="A94" s="7" t="s">
        <v>383</v>
      </c>
      <c r="B94" s="19"/>
      <c r="C94" s="19"/>
      <c r="D94" s="19"/>
      <c r="E94" s="19"/>
      <c r="F94" s="7" t="str">
        <f aca="false">IFERROR(VLOOKUP(E94,'Subject Areas Reference'!$B$4:$C$14,2,FALSE()),"")</f>
        <v/>
      </c>
      <c r="G94" s="19"/>
      <c r="H94" s="19"/>
    </row>
    <row r="95" customFormat="false" ht="23.85" hidden="false" customHeight="false" outlineLevel="0" collapsed="false">
      <c r="A95" s="4" t="s">
        <v>384</v>
      </c>
      <c r="B95" s="20"/>
      <c r="C95" s="20"/>
      <c r="D95" s="20"/>
      <c r="E95" s="20"/>
      <c r="F95" s="4" t="str">
        <f aca="false">IFERROR(VLOOKUP(E95,'Subject Areas Reference'!$B$4:$C$14,2,FALSE()),"")</f>
        <v/>
      </c>
      <c r="G95" s="20"/>
      <c r="H95" s="20"/>
    </row>
    <row r="96" customFormat="false" ht="23.85" hidden="false" customHeight="false" outlineLevel="0" collapsed="false">
      <c r="A96" s="7" t="s">
        <v>385</v>
      </c>
      <c r="B96" s="19"/>
      <c r="C96" s="19"/>
      <c r="D96" s="19"/>
      <c r="E96" s="19"/>
      <c r="F96" s="7" t="str">
        <f aca="false">IFERROR(VLOOKUP(E96,'Subject Areas Reference'!$B$4:$C$14,2,FALSE()),"")</f>
        <v/>
      </c>
      <c r="G96" s="19"/>
      <c r="H96" s="19"/>
    </row>
    <row r="97" customFormat="false" ht="23.85" hidden="false" customHeight="false" outlineLevel="0" collapsed="false">
      <c r="A97" s="4" t="s">
        <v>386</v>
      </c>
      <c r="B97" s="20"/>
      <c r="C97" s="20"/>
      <c r="D97" s="20"/>
      <c r="E97" s="20"/>
      <c r="F97" s="4" t="str">
        <f aca="false">IFERROR(VLOOKUP(E97,'Subject Areas Reference'!$B$4:$C$14,2,FALSE()),"")</f>
        <v/>
      </c>
      <c r="G97" s="20"/>
      <c r="H97" s="20"/>
    </row>
    <row r="98" customFormat="false" ht="23.85" hidden="false" customHeight="false" outlineLevel="0" collapsed="false">
      <c r="A98" s="7" t="s">
        <v>387</v>
      </c>
      <c r="B98" s="19"/>
      <c r="C98" s="19"/>
      <c r="D98" s="19"/>
      <c r="E98" s="19"/>
      <c r="F98" s="7" t="str">
        <f aca="false">IFERROR(VLOOKUP(E98,'Subject Areas Reference'!$B$4:$C$14,2,FALSE()),"")</f>
        <v/>
      </c>
      <c r="G98" s="19"/>
      <c r="H98" s="19"/>
    </row>
    <row r="99" customFormat="false" ht="23.85" hidden="false" customHeight="false" outlineLevel="0" collapsed="false">
      <c r="A99" s="4" t="s">
        <v>388</v>
      </c>
      <c r="B99" s="20"/>
      <c r="C99" s="20"/>
      <c r="D99" s="20"/>
      <c r="E99" s="20"/>
      <c r="F99" s="4" t="str">
        <f aca="false">IFERROR(VLOOKUP(E99,'Subject Areas Reference'!$B$4:$C$14,2,FALSE()),"")</f>
        <v/>
      </c>
      <c r="G99" s="20"/>
      <c r="H99" s="20"/>
    </row>
    <row r="100" customFormat="false" ht="23.85" hidden="false" customHeight="false" outlineLevel="0" collapsed="false">
      <c r="A100" s="7" t="s">
        <v>389</v>
      </c>
      <c r="B100" s="19"/>
      <c r="C100" s="19"/>
      <c r="D100" s="19"/>
      <c r="E100" s="19"/>
      <c r="F100" s="7" t="str">
        <f aca="false">IFERROR(VLOOKUP(E100,'Subject Areas Reference'!$B$4:$C$14,2,FALSE()),"")</f>
        <v/>
      </c>
      <c r="G100" s="19"/>
      <c r="H100" s="19"/>
    </row>
    <row r="101" customFormat="false" ht="23.85" hidden="false" customHeight="false" outlineLevel="0" collapsed="false">
      <c r="A101" s="4" t="s">
        <v>390</v>
      </c>
      <c r="B101" s="20"/>
      <c r="C101" s="20"/>
      <c r="D101" s="20"/>
      <c r="E101" s="20"/>
      <c r="F101" s="4" t="str">
        <f aca="false">IFERROR(VLOOKUP(E101,'Subject Areas Reference'!$B$4:$C$14,2,FALSE()),"")</f>
        <v/>
      </c>
      <c r="G101" s="20"/>
      <c r="H101" s="20"/>
    </row>
    <row r="102" customFormat="false" ht="23.85" hidden="false" customHeight="false" outlineLevel="0" collapsed="false">
      <c r="A102" s="7" t="s">
        <v>391</v>
      </c>
      <c r="B102" s="19"/>
      <c r="C102" s="19"/>
      <c r="D102" s="19"/>
      <c r="E102" s="19"/>
      <c r="F102" s="7" t="str">
        <f aca="false">IFERROR(VLOOKUP(E102,'Subject Areas Reference'!$B$4:$C$14,2,FALSE()),"")</f>
        <v/>
      </c>
      <c r="G102" s="19"/>
      <c r="H102" s="19"/>
    </row>
    <row r="103" customFormat="false" ht="23.85" hidden="false" customHeight="false" outlineLevel="0" collapsed="false">
      <c r="A103" s="4" t="s">
        <v>392</v>
      </c>
      <c r="B103" s="20"/>
      <c r="C103" s="20"/>
      <c r="D103" s="20"/>
      <c r="E103" s="20"/>
      <c r="F103" s="4" t="str">
        <f aca="false">IFERROR(VLOOKUP(E103,'Subject Areas Reference'!$B$4:$C$14,2,FALSE()),"")</f>
        <v/>
      </c>
      <c r="G103" s="20"/>
      <c r="H103" s="20"/>
    </row>
    <row r="104" customFormat="false" ht="23.85" hidden="false" customHeight="false" outlineLevel="0" collapsed="false">
      <c r="A104" s="7" t="s">
        <v>393</v>
      </c>
      <c r="B104" s="19"/>
      <c r="C104" s="19"/>
      <c r="D104" s="19"/>
      <c r="E104" s="19"/>
      <c r="F104" s="7" t="str">
        <f aca="false">IFERROR(VLOOKUP(E104,'Subject Areas Reference'!$B$4:$C$14,2,FALSE()),"")</f>
        <v/>
      </c>
      <c r="G104" s="19"/>
      <c r="H104" s="19"/>
    </row>
    <row r="105" customFormat="false" ht="23.85" hidden="false" customHeight="false" outlineLevel="0" collapsed="false">
      <c r="A105" s="4" t="s">
        <v>394</v>
      </c>
      <c r="B105" s="20"/>
      <c r="C105" s="20"/>
      <c r="D105" s="20"/>
      <c r="E105" s="20"/>
      <c r="F105" s="4" t="str">
        <f aca="false">IFERROR(VLOOKUP(E105,'Subject Areas Reference'!$B$4:$C$14,2,FALSE()),"")</f>
        <v/>
      </c>
      <c r="G105" s="20"/>
      <c r="H105" s="20"/>
    </row>
    <row r="106" customFormat="false" ht="23.85" hidden="false" customHeight="false" outlineLevel="0" collapsed="false">
      <c r="A106" s="7" t="s">
        <v>395</v>
      </c>
      <c r="B106" s="19"/>
      <c r="C106" s="19"/>
      <c r="D106" s="19"/>
      <c r="E106" s="19"/>
      <c r="F106" s="7" t="str">
        <f aca="false">IFERROR(VLOOKUP(E106,'Subject Areas Reference'!$B$4:$C$14,2,FALSE()),"")</f>
        <v/>
      </c>
      <c r="G106" s="19"/>
      <c r="H106" s="19"/>
    </row>
    <row r="107" customFormat="false" ht="23.85" hidden="false" customHeight="false" outlineLevel="0" collapsed="false">
      <c r="A107" s="4" t="s">
        <v>396</v>
      </c>
      <c r="B107" s="20"/>
      <c r="C107" s="20"/>
      <c r="D107" s="20"/>
      <c r="E107" s="20"/>
      <c r="F107" s="4" t="str">
        <f aca="false">IFERROR(VLOOKUP(E107,'Subject Areas Reference'!$B$4:$C$14,2,FALSE()),"")</f>
        <v/>
      </c>
      <c r="G107" s="20"/>
      <c r="H107" s="20"/>
    </row>
    <row r="108" customFormat="false" ht="23.85" hidden="false" customHeight="false" outlineLevel="0" collapsed="false">
      <c r="A108" s="7" t="s">
        <v>397</v>
      </c>
      <c r="B108" s="19"/>
      <c r="C108" s="19"/>
      <c r="D108" s="19"/>
      <c r="E108" s="19"/>
      <c r="F108" s="7" t="str">
        <f aca="false">IFERROR(VLOOKUP(E108,'Subject Areas Reference'!$B$4:$C$14,2,FALSE()),"")</f>
        <v/>
      </c>
      <c r="G108" s="19"/>
      <c r="H108" s="19"/>
    </row>
    <row r="109" customFormat="false" ht="23.85" hidden="false" customHeight="false" outlineLevel="0" collapsed="false">
      <c r="A109" s="4" t="s">
        <v>398</v>
      </c>
      <c r="B109" s="20"/>
      <c r="C109" s="20"/>
      <c r="D109" s="20"/>
      <c r="E109" s="20"/>
      <c r="F109" s="4" t="str">
        <f aca="false">IFERROR(VLOOKUP(E109,'Subject Areas Reference'!$B$4:$C$14,2,FALSE()),"")</f>
        <v/>
      </c>
      <c r="G109" s="20"/>
      <c r="H109" s="20"/>
    </row>
    <row r="110" customFormat="false" ht="23.85" hidden="false" customHeight="false" outlineLevel="0" collapsed="false">
      <c r="A110" s="7" t="s">
        <v>399</v>
      </c>
      <c r="B110" s="19"/>
      <c r="C110" s="19"/>
      <c r="D110" s="19"/>
      <c r="E110" s="19"/>
      <c r="F110" s="7" t="str">
        <f aca="false">IFERROR(VLOOKUP(E110,'Subject Areas Reference'!$B$4:$C$14,2,FALSE()),"")</f>
        <v/>
      </c>
      <c r="G110" s="19"/>
      <c r="H110" s="19"/>
    </row>
    <row r="111" customFormat="false" ht="23.85" hidden="false" customHeight="false" outlineLevel="0" collapsed="false">
      <c r="A111" s="4" t="s">
        <v>400</v>
      </c>
      <c r="B111" s="20"/>
      <c r="C111" s="20"/>
      <c r="D111" s="20"/>
      <c r="E111" s="20"/>
      <c r="F111" s="4" t="str">
        <f aca="false">IFERROR(VLOOKUP(E111,'Subject Areas Reference'!$B$4:$C$14,2,FALSE()),"")</f>
        <v/>
      </c>
      <c r="G111" s="20"/>
      <c r="H111" s="20"/>
    </row>
    <row r="112" customFormat="false" ht="23.85" hidden="false" customHeight="false" outlineLevel="0" collapsed="false">
      <c r="A112" s="7" t="s">
        <v>401</v>
      </c>
      <c r="B112" s="19"/>
      <c r="C112" s="19"/>
      <c r="D112" s="19"/>
      <c r="E112" s="19"/>
      <c r="F112" s="7" t="str">
        <f aca="false">IFERROR(VLOOKUP(E112,'Subject Areas Reference'!$B$4:$C$14,2,FALSE()),"")</f>
        <v/>
      </c>
      <c r="G112" s="19"/>
      <c r="H112" s="19"/>
    </row>
    <row r="113" customFormat="false" ht="23.85" hidden="false" customHeight="false" outlineLevel="0" collapsed="false">
      <c r="A113" s="4" t="s">
        <v>402</v>
      </c>
      <c r="B113" s="20"/>
      <c r="C113" s="20"/>
      <c r="D113" s="20"/>
      <c r="E113" s="20"/>
      <c r="F113" s="4" t="str">
        <f aca="false">IFERROR(VLOOKUP(E113,'Subject Areas Reference'!$B$4:$C$14,2,FALSE()),"")</f>
        <v/>
      </c>
      <c r="G113" s="20"/>
      <c r="H113" s="20"/>
    </row>
    <row r="114" customFormat="false" ht="23.85" hidden="false" customHeight="false" outlineLevel="0" collapsed="false">
      <c r="A114" s="7" t="s">
        <v>403</v>
      </c>
      <c r="B114" s="19"/>
      <c r="C114" s="19"/>
      <c r="D114" s="19"/>
      <c r="E114" s="19"/>
      <c r="F114" s="7" t="str">
        <f aca="false">IFERROR(VLOOKUP(E114,'Subject Areas Reference'!$B$4:$C$14,2,FALSE()),"")</f>
        <v/>
      </c>
      <c r="G114" s="19"/>
      <c r="H114" s="19"/>
    </row>
    <row r="115" customFormat="false" ht="23.85" hidden="false" customHeight="false" outlineLevel="0" collapsed="false">
      <c r="A115" s="4" t="s">
        <v>404</v>
      </c>
      <c r="B115" s="20"/>
      <c r="C115" s="20"/>
      <c r="D115" s="20"/>
      <c r="E115" s="20"/>
      <c r="F115" s="4" t="str">
        <f aca="false">IFERROR(VLOOKUP(E115,'Subject Areas Reference'!$B$4:$C$14,2,FALSE()),"")</f>
        <v/>
      </c>
      <c r="G115" s="20"/>
      <c r="H115" s="20"/>
    </row>
    <row r="116" customFormat="false" ht="23.85" hidden="false" customHeight="false" outlineLevel="0" collapsed="false">
      <c r="A116" s="7" t="s">
        <v>405</v>
      </c>
      <c r="B116" s="19"/>
      <c r="C116" s="19"/>
      <c r="D116" s="19"/>
      <c r="E116" s="19"/>
      <c r="F116" s="7" t="str">
        <f aca="false">IFERROR(VLOOKUP(E116,'Subject Areas Reference'!$B$4:$C$14,2,FALSE()),"")</f>
        <v/>
      </c>
      <c r="G116" s="19"/>
      <c r="H116" s="19"/>
    </row>
    <row r="117" customFormat="false" ht="23.85" hidden="false" customHeight="false" outlineLevel="0" collapsed="false">
      <c r="A117" s="4" t="s">
        <v>406</v>
      </c>
      <c r="B117" s="20"/>
      <c r="C117" s="20"/>
      <c r="D117" s="20"/>
      <c r="E117" s="20"/>
      <c r="F117" s="4" t="str">
        <f aca="false">IFERROR(VLOOKUP(E117,'Subject Areas Reference'!$B$4:$C$14,2,FALSE()),"")</f>
        <v/>
      </c>
      <c r="G117" s="20"/>
      <c r="H117" s="20"/>
    </row>
    <row r="118" customFormat="false" ht="23.85" hidden="false" customHeight="false" outlineLevel="0" collapsed="false">
      <c r="A118" s="7" t="s">
        <v>407</v>
      </c>
      <c r="B118" s="19"/>
      <c r="C118" s="19"/>
      <c r="D118" s="19"/>
      <c r="E118" s="19"/>
      <c r="F118" s="7" t="str">
        <f aca="false">IFERROR(VLOOKUP(E118,'Subject Areas Reference'!$B$4:$C$14,2,FALSE()),"")</f>
        <v/>
      </c>
      <c r="G118" s="19"/>
      <c r="H118" s="19"/>
    </row>
    <row r="119" customFormat="false" ht="23.85" hidden="false" customHeight="false" outlineLevel="0" collapsed="false">
      <c r="A119" s="4" t="s">
        <v>408</v>
      </c>
      <c r="B119" s="20"/>
      <c r="C119" s="20"/>
      <c r="D119" s="20"/>
      <c r="E119" s="20"/>
      <c r="F119" s="4" t="str">
        <f aca="false">IFERROR(VLOOKUP(E119,'Subject Areas Reference'!$B$4:$C$14,2,FALSE()),"")</f>
        <v/>
      </c>
      <c r="G119" s="20"/>
      <c r="H119" s="20"/>
    </row>
    <row r="120" customFormat="false" ht="23.85" hidden="false" customHeight="false" outlineLevel="0" collapsed="false">
      <c r="A120" s="7" t="s">
        <v>409</v>
      </c>
      <c r="B120" s="19"/>
      <c r="C120" s="19"/>
      <c r="D120" s="19"/>
      <c r="E120" s="19"/>
      <c r="F120" s="7" t="str">
        <f aca="false">IFERROR(VLOOKUP(E120,'Subject Areas Reference'!$B$4:$C$14,2,FALSE()),"")</f>
        <v/>
      </c>
      <c r="G120" s="19"/>
      <c r="H120" s="19"/>
    </row>
    <row r="121" customFormat="false" ht="23.85" hidden="false" customHeight="false" outlineLevel="0" collapsed="false">
      <c r="A121" s="4" t="s">
        <v>410</v>
      </c>
      <c r="B121" s="20"/>
      <c r="C121" s="20"/>
      <c r="D121" s="20"/>
      <c r="E121" s="20"/>
      <c r="F121" s="4" t="str">
        <f aca="false">IFERROR(VLOOKUP(E121,'Subject Areas Reference'!$B$4:$C$14,2,FALSE()),"")</f>
        <v/>
      </c>
      <c r="G121" s="20"/>
      <c r="H121" s="20"/>
    </row>
    <row r="122" customFormat="false" ht="23.85" hidden="false" customHeight="false" outlineLevel="0" collapsed="false">
      <c r="A122" s="7" t="s">
        <v>411</v>
      </c>
      <c r="B122" s="19"/>
      <c r="C122" s="19"/>
      <c r="D122" s="19"/>
      <c r="E122" s="19"/>
      <c r="F122" s="7" t="str">
        <f aca="false">IFERROR(VLOOKUP(E122,'Subject Areas Reference'!$B$4:$C$14,2,FALSE()),"")</f>
        <v/>
      </c>
      <c r="G122" s="19"/>
      <c r="H122" s="19"/>
    </row>
    <row r="123" customFormat="false" ht="23.85" hidden="false" customHeight="false" outlineLevel="0" collapsed="false">
      <c r="A123" s="4" t="s">
        <v>412</v>
      </c>
      <c r="B123" s="20"/>
      <c r="C123" s="20"/>
      <c r="D123" s="20"/>
      <c r="E123" s="20"/>
      <c r="F123" s="4" t="str">
        <f aca="false">IFERROR(VLOOKUP(E123,'Subject Areas Reference'!$B$4:$C$14,2,FALSE()),"")</f>
        <v/>
      </c>
      <c r="G123" s="20"/>
      <c r="H123" s="20"/>
    </row>
    <row r="124" customFormat="false" ht="23.85" hidden="false" customHeight="false" outlineLevel="0" collapsed="false">
      <c r="A124" s="7" t="s">
        <v>413</v>
      </c>
      <c r="B124" s="19"/>
      <c r="C124" s="19"/>
      <c r="D124" s="19"/>
      <c r="E124" s="19"/>
      <c r="F124" s="7" t="str">
        <f aca="false">IFERROR(VLOOKUP(E124,'Subject Areas Reference'!$B$4:$C$14,2,FALSE()),"")</f>
        <v/>
      </c>
      <c r="G124" s="19"/>
      <c r="H124" s="19"/>
    </row>
    <row r="125" customFormat="false" ht="23.85" hidden="false" customHeight="false" outlineLevel="0" collapsed="false">
      <c r="A125" s="4" t="s">
        <v>414</v>
      </c>
      <c r="B125" s="20"/>
      <c r="C125" s="20"/>
      <c r="D125" s="20"/>
      <c r="E125" s="20"/>
      <c r="F125" s="4" t="str">
        <f aca="false">IFERROR(VLOOKUP(E125,'Subject Areas Reference'!$B$4:$C$14,2,FALSE()),"")</f>
        <v/>
      </c>
      <c r="G125" s="20"/>
      <c r="H125" s="20"/>
    </row>
    <row r="126" customFormat="false" ht="23.85" hidden="false" customHeight="false" outlineLevel="0" collapsed="false">
      <c r="A126" s="7" t="s">
        <v>415</v>
      </c>
      <c r="B126" s="19"/>
      <c r="C126" s="19"/>
      <c r="D126" s="19"/>
      <c r="E126" s="19"/>
      <c r="F126" s="7" t="str">
        <f aca="false">IFERROR(VLOOKUP(E126,'Subject Areas Reference'!$B$4:$C$14,2,FALSE()),"")</f>
        <v/>
      </c>
      <c r="G126" s="19"/>
      <c r="H126" s="19"/>
    </row>
    <row r="127" customFormat="false" ht="23.85" hidden="false" customHeight="false" outlineLevel="0" collapsed="false">
      <c r="A127" s="4" t="s">
        <v>416</v>
      </c>
      <c r="B127" s="20"/>
      <c r="C127" s="20"/>
      <c r="D127" s="20"/>
      <c r="E127" s="20"/>
      <c r="F127" s="4" t="str">
        <f aca="false">IFERROR(VLOOKUP(E127,'Subject Areas Reference'!$B$4:$C$14,2,FALSE()),"")</f>
        <v/>
      </c>
      <c r="G127" s="20"/>
      <c r="H127" s="20"/>
    </row>
    <row r="128" customFormat="false" ht="23.85" hidden="false" customHeight="false" outlineLevel="0" collapsed="false">
      <c r="A128" s="7" t="s">
        <v>417</v>
      </c>
      <c r="B128" s="19"/>
      <c r="C128" s="19"/>
      <c r="D128" s="19"/>
      <c r="E128" s="19"/>
      <c r="F128" s="7" t="str">
        <f aca="false">IFERROR(VLOOKUP(E128,'Subject Areas Reference'!$B$4:$C$14,2,FALSE()),"")</f>
        <v/>
      </c>
      <c r="G128" s="19"/>
      <c r="H128" s="19"/>
    </row>
    <row r="129" customFormat="false" ht="23.85" hidden="false" customHeight="false" outlineLevel="0" collapsed="false">
      <c r="A129" s="4" t="s">
        <v>418</v>
      </c>
      <c r="B129" s="20"/>
      <c r="C129" s="20"/>
      <c r="D129" s="20"/>
      <c r="E129" s="20"/>
      <c r="F129" s="4" t="str">
        <f aca="false">IFERROR(VLOOKUP(E129,'Subject Areas Reference'!$B$4:$C$14,2,FALSE()),"")</f>
        <v/>
      </c>
      <c r="G129" s="20"/>
      <c r="H129" s="20"/>
    </row>
    <row r="130" customFormat="false" ht="23.85" hidden="false" customHeight="false" outlineLevel="0" collapsed="false">
      <c r="A130" s="7" t="s">
        <v>419</v>
      </c>
      <c r="B130" s="19"/>
      <c r="C130" s="19"/>
      <c r="D130" s="19"/>
      <c r="E130" s="19"/>
      <c r="F130" s="7" t="str">
        <f aca="false">IFERROR(VLOOKUP(E130,'Subject Areas Reference'!$B$4:$C$14,2,FALSE()),"")</f>
        <v/>
      </c>
      <c r="G130" s="19"/>
      <c r="H130" s="19"/>
    </row>
    <row r="131" customFormat="false" ht="23.85" hidden="false" customHeight="false" outlineLevel="0" collapsed="false">
      <c r="A131" s="4" t="s">
        <v>420</v>
      </c>
      <c r="B131" s="20"/>
      <c r="C131" s="20"/>
      <c r="D131" s="20"/>
      <c r="E131" s="20"/>
      <c r="F131" s="4" t="str">
        <f aca="false">IFERROR(VLOOKUP(E131,'Subject Areas Reference'!$B$4:$C$14,2,FALSE()),"")</f>
        <v/>
      </c>
      <c r="G131" s="20"/>
      <c r="H131" s="20"/>
    </row>
    <row r="132" customFormat="false" ht="23.85" hidden="false" customHeight="false" outlineLevel="0" collapsed="false">
      <c r="A132" s="7" t="s">
        <v>421</v>
      </c>
      <c r="B132" s="19"/>
      <c r="C132" s="19"/>
      <c r="D132" s="19"/>
      <c r="E132" s="19"/>
      <c r="F132" s="7" t="str">
        <f aca="false">IFERROR(VLOOKUP(E132,'Subject Areas Reference'!$B$4:$C$14,2,FALSE()),"")</f>
        <v/>
      </c>
      <c r="G132" s="19"/>
      <c r="H132" s="19"/>
    </row>
    <row r="133" customFormat="false" ht="23.85" hidden="false" customHeight="false" outlineLevel="0" collapsed="false">
      <c r="A133" s="4" t="s">
        <v>422</v>
      </c>
      <c r="B133" s="20"/>
      <c r="C133" s="20"/>
      <c r="D133" s="20"/>
      <c r="E133" s="20"/>
      <c r="F133" s="4" t="str">
        <f aca="false">IFERROR(VLOOKUP(E133,'Subject Areas Reference'!$B$4:$C$14,2,FALSE()),"")</f>
        <v/>
      </c>
      <c r="G133" s="20"/>
      <c r="H133" s="20"/>
    </row>
    <row r="134" customFormat="false" ht="23.85" hidden="false" customHeight="false" outlineLevel="0" collapsed="false">
      <c r="A134" s="7" t="s">
        <v>423</v>
      </c>
      <c r="B134" s="19"/>
      <c r="C134" s="19"/>
      <c r="D134" s="19"/>
      <c r="E134" s="19"/>
      <c r="F134" s="7" t="str">
        <f aca="false">IFERROR(VLOOKUP(E134,'Subject Areas Reference'!$B$4:$C$14,2,FALSE()),"")</f>
        <v/>
      </c>
      <c r="G134" s="19"/>
      <c r="H134" s="19"/>
    </row>
    <row r="135" customFormat="false" ht="23.85" hidden="false" customHeight="false" outlineLevel="0" collapsed="false">
      <c r="A135" s="4" t="s">
        <v>424</v>
      </c>
      <c r="B135" s="20"/>
      <c r="C135" s="20"/>
      <c r="D135" s="20"/>
      <c r="E135" s="20"/>
      <c r="F135" s="4" t="str">
        <f aca="false">IFERROR(VLOOKUP(E135,'Subject Areas Reference'!$B$4:$C$14,2,FALSE()),"")</f>
        <v/>
      </c>
      <c r="G135" s="20"/>
      <c r="H135" s="20"/>
    </row>
    <row r="136" customFormat="false" ht="23.85" hidden="false" customHeight="false" outlineLevel="0" collapsed="false">
      <c r="A136" s="7" t="s">
        <v>425</v>
      </c>
      <c r="B136" s="19"/>
      <c r="C136" s="19"/>
      <c r="D136" s="19"/>
      <c r="E136" s="19"/>
      <c r="F136" s="7" t="str">
        <f aca="false">IFERROR(VLOOKUP(E136,'Subject Areas Reference'!$B$4:$C$14,2,FALSE()),"")</f>
        <v/>
      </c>
      <c r="G136" s="19"/>
      <c r="H136" s="19"/>
    </row>
    <row r="137" customFormat="false" ht="23.85" hidden="false" customHeight="false" outlineLevel="0" collapsed="false">
      <c r="A137" s="4" t="s">
        <v>426</v>
      </c>
      <c r="B137" s="20"/>
      <c r="C137" s="20"/>
      <c r="D137" s="20"/>
      <c r="E137" s="20"/>
      <c r="F137" s="4" t="str">
        <f aca="false">IFERROR(VLOOKUP(E137,'Subject Areas Reference'!$B$4:$C$14,2,FALSE()),"")</f>
        <v/>
      </c>
      <c r="G137" s="20"/>
      <c r="H137" s="20"/>
    </row>
    <row r="138" customFormat="false" ht="23.85" hidden="false" customHeight="false" outlineLevel="0" collapsed="false">
      <c r="A138" s="7" t="s">
        <v>427</v>
      </c>
      <c r="B138" s="19"/>
      <c r="C138" s="19"/>
      <c r="D138" s="19"/>
      <c r="E138" s="19"/>
      <c r="F138" s="7" t="str">
        <f aca="false">IFERROR(VLOOKUP(E138,'Subject Areas Reference'!$B$4:$C$14,2,FALSE()),"")</f>
        <v/>
      </c>
      <c r="G138" s="19"/>
      <c r="H138" s="19"/>
    </row>
    <row r="139" customFormat="false" ht="23.85" hidden="false" customHeight="false" outlineLevel="0" collapsed="false">
      <c r="A139" s="4" t="s">
        <v>428</v>
      </c>
      <c r="B139" s="20"/>
      <c r="C139" s="20"/>
      <c r="D139" s="20"/>
      <c r="E139" s="20"/>
      <c r="F139" s="4" t="str">
        <f aca="false">IFERROR(VLOOKUP(E139,'Subject Areas Reference'!$B$4:$C$14,2,FALSE()),"")</f>
        <v/>
      </c>
      <c r="G139" s="20"/>
      <c r="H139" s="20"/>
    </row>
    <row r="140" customFormat="false" ht="23.85" hidden="false" customHeight="false" outlineLevel="0" collapsed="false">
      <c r="A140" s="7" t="s">
        <v>429</v>
      </c>
      <c r="B140" s="19"/>
      <c r="C140" s="19"/>
      <c r="D140" s="19"/>
      <c r="E140" s="19"/>
      <c r="F140" s="7" t="str">
        <f aca="false">IFERROR(VLOOKUP(E140,'Subject Areas Reference'!$B$4:$C$14,2,FALSE()),"")</f>
        <v/>
      </c>
      <c r="G140" s="19"/>
      <c r="H140" s="19"/>
    </row>
    <row r="141" customFormat="false" ht="23.85" hidden="false" customHeight="false" outlineLevel="0" collapsed="false">
      <c r="A141" s="4" t="s">
        <v>430</v>
      </c>
      <c r="B141" s="20"/>
      <c r="C141" s="20"/>
      <c r="D141" s="20"/>
      <c r="E141" s="20"/>
      <c r="F141" s="4" t="str">
        <f aca="false">IFERROR(VLOOKUP(E141,'Subject Areas Reference'!$B$4:$C$14,2,FALSE()),"")</f>
        <v/>
      </c>
      <c r="G141" s="20"/>
      <c r="H141" s="20"/>
    </row>
    <row r="142" customFormat="false" ht="23.85" hidden="false" customHeight="false" outlineLevel="0" collapsed="false">
      <c r="A142" s="7" t="s">
        <v>431</v>
      </c>
      <c r="B142" s="19"/>
      <c r="C142" s="19"/>
      <c r="D142" s="19"/>
      <c r="E142" s="19"/>
      <c r="F142" s="7" t="str">
        <f aca="false">IFERROR(VLOOKUP(E142,'Subject Areas Reference'!$B$4:$C$14,2,FALSE()),"")</f>
        <v/>
      </c>
      <c r="G142" s="19"/>
      <c r="H142" s="19"/>
    </row>
    <row r="143" customFormat="false" ht="23.85" hidden="false" customHeight="false" outlineLevel="0" collapsed="false">
      <c r="A143" s="4" t="s">
        <v>432</v>
      </c>
      <c r="B143" s="20"/>
      <c r="C143" s="20"/>
      <c r="D143" s="20"/>
      <c r="E143" s="20"/>
      <c r="F143" s="4" t="str">
        <f aca="false">IFERROR(VLOOKUP(E143,'Subject Areas Reference'!$B$4:$C$14,2,FALSE()),"")</f>
        <v/>
      </c>
      <c r="G143" s="20"/>
      <c r="H143" s="20"/>
    </row>
    <row r="144" customFormat="false" ht="23.85" hidden="false" customHeight="false" outlineLevel="0" collapsed="false">
      <c r="A144" s="7" t="s">
        <v>433</v>
      </c>
      <c r="B144" s="19"/>
      <c r="C144" s="19"/>
      <c r="D144" s="19"/>
      <c r="E144" s="19"/>
      <c r="F144" s="7" t="str">
        <f aca="false">IFERROR(VLOOKUP(E144,'Subject Areas Reference'!$B$4:$C$14,2,FALSE()),"")</f>
        <v/>
      </c>
      <c r="G144" s="19"/>
      <c r="H144" s="19"/>
    </row>
    <row r="145" customFormat="false" ht="23.85" hidden="false" customHeight="false" outlineLevel="0" collapsed="false">
      <c r="A145" s="4" t="s">
        <v>434</v>
      </c>
      <c r="B145" s="20"/>
      <c r="C145" s="20"/>
      <c r="D145" s="20"/>
      <c r="E145" s="20"/>
      <c r="F145" s="4" t="str">
        <f aca="false">IFERROR(VLOOKUP(E145,'Subject Areas Reference'!$B$4:$C$14,2,FALSE()),"")</f>
        <v/>
      </c>
      <c r="G145" s="20"/>
      <c r="H145" s="20"/>
    </row>
    <row r="146" customFormat="false" ht="23.85" hidden="false" customHeight="false" outlineLevel="0" collapsed="false">
      <c r="A146" s="7" t="s">
        <v>435</v>
      </c>
      <c r="B146" s="19"/>
      <c r="C146" s="19"/>
      <c r="D146" s="19"/>
      <c r="E146" s="19"/>
      <c r="F146" s="7" t="str">
        <f aca="false">IFERROR(VLOOKUP(E146,'Subject Areas Reference'!$B$4:$C$14,2,FALSE()),"")</f>
        <v/>
      </c>
      <c r="G146" s="19"/>
      <c r="H146" s="19"/>
    </row>
    <row r="147" customFormat="false" ht="23.85" hidden="false" customHeight="false" outlineLevel="0" collapsed="false">
      <c r="A147" s="4" t="s">
        <v>436</v>
      </c>
      <c r="B147" s="20"/>
      <c r="C147" s="20"/>
      <c r="D147" s="20"/>
      <c r="E147" s="20"/>
      <c r="F147" s="4" t="str">
        <f aca="false">IFERROR(VLOOKUP(E147,'Subject Areas Reference'!$B$4:$C$14,2,FALSE()),"")</f>
        <v/>
      </c>
      <c r="G147" s="20"/>
      <c r="H147" s="20"/>
    </row>
    <row r="148" customFormat="false" ht="23.85" hidden="false" customHeight="false" outlineLevel="0" collapsed="false">
      <c r="A148" s="7" t="s">
        <v>437</v>
      </c>
      <c r="B148" s="19"/>
      <c r="C148" s="19"/>
      <c r="D148" s="19"/>
      <c r="E148" s="19"/>
      <c r="F148" s="7" t="str">
        <f aca="false">IFERROR(VLOOKUP(E148,'Subject Areas Reference'!$B$4:$C$14,2,FALSE()),"")</f>
        <v/>
      </c>
      <c r="G148" s="19"/>
      <c r="H148" s="19"/>
    </row>
    <row r="149" customFormat="false" ht="23.85" hidden="false" customHeight="false" outlineLevel="0" collapsed="false">
      <c r="A149" s="4" t="s">
        <v>438</v>
      </c>
      <c r="B149" s="20"/>
      <c r="C149" s="20"/>
      <c r="D149" s="20"/>
      <c r="E149" s="20"/>
      <c r="F149" s="4" t="str">
        <f aca="false">IFERROR(VLOOKUP(E149,'Subject Areas Reference'!$B$4:$C$14,2,FALSE()),"")</f>
        <v/>
      </c>
      <c r="G149" s="20"/>
      <c r="H149" s="20"/>
    </row>
    <row r="150" customFormat="false" ht="23.85" hidden="false" customHeight="false" outlineLevel="0" collapsed="false">
      <c r="A150" s="7" t="s">
        <v>439</v>
      </c>
      <c r="B150" s="19"/>
      <c r="C150" s="19"/>
      <c r="D150" s="19"/>
      <c r="E150" s="19"/>
      <c r="F150" s="7" t="str">
        <f aca="false">IFERROR(VLOOKUP(E150,'Subject Areas Reference'!$B$4:$C$14,2,FALSE()),"")</f>
        <v/>
      </c>
      <c r="G150" s="19"/>
      <c r="H150" s="19"/>
    </row>
    <row r="151" customFormat="false" ht="23.85" hidden="false" customHeight="false" outlineLevel="0" collapsed="false">
      <c r="A151" s="4" t="s">
        <v>440</v>
      </c>
      <c r="B151" s="20"/>
      <c r="C151" s="20"/>
      <c r="D151" s="20"/>
      <c r="E151" s="20"/>
      <c r="F151" s="4" t="str">
        <f aca="false">IFERROR(VLOOKUP(E151,'Subject Areas Reference'!$B$4:$C$14,2,FALSE()),"")</f>
        <v/>
      </c>
      <c r="G151" s="20"/>
      <c r="H151" s="20"/>
    </row>
    <row r="152" customFormat="false" ht="23.85" hidden="false" customHeight="false" outlineLevel="0" collapsed="false">
      <c r="A152" s="7" t="s">
        <v>441</v>
      </c>
      <c r="B152" s="19"/>
      <c r="C152" s="19"/>
      <c r="D152" s="19"/>
      <c r="E152" s="19"/>
      <c r="F152" s="7" t="str">
        <f aca="false">IFERROR(VLOOKUP(E152,'Subject Areas Reference'!$B$4:$C$14,2,FALSE()),"")</f>
        <v/>
      </c>
      <c r="G152" s="19"/>
      <c r="H152" s="19"/>
    </row>
    <row r="153" customFormat="false" ht="23.85" hidden="false" customHeight="false" outlineLevel="0" collapsed="false">
      <c r="A153" s="4" t="s">
        <v>442</v>
      </c>
      <c r="B153" s="20"/>
      <c r="C153" s="20"/>
      <c r="D153" s="20"/>
      <c r="E153" s="20"/>
      <c r="F153" s="4" t="str">
        <f aca="false">IFERROR(VLOOKUP(E153,'Subject Areas Reference'!$B$4:$C$14,2,FALSE()),"")</f>
        <v/>
      </c>
      <c r="G153" s="20"/>
      <c r="H153" s="20"/>
    </row>
    <row r="154" customFormat="false" ht="23.85" hidden="false" customHeight="false" outlineLevel="0" collapsed="false">
      <c r="A154" s="7" t="s">
        <v>443</v>
      </c>
      <c r="B154" s="19"/>
      <c r="C154" s="19"/>
      <c r="D154" s="19"/>
      <c r="E154" s="19"/>
      <c r="F154" s="7" t="str">
        <f aca="false">IFERROR(VLOOKUP(E154,'Subject Areas Reference'!$B$4:$C$14,2,FALSE()),"")</f>
        <v/>
      </c>
      <c r="G154" s="19"/>
      <c r="H154" s="19"/>
    </row>
    <row r="155" customFormat="false" ht="23.85" hidden="false" customHeight="false" outlineLevel="0" collapsed="false">
      <c r="A155" s="4" t="s">
        <v>444</v>
      </c>
      <c r="B155" s="20"/>
      <c r="C155" s="20"/>
      <c r="D155" s="20"/>
      <c r="E155" s="20"/>
      <c r="F155" s="4" t="str">
        <f aca="false">IFERROR(VLOOKUP(E155,'Subject Areas Reference'!$B$4:$C$14,2,FALSE()),"")</f>
        <v/>
      </c>
      <c r="G155" s="20"/>
      <c r="H155" s="20"/>
    </row>
    <row r="156" customFormat="false" ht="23.85" hidden="false" customHeight="false" outlineLevel="0" collapsed="false">
      <c r="A156" s="7" t="s">
        <v>445</v>
      </c>
      <c r="B156" s="19"/>
      <c r="C156" s="19"/>
      <c r="D156" s="19"/>
      <c r="E156" s="19"/>
      <c r="F156" s="7" t="str">
        <f aca="false">IFERROR(VLOOKUP(E156,'Subject Areas Reference'!$B$4:$C$14,2,FALSE()),"")</f>
        <v/>
      </c>
      <c r="G156" s="19"/>
      <c r="H156" s="19"/>
    </row>
    <row r="157" customFormat="false" ht="23.85" hidden="false" customHeight="false" outlineLevel="0" collapsed="false">
      <c r="A157" s="4" t="s">
        <v>446</v>
      </c>
      <c r="B157" s="20"/>
      <c r="C157" s="20"/>
      <c r="D157" s="20"/>
      <c r="E157" s="20"/>
      <c r="F157" s="4" t="str">
        <f aca="false">IFERROR(VLOOKUP(E157,'Subject Areas Reference'!$B$4:$C$14,2,FALSE()),"")</f>
        <v/>
      </c>
      <c r="G157" s="20"/>
      <c r="H157" s="20"/>
    </row>
    <row r="158" customFormat="false" ht="23.85" hidden="false" customHeight="false" outlineLevel="0" collapsed="false">
      <c r="A158" s="7" t="s">
        <v>447</v>
      </c>
      <c r="B158" s="19"/>
      <c r="C158" s="19"/>
      <c r="D158" s="19"/>
      <c r="E158" s="19"/>
      <c r="F158" s="7" t="str">
        <f aca="false">IFERROR(VLOOKUP(E158,'Subject Areas Reference'!$B$4:$C$14,2,FALSE()),"")</f>
        <v/>
      </c>
      <c r="G158" s="19"/>
      <c r="H158" s="19"/>
    </row>
    <row r="159" customFormat="false" ht="23.85" hidden="false" customHeight="false" outlineLevel="0" collapsed="false">
      <c r="A159" s="4" t="s">
        <v>448</v>
      </c>
      <c r="B159" s="20"/>
      <c r="C159" s="20"/>
      <c r="D159" s="20"/>
      <c r="E159" s="20"/>
      <c r="F159" s="4" t="str">
        <f aca="false">IFERROR(VLOOKUP(E159,'Subject Areas Reference'!$B$4:$C$14,2,FALSE()),"")</f>
        <v/>
      </c>
      <c r="G159" s="20"/>
      <c r="H159" s="20"/>
    </row>
    <row r="160" customFormat="false" ht="23.85" hidden="false" customHeight="false" outlineLevel="0" collapsed="false">
      <c r="A160" s="7" t="s">
        <v>449</v>
      </c>
      <c r="B160" s="19"/>
      <c r="C160" s="19"/>
      <c r="D160" s="19"/>
      <c r="E160" s="19"/>
      <c r="F160" s="7" t="str">
        <f aca="false">IFERROR(VLOOKUP(E160,'Subject Areas Reference'!$B$4:$C$14,2,FALSE()),"")</f>
        <v/>
      </c>
      <c r="G160" s="19"/>
      <c r="H160" s="19"/>
    </row>
    <row r="161" customFormat="false" ht="23.85" hidden="false" customHeight="false" outlineLevel="0" collapsed="false">
      <c r="A161" s="4" t="s">
        <v>450</v>
      </c>
      <c r="B161" s="20"/>
      <c r="C161" s="20"/>
      <c r="D161" s="20"/>
      <c r="E161" s="20"/>
      <c r="F161" s="4" t="str">
        <f aca="false">IFERROR(VLOOKUP(E161,'Subject Areas Reference'!$B$4:$C$14,2,FALSE()),"")</f>
        <v/>
      </c>
      <c r="G161" s="20"/>
      <c r="H161" s="20"/>
    </row>
    <row r="162" customFormat="false" ht="23.85" hidden="false" customHeight="false" outlineLevel="0" collapsed="false">
      <c r="A162" s="7" t="s">
        <v>451</v>
      </c>
      <c r="B162" s="19"/>
      <c r="C162" s="19"/>
      <c r="D162" s="19"/>
      <c r="E162" s="19"/>
      <c r="F162" s="7" t="str">
        <f aca="false">IFERROR(VLOOKUP(E162,'Subject Areas Reference'!$B$4:$C$14,2,FALSE()),"")</f>
        <v/>
      </c>
      <c r="G162" s="19"/>
      <c r="H162" s="19"/>
    </row>
    <row r="163" customFormat="false" ht="23.85" hidden="false" customHeight="false" outlineLevel="0" collapsed="false">
      <c r="A163" s="4" t="s">
        <v>452</v>
      </c>
      <c r="B163" s="20"/>
      <c r="C163" s="20"/>
      <c r="D163" s="20"/>
      <c r="E163" s="20"/>
      <c r="F163" s="4" t="str">
        <f aca="false">IFERROR(VLOOKUP(E163,'Subject Areas Reference'!$B$4:$C$14,2,FALSE()),"")</f>
        <v/>
      </c>
      <c r="G163" s="20"/>
      <c r="H163" s="20"/>
    </row>
    <row r="164" customFormat="false" ht="23.85" hidden="false" customHeight="false" outlineLevel="0" collapsed="false">
      <c r="A164" s="7" t="s">
        <v>453</v>
      </c>
      <c r="B164" s="19"/>
      <c r="C164" s="19"/>
      <c r="D164" s="19"/>
      <c r="E164" s="19"/>
      <c r="F164" s="7" t="str">
        <f aca="false">IFERROR(VLOOKUP(E164,'Subject Areas Reference'!$B$4:$C$14,2,FALSE()),"")</f>
        <v/>
      </c>
      <c r="G164" s="19"/>
      <c r="H164" s="19"/>
    </row>
    <row r="165" customFormat="false" ht="23.85" hidden="false" customHeight="false" outlineLevel="0" collapsed="false">
      <c r="A165" s="4" t="s">
        <v>454</v>
      </c>
      <c r="B165" s="20"/>
      <c r="C165" s="20"/>
      <c r="D165" s="20"/>
      <c r="E165" s="20"/>
      <c r="F165" s="4" t="str">
        <f aca="false">IFERROR(VLOOKUP(E165,'Subject Areas Reference'!$B$4:$C$14,2,FALSE()),"")</f>
        <v/>
      </c>
      <c r="G165" s="20"/>
      <c r="H165" s="20"/>
    </row>
    <row r="166" customFormat="false" ht="23.85" hidden="false" customHeight="false" outlineLevel="0" collapsed="false">
      <c r="A166" s="7" t="s">
        <v>455</v>
      </c>
      <c r="B166" s="19"/>
      <c r="C166" s="19"/>
      <c r="D166" s="19"/>
      <c r="E166" s="19"/>
      <c r="F166" s="7" t="str">
        <f aca="false">IFERROR(VLOOKUP(E166,'Subject Areas Reference'!$B$4:$C$14,2,FALSE()),"")</f>
        <v/>
      </c>
      <c r="G166" s="19"/>
      <c r="H166" s="19"/>
    </row>
    <row r="167" customFormat="false" ht="23.85" hidden="false" customHeight="false" outlineLevel="0" collapsed="false">
      <c r="A167" s="4" t="s">
        <v>456</v>
      </c>
      <c r="B167" s="20"/>
      <c r="C167" s="20"/>
      <c r="D167" s="20"/>
      <c r="E167" s="20"/>
      <c r="F167" s="4" t="str">
        <f aca="false">IFERROR(VLOOKUP(E167,'Subject Areas Reference'!$B$4:$C$14,2,FALSE()),"")</f>
        <v/>
      </c>
      <c r="G167" s="20"/>
      <c r="H167" s="20"/>
    </row>
    <row r="168" customFormat="false" ht="23.85" hidden="false" customHeight="false" outlineLevel="0" collapsed="false">
      <c r="A168" s="7" t="s">
        <v>457</v>
      </c>
      <c r="B168" s="19"/>
      <c r="C168" s="19"/>
      <c r="D168" s="19"/>
      <c r="E168" s="19"/>
      <c r="F168" s="7" t="str">
        <f aca="false">IFERROR(VLOOKUP(E168,'Subject Areas Reference'!$B$4:$C$14,2,FALSE()),"")</f>
        <v/>
      </c>
      <c r="G168" s="19"/>
      <c r="H168" s="19"/>
    </row>
    <row r="169" customFormat="false" ht="23.85" hidden="false" customHeight="false" outlineLevel="0" collapsed="false">
      <c r="A169" s="4" t="s">
        <v>458</v>
      </c>
      <c r="B169" s="20"/>
      <c r="C169" s="20"/>
      <c r="D169" s="20"/>
      <c r="E169" s="20"/>
      <c r="F169" s="4" t="str">
        <f aca="false">IFERROR(VLOOKUP(E169,'Subject Areas Reference'!$B$4:$C$14,2,FALSE()),"")</f>
        <v/>
      </c>
      <c r="G169" s="20"/>
      <c r="H169" s="20"/>
    </row>
    <row r="170" customFormat="false" ht="23.85" hidden="false" customHeight="false" outlineLevel="0" collapsed="false">
      <c r="A170" s="7" t="s">
        <v>459</v>
      </c>
      <c r="B170" s="19"/>
      <c r="C170" s="19"/>
      <c r="D170" s="19"/>
      <c r="E170" s="19"/>
      <c r="F170" s="7" t="str">
        <f aca="false">IFERROR(VLOOKUP(E170,'Subject Areas Reference'!$B$4:$C$14,2,FALSE()),"")</f>
        <v/>
      </c>
      <c r="G170" s="19"/>
      <c r="H170" s="19"/>
    </row>
    <row r="171" customFormat="false" ht="23.85" hidden="false" customHeight="false" outlineLevel="0" collapsed="false">
      <c r="A171" s="4" t="s">
        <v>460</v>
      </c>
      <c r="B171" s="20"/>
      <c r="C171" s="20"/>
      <c r="D171" s="20"/>
      <c r="E171" s="20"/>
      <c r="F171" s="4" t="str">
        <f aca="false">IFERROR(VLOOKUP(E171,'Subject Areas Reference'!$B$4:$C$14,2,FALSE()),"")</f>
        <v/>
      </c>
      <c r="G171" s="20"/>
      <c r="H171" s="20"/>
    </row>
    <row r="172" customFormat="false" ht="23.85" hidden="false" customHeight="false" outlineLevel="0" collapsed="false">
      <c r="A172" s="7" t="s">
        <v>461</v>
      </c>
      <c r="B172" s="19"/>
      <c r="C172" s="19"/>
      <c r="D172" s="19"/>
      <c r="E172" s="19"/>
      <c r="F172" s="7" t="str">
        <f aca="false">IFERROR(VLOOKUP(E172,'Subject Areas Reference'!$B$4:$C$14,2,FALSE()),"")</f>
        <v/>
      </c>
      <c r="G172" s="19"/>
      <c r="H172" s="19"/>
    </row>
    <row r="173" customFormat="false" ht="23.85" hidden="false" customHeight="false" outlineLevel="0" collapsed="false">
      <c r="A173" s="4" t="s">
        <v>462</v>
      </c>
      <c r="B173" s="20"/>
      <c r="C173" s="20"/>
      <c r="D173" s="20"/>
      <c r="E173" s="20"/>
      <c r="F173" s="4" t="str">
        <f aca="false">IFERROR(VLOOKUP(E173,'Subject Areas Reference'!$B$4:$C$14,2,FALSE()),"")</f>
        <v/>
      </c>
      <c r="G173" s="20"/>
      <c r="H173" s="20"/>
    </row>
    <row r="174" customFormat="false" ht="23.85" hidden="false" customHeight="false" outlineLevel="0" collapsed="false">
      <c r="A174" s="7" t="s">
        <v>463</v>
      </c>
      <c r="B174" s="19"/>
      <c r="C174" s="19"/>
      <c r="D174" s="19"/>
      <c r="E174" s="19"/>
      <c r="F174" s="7" t="str">
        <f aca="false">IFERROR(VLOOKUP(E174,'Subject Areas Reference'!$B$4:$C$14,2,FALSE()),"")</f>
        <v/>
      </c>
      <c r="G174" s="19"/>
      <c r="H174" s="19"/>
    </row>
    <row r="175" customFormat="false" ht="23.85" hidden="false" customHeight="false" outlineLevel="0" collapsed="false">
      <c r="A175" s="4" t="s">
        <v>464</v>
      </c>
      <c r="B175" s="20"/>
      <c r="C175" s="20"/>
      <c r="D175" s="20"/>
      <c r="E175" s="20"/>
      <c r="F175" s="4" t="str">
        <f aca="false">IFERROR(VLOOKUP(E175,'Subject Areas Reference'!$B$4:$C$14,2,FALSE()),"")</f>
        <v/>
      </c>
      <c r="G175" s="20"/>
      <c r="H175" s="20"/>
    </row>
    <row r="176" customFormat="false" ht="23.85" hidden="false" customHeight="false" outlineLevel="0" collapsed="false">
      <c r="A176" s="7" t="s">
        <v>465</v>
      </c>
      <c r="B176" s="19"/>
      <c r="C176" s="19"/>
      <c r="D176" s="19"/>
      <c r="E176" s="19"/>
      <c r="F176" s="7" t="str">
        <f aca="false">IFERROR(VLOOKUP(E176,'Subject Areas Reference'!$B$4:$C$14,2,FALSE()),"")</f>
        <v/>
      </c>
      <c r="G176" s="19"/>
      <c r="H176" s="19"/>
    </row>
    <row r="177" customFormat="false" ht="23.85" hidden="false" customHeight="false" outlineLevel="0" collapsed="false">
      <c r="A177" s="4" t="s">
        <v>466</v>
      </c>
      <c r="B177" s="20"/>
      <c r="C177" s="20"/>
      <c r="D177" s="20"/>
      <c r="E177" s="20"/>
      <c r="F177" s="4" t="str">
        <f aca="false">IFERROR(VLOOKUP(E177,'Subject Areas Reference'!$B$4:$C$14,2,FALSE()),"")</f>
        <v/>
      </c>
      <c r="G177" s="20"/>
      <c r="H177" s="20"/>
    </row>
    <row r="178" customFormat="false" ht="23.85" hidden="false" customHeight="false" outlineLevel="0" collapsed="false">
      <c r="A178" s="7" t="s">
        <v>467</v>
      </c>
      <c r="B178" s="19"/>
      <c r="C178" s="19"/>
      <c r="D178" s="19"/>
      <c r="E178" s="19"/>
      <c r="F178" s="7" t="str">
        <f aca="false">IFERROR(VLOOKUP(E178,'Subject Areas Reference'!$B$4:$C$14,2,FALSE()),"")</f>
        <v/>
      </c>
      <c r="G178" s="19"/>
      <c r="H178" s="19"/>
    </row>
    <row r="179" customFormat="false" ht="23.85" hidden="false" customHeight="false" outlineLevel="0" collapsed="false">
      <c r="A179" s="4" t="s">
        <v>468</v>
      </c>
      <c r="B179" s="20"/>
      <c r="C179" s="20"/>
      <c r="D179" s="20"/>
      <c r="E179" s="20"/>
      <c r="F179" s="4" t="str">
        <f aca="false">IFERROR(VLOOKUP(E179,'Subject Areas Reference'!$B$4:$C$14,2,FALSE()),"")</f>
        <v/>
      </c>
      <c r="G179" s="20"/>
      <c r="H179" s="20"/>
    </row>
    <row r="180" customFormat="false" ht="23.85" hidden="false" customHeight="false" outlineLevel="0" collapsed="false">
      <c r="A180" s="7" t="s">
        <v>469</v>
      </c>
      <c r="B180" s="19"/>
      <c r="C180" s="19"/>
      <c r="D180" s="19"/>
      <c r="E180" s="19"/>
      <c r="F180" s="7" t="str">
        <f aca="false">IFERROR(VLOOKUP(E180,'Subject Areas Reference'!$B$4:$C$14,2,FALSE()),"")</f>
        <v/>
      </c>
      <c r="G180" s="19"/>
      <c r="H180" s="19"/>
    </row>
    <row r="181" customFormat="false" ht="23.85" hidden="false" customHeight="false" outlineLevel="0" collapsed="false">
      <c r="A181" s="4" t="s">
        <v>470</v>
      </c>
      <c r="B181" s="20"/>
      <c r="C181" s="20"/>
      <c r="D181" s="20"/>
      <c r="E181" s="20"/>
      <c r="F181" s="4" t="str">
        <f aca="false">IFERROR(VLOOKUP(E181,'Subject Areas Reference'!$B$4:$C$14,2,FALSE()),"")</f>
        <v/>
      </c>
      <c r="G181" s="20"/>
      <c r="H181" s="20"/>
    </row>
    <row r="182" customFormat="false" ht="23.85" hidden="false" customHeight="false" outlineLevel="0" collapsed="false">
      <c r="A182" s="7" t="s">
        <v>471</v>
      </c>
      <c r="B182" s="19"/>
      <c r="C182" s="19"/>
      <c r="D182" s="19"/>
      <c r="E182" s="19"/>
      <c r="F182" s="7" t="str">
        <f aca="false">IFERROR(VLOOKUP(E182,'Subject Areas Reference'!$B$4:$C$14,2,FALSE()),"")</f>
        <v/>
      </c>
      <c r="G182" s="19"/>
      <c r="H182" s="19"/>
    </row>
    <row r="183" customFormat="false" ht="23.85" hidden="false" customHeight="false" outlineLevel="0" collapsed="false">
      <c r="A183" s="4" t="s">
        <v>472</v>
      </c>
      <c r="B183" s="20"/>
      <c r="C183" s="20"/>
      <c r="D183" s="20"/>
      <c r="E183" s="20"/>
      <c r="F183" s="4" t="str">
        <f aca="false">IFERROR(VLOOKUP(E183,'Subject Areas Reference'!$B$4:$C$14,2,FALSE()),"")</f>
        <v/>
      </c>
      <c r="G183" s="20"/>
      <c r="H183" s="20"/>
    </row>
    <row r="184" customFormat="false" ht="23.85" hidden="false" customHeight="false" outlineLevel="0" collapsed="false">
      <c r="A184" s="7" t="s">
        <v>473</v>
      </c>
      <c r="B184" s="19"/>
      <c r="C184" s="19"/>
      <c r="D184" s="19"/>
      <c r="E184" s="19"/>
      <c r="F184" s="7" t="str">
        <f aca="false">IFERROR(VLOOKUP(E184,'Subject Areas Reference'!$B$4:$C$14,2,FALSE()),"")</f>
        <v/>
      </c>
      <c r="G184" s="19"/>
      <c r="H184" s="19"/>
    </row>
    <row r="185" customFormat="false" ht="23.85" hidden="false" customHeight="false" outlineLevel="0" collapsed="false">
      <c r="A185" s="4" t="s">
        <v>474</v>
      </c>
      <c r="B185" s="20"/>
      <c r="C185" s="20"/>
      <c r="D185" s="20"/>
      <c r="E185" s="20"/>
      <c r="F185" s="4" t="str">
        <f aca="false">IFERROR(VLOOKUP(E185,'Subject Areas Reference'!$B$4:$C$14,2,FALSE()),"")</f>
        <v/>
      </c>
      <c r="G185" s="20"/>
      <c r="H185" s="20"/>
    </row>
    <row r="186" customFormat="false" ht="23.85" hidden="false" customHeight="false" outlineLevel="0" collapsed="false">
      <c r="A186" s="7" t="s">
        <v>475</v>
      </c>
      <c r="B186" s="19"/>
      <c r="C186" s="19"/>
      <c r="D186" s="19"/>
      <c r="E186" s="19"/>
      <c r="F186" s="7" t="str">
        <f aca="false">IFERROR(VLOOKUP(E186,'Subject Areas Reference'!$B$4:$C$14,2,FALSE()),"")</f>
        <v/>
      </c>
      <c r="G186" s="19"/>
      <c r="H186" s="19"/>
    </row>
    <row r="187" customFormat="false" ht="23.85" hidden="false" customHeight="false" outlineLevel="0" collapsed="false">
      <c r="A187" s="4" t="s">
        <v>476</v>
      </c>
      <c r="B187" s="20"/>
      <c r="C187" s="20"/>
      <c r="D187" s="20"/>
      <c r="E187" s="20"/>
      <c r="F187" s="4" t="str">
        <f aca="false">IFERROR(VLOOKUP(E187,'Subject Areas Reference'!$B$4:$C$14,2,FALSE()),"")</f>
        <v/>
      </c>
      <c r="G187" s="20"/>
      <c r="H187" s="20"/>
    </row>
    <row r="188" customFormat="false" ht="23.85" hidden="false" customHeight="false" outlineLevel="0" collapsed="false">
      <c r="A188" s="7" t="s">
        <v>477</v>
      </c>
      <c r="B188" s="19"/>
      <c r="C188" s="19"/>
      <c r="D188" s="19"/>
      <c r="E188" s="19"/>
      <c r="F188" s="7" t="str">
        <f aca="false">IFERROR(VLOOKUP(E188,'Subject Areas Reference'!$B$4:$C$14,2,FALSE()),"")</f>
        <v/>
      </c>
      <c r="G188" s="19"/>
      <c r="H188" s="19"/>
    </row>
    <row r="189" customFormat="false" ht="23.85" hidden="false" customHeight="false" outlineLevel="0" collapsed="false">
      <c r="A189" s="4" t="s">
        <v>478</v>
      </c>
      <c r="B189" s="20"/>
      <c r="C189" s="20"/>
      <c r="D189" s="20"/>
      <c r="E189" s="20"/>
      <c r="F189" s="4" t="str">
        <f aca="false">IFERROR(VLOOKUP(E189,'Subject Areas Reference'!$B$4:$C$14,2,FALSE()),"")</f>
        <v/>
      </c>
      <c r="G189" s="20"/>
      <c r="H189" s="20"/>
    </row>
    <row r="190" customFormat="false" ht="23.85" hidden="false" customHeight="false" outlineLevel="0" collapsed="false">
      <c r="A190" s="7" t="s">
        <v>479</v>
      </c>
      <c r="B190" s="19"/>
      <c r="C190" s="19"/>
      <c r="D190" s="19"/>
      <c r="E190" s="19"/>
      <c r="F190" s="7" t="str">
        <f aca="false">IFERROR(VLOOKUP(E190,'Subject Areas Reference'!$B$4:$C$14,2,FALSE()),"")</f>
        <v/>
      </c>
      <c r="G190" s="19"/>
      <c r="H190" s="19"/>
    </row>
    <row r="191" customFormat="false" ht="23.85" hidden="false" customHeight="false" outlineLevel="0" collapsed="false">
      <c r="A191" s="4" t="s">
        <v>480</v>
      </c>
      <c r="B191" s="20"/>
      <c r="C191" s="20"/>
      <c r="D191" s="20"/>
      <c r="E191" s="20"/>
      <c r="F191" s="4" t="str">
        <f aca="false">IFERROR(VLOOKUP(E191,'Subject Areas Reference'!$B$4:$C$14,2,FALSE()),"")</f>
        <v/>
      </c>
      <c r="G191" s="20"/>
      <c r="H191" s="20"/>
    </row>
    <row r="192" customFormat="false" ht="23.85" hidden="false" customHeight="false" outlineLevel="0" collapsed="false">
      <c r="A192" s="7" t="s">
        <v>481</v>
      </c>
      <c r="B192" s="19"/>
      <c r="C192" s="19"/>
      <c r="D192" s="19"/>
      <c r="E192" s="19"/>
      <c r="F192" s="7" t="str">
        <f aca="false">IFERROR(VLOOKUP(E192,'Subject Areas Reference'!$B$4:$C$14,2,FALSE()),"")</f>
        <v/>
      </c>
      <c r="G192" s="19"/>
      <c r="H192" s="19"/>
    </row>
    <row r="193" customFormat="false" ht="23.85" hidden="false" customHeight="false" outlineLevel="0" collapsed="false">
      <c r="A193" s="4" t="s">
        <v>482</v>
      </c>
      <c r="B193" s="20"/>
      <c r="C193" s="20"/>
      <c r="D193" s="20"/>
      <c r="E193" s="20"/>
      <c r="F193" s="4" t="str">
        <f aca="false">IFERROR(VLOOKUP(E193,'Subject Areas Reference'!$B$4:$C$14,2,FALSE()),"")</f>
        <v/>
      </c>
      <c r="G193" s="20"/>
      <c r="H193" s="20"/>
    </row>
    <row r="194" customFormat="false" ht="23.85" hidden="false" customHeight="false" outlineLevel="0" collapsed="false">
      <c r="A194" s="7" t="s">
        <v>483</v>
      </c>
      <c r="B194" s="19"/>
      <c r="C194" s="19"/>
      <c r="D194" s="19"/>
      <c r="E194" s="19"/>
      <c r="F194" s="7" t="str">
        <f aca="false">IFERROR(VLOOKUP(E194,'Subject Areas Reference'!$B$4:$C$14,2,FALSE()),"")</f>
        <v/>
      </c>
      <c r="G194" s="19"/>
      <c r="H194" s="19"/>
    </row>
    <row r="195" customFormat="false" ht="23.85" hidden="false" customHeight="false" outlineLevel="0" collapsed="false">
      <c r="A195" s="4" t="s">
        <v>484</v>
      </c>
      <c r="B195" s="20"/>
      <c r="C195" s="20"/>
      <c r="D195" s="20"/>
      <c r="E195" s="20"/>
      <c r="F195" s="4" t="str">
        <f aca="false">IFERROR(VLOOKUP(E195,'Subject Areas Reference'!$B$4:$C$14,2,FALSE()),"")</f>
        <v/>
      </c>
      <c r="G195" s="20"/>
      <c r="H195" s="20"/>
    </row>
    <row r="196" customFormat="false" ht="23.85" hidden="false" customHeight="false" outlineLevel="0" collapsed="false">
      <c r="A196" s="7" t="s">
        <v>485</v>
      </c>
      <c r="B196" s="19"/>
      <c r="C196" s="19"/>
      <c r="D196" s="19"/>
      <c r="E196" s="19"/>
      <c r="F196" s="7" t="str">
        <f aca="false">IFERROR(VLOOKUP(E196,'Subject Areas Reference'!$B$4:$C$14,2,FALSE()),"")</f>
        <v/>
      </c>
      <c r="G196" s="19"/>
      <c r="H196" s="19"/>
    </row>
    <row r="197" customFormat="false" ht="23.85" hidden="false" customHeight="false" outlineLevel="0" collapsed="false">
      <c r="A197" s="4" t="s">
        <v>486</v>
      </c>
      <c r="B197" s="20"/>
      <c r="C197" s="20"/>
      <c r="D197" s="20"/>
      <c r="E197" s="20"/>
      <c r="F197" s="4" t="str">
        <f aca="false">IFERROR(VLOOKUP(E197,'Subject Areas Reference'!$B$4:$C$14,2,FALSE()),"")</f>
        <v/>
      </c>
      <c r="G197" s="20"/>
      <c r="H197" s="20"/>
    </row>
    <row r="198" customFormat="false" ht="23.85" hidden="false" customHeight="false" outlineLevel="0" collapsed="false">
      <c r="A198" s="7" t="s">
        <v>487</v>
      </c>
      <c r="B198" s="19"/>
      <c r="C198" s="19"/>
      <c r="D198" s="19"/>
      <c r="E198" s="19"/>
      <c r="F198" s="7" t="str">
        <f aca="false">IFERROR(VLOOKUP(E198,'Subject Areas Reference'!$B$4:$C$14,2,FALSE()),"")</f>
        <v/>
      </c>
      <c r="G198" s="19"/>
      <c r="H198" s="19"/>
    </row>
    <row r="199" customFormat="false" ht="23.85" hidden="false" customHeight="false" outlineLevel="0" collapsed="false">
      <c r="A199" s="4" t="s">
        <v>488</v>
      </c>
      <c r="B199" s="20"/>
      <c r="C199" s="20"/>
      <c r="D199" s="20"/>
      <c r="E199" s="20"/>
      <c r="F199" s="4" t="str">
        <f aca="false">IFERROR(VLOOKUP(E199,'Subject Areas Reference'!$B$4:$C$14,2,FALSE()),"")</f>
        <v/>
      </c>
      <c r="G199" s="20"/>
      <c r="H199" s="20"/>
    </row>
    <row r="200" customFormat="false" ht="23.85" hidden="false" customHeight="false" outlineLevel="0" collapsed="false">
      <c r="A200" s="7" t="s">
        <v>489</v>
      </c>
      <c r="B200" s="19"/>
      <c r="C200" s="19"/>
      <c r="D200" s="19"/>
      <c r="E200" s="19"/>
      <c r="F200" s="7" t="str">
        <f aca="false">IFERROR(VLOOKUP(E200,'Subject Areas Reference'!$B$4:$C$14,2,FALSE()),"")</f>
        <v/>
      </c>
      <c r="G200" s="19"/>
      <c r="H200" s="19"/>
    </row>
    <row r="201" customFormat="false" ht="23.85" hidden="false" customHeight="false" outlineLevel="0" collapsed="false">
      <c r="A201" s="4" t="s">
        <v>490</v>
      </c>
      <c r="B201" s="20"/>
      <c r="C201" s="20"/>
      <c r="D201" s="20"/>
      <c r="E201" s="20"/>
      <c r="F201" s="4" t="str">
        <f aca="false">IFERROR(VLOOKUP(E201,'Subject Areas Reference'!$B$4:$C$14,2,FALSE()),"")</f>
        <v/>
      </c>
      <c r="G201" s="20"/>
      <c r="H201" s="20"/>
    </row>
    <row r="202" customFormat="false" ht="23.85" hidden="false" customHeight="false" outlineLevel="0" collapsed="false">
      <c r="A202" s="7" t="s">
        <v>491</v>
      </c>
      <c r="B202" s="19"/>
      <c r="C202" s="19"/>
      <c r="D202" s="19"/>
      <c r="E202" s="19"/>
      <c r="F202" s="7" t="str">
        <f aca="false">IFERROR(VLOOKUP(E202,'Subject Areas Reference'!$B$4:$C$14,2,FALSE()),"")</f>
        <v/>
      </c>
      <c r="G202" s="19"/>
      <c r="H202" s="19"/>
    </row>
    <row r="203" customFormat="false" ht="23.85" hidden="false" customHeight="false" outlineLevel="0" collapsed="false">
      <c r="A203" s="4" t="s">
        <v>492</v>
      </c>
      <c r="B203" s="20"/>
      <c r="C203" s="20"/>
      <c r="D203" s="20"/>
      <c r="E203" s="20"/>
      <c r="F203" s="4" t="str">
        <f aca="false">IFERROR(VLOOKUP(E203,'Subject Areas Reference'!$B$4:$C$14,2,FALSE()),"")</f>
        <v/>
      </c>
      <c r="G203" s="20"/>
      <c r="H203" s="2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1"/>
    <col collapsed="false" customWidth="true" hidden="false" outlineLevel="0" max="14" min="13" style="0" width="14"/>
    <col collapsed="false" customWidth="true" hidden="false" outlineLevel="0" max="15" min="15" style="0" width="16"/>
  </cols>
  <sheetData>
    <row r="1" customFormat="false" ht="33.75" hidden="false" customHeight="true" outlineLevel="0" collapsed="false">
      <c r="A1" s="17" t="s">
        <v>493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customFormat="false" ht="25.5" hidden="false" customHeight="true" outlineLevel="0" collapsed="false">
      <c r="A2" s="10" t="s">
        <v>494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customFormat="false" ht="23.85" hidden="false" customHeight="false" outlineLevel="0" collapsed="false">
      <c r="A4" s="18" t="s">
        <v>495</v>
      </c>
      <c r="B4" s="18" t="s">
        <v>36</v>
      </c>
      <c r="C4" s="18" t="s">
        <v>41</v>
      </c>
      <c r="D4" s="18" t="s">
        <v>45</v>
      </c>
      <c r="E4" s="18" t="s">
        <v>49</v>
      </c>
      <c r="F4" s="18" t="s">
        <v>53</v>
      </c>
      <c r="G4" s="18" t="s">
        <v>57</v>
      </c>
      <c r="H4" s="18" t="s">
        <v>61</v>
      </c>
      <c r="I4" s="18" t="s">
        <v>65</v>
      </c>
      <c r="J4" s="18" t="s">
        <v>69</v>
      </c>
      <c r="K4" s="18" t="s">
        <v>73</v>
      </c>
      <c r="L4" s="18" t="s">
        <v>77</v>
      </c>
      <c r="M4" s="24" t="s">
        <v>496</v>
      </c>
      <c r="N4" s="24" t="s">
        <v>497</v>
      </c>
      <c r="O4" s="24" t="s">
        <v>498</v>
      </c>
    </row>
    <row r="5" customFormat="false" ht="15" hidden="false" customHeight="false" outlineLevel="0" collapsed="false">
      <c r="A5" s="20"/>
      <c r="B5" s="4" t="n">
        <f aca="false">IFERROR(COUNTIFS('1. Research Votes Log'!B:B,$A5,'1. Research Votes Log'!E:E,"AH"),0)</f>
        <v>0</v>
      </c>
      <c r="C5" s="4" t="n">
        <f aca="false">IFERROR(COUNTIFS('1. Research Votes Log'!B:B,$A5,'1. Research Votes Log'!E:E,"BE"),0)</f>
        <v>0</v>
      </c>
      <c r="D5" s="4" t="n">
        <f aca="false">IFERROR(COUNTIFS('1. Research Votes Log'!B:B,$A5,'1. Research Votes Log'!E:E,"CH"),0)</f>
        <v>0</v>
      </c>
      <c r="E5" s="4" t="n">
        <f aca="false">IFERROR(COUNTIFS('1. Research Votes Log'!B:B,$A5,'1. Research Votes Log'!E:E,"CS"),0)</f>
        <v>0</v>
      </c>
      <c r="F5" s="4" t="n">
        <f aca="false">IFERROR(COUNTIFS('1. Research Votes Log'!B:B,$A5,'1. Research Votes Log'!E:E,"ED"),0)</f>
        <v>0</v>
      </c>
      <c r="G5" s="4" t="n">
        <f aca="false">IFERROR(COUNTIFS('1. Research Votes Log'!B:B,$A5,'1. Research Votes Log'!E:E,"EN"),0)</f>
        <v>0</v>
      </c>
      <c r="H5" s="4" t="n">
        <f aca="false">IFERROR(COUNTIFS('1. Research Votes Log'!B:B,$A5,'1. Research Votes Log'!E:E,"LW"),0)</f>
        <v>0</v>
      </c>
      <c r="I5" s="4" t="n">
        <f aca="false">IFERROR(COUNTIFS('1. Research Votes Log'!B:B,$A5,'1. Research Votes Log'!E:E,"LS"),0)</f>
        <v>0</v>
      </c>
      <c r="J5" s="4" t="n">
        <f aca="false">IFERROR(COUNTIFS('1. Research Votes Log'!B:B,$A5,'1. Research Votes Log'!E:E,"PS"),0)</f>
        <v>0</v>
      </c>
      <c r="K5" s="4" t="n">
        <f aca="false">IFERROR(COUNTIFS('1. Research Votes Log'!B:B,$A5,'1. Research Votes Log'!E:E,"PY"),0)</f>
        <v>0</v>
      </c>
      <c r="L5" s="4" t="n">
        <f aca="false">IFERROR(COUNTIFS('1. Research Votes Log'!B:B,$A5,'1. Research Votes Log'!E:E,"SS"),0)</f>
        <v>0</v>
      </c>
      <c r="M5" s="16" t="n">
        <f aca="false">SUM(B5:L5)</f>
        <v>0</v>
      </c>
      <c r="N5" s="16" t="n">
        <f aca="false">COUNTIF(B5:L5,"&gt;0")</f>
        <v>0</v>
      </c>
      <c r="O5" s="25" t="n">
        <f aca="false">IFERROR(N5/11*100,0)</f>
        <v>0</v>
      </c>
    </row>
    <row r="6" customFormat="false" ht="15" hidden="false" customHeight="false" outlineLevel="0" collapsed="false">
      <c r="A6" s="19"/>
      <c r="B6" s="7" t="n">
        <f aca="false">IFERROR(COUNTIFS('1. Research Votes Log'!B:B,$A6,'1. Research Votes Log'!E:E,"AH"),0)</f>
        <v>0</v>
      </c>
      <c r="C6" s="7" t="n">
        <f aca="false">IFERROR(COUNTIFS('1. Research Votes Log'!B:B,$A6,'1. Research Votes Log'!E:E,"BE"),0)</f>
        <v>0</v>
      </c>
      <c r="D6" s="7" t="n">
        <f aca="false">IFERROR(COUNTIFS('1. Research Votes Log'!B:B,$A6,'1. Research Votes Log'!E:E,"CH"),0)</f>
        <v>0</v>
      </c>
      <c r="E6" s="7" t="n">
        <f aca="false">IFERROR(COUNTIFS('1. Research Votes Log'!B:B,$A6,'1. Research Votes Log'!E:E,"CS"),0)</f>
        <v>0</v>
      </c>
      <c r="F6" s="7" t="n">
        <f aca="false">IFERROR(COUNTIFS('1. Research Votes Log'!B:B,$A6,'1. Research Votes Log'!E:E,"ED"),0)</f>
        <v>0</v>
      </c>
      <c r="G6" s="7" t="n">
        <f aca="false">IFERROR(COUNTIFS('1. Research Votes Log'!B:B,$A6,'1. Research Votes Log'!E:E,"EN"),0)</f>
        <v>0</v>
      </c>
      <c r="H6" s="7" t="n">
        <f aca="false">IFERROR(COUNTIFS('1. Research Votes Log'!B:B,$A6,'1. Research Votes Log'!E:E,"LW"),0)</f>
        <v>0</v>
      </c>
      <c r="I6" s="7" t="n">
        <f aca="false">IFERROR(COUNTIFS('1. Research Votes Log'!B:B,$A6,'1. Research Votes Log'!E:E,"LS"),0)</f>
        <v>0</v>
      </c>
      <c r="J6" s="7" t="n">
        <f aca="false">IFERROR(COUNTIFS('1. Research Votes Log'!B:B,$A6,'1. Research Votes Log'!E:E,"PS"),0)</f>
        <v>0</v>
      </c>
      <c r="K6" s="7" t="n">
        <f aca="false">IFERROR(COUNTIFS('1. Research Votes Log'!B:B,$A6,'1. Research Votes Log'!E:E,"PY"),0)</f>
        <v>0</v>
      </c>
      <c r="L6" s="7" t="n">
        <f aca="false">IFERROR(COUNTIFS('1. Research Votes Log'!B:B,$A6,'1. Research Votes Log'!E:E,"SS"),0)</f>
        <v>0</v>
      </c>
      <c r="M6" s="15" t="n">
        <f aca="false">SUM(B6:L6)</f>
        <v>0</v>
      </c>
      <c r="N6" s="15" t="n">
        <f aca="false">COUNTIF(B6:L6,"&gt;0")</f>
        <v>0</v>
      </c>
      <c r="O6" s="26" t="n">
        <f aca="false">IFERROR(N6/11*100,0)</f>
        <v>0</v>
      </c>
    </row>
    <row r="7" customFormat="false" ht="15" hidden="false" customHeight="false" outlineLevel="0" collapsed="false">
      <c r="A7" s="20"/>
      <c r="B7" s="4" t="n">
        <f aca="false">IFERROR(COUNTIFS('1. Research Votes Log'!B:B,$A7,'1. Research Votes Log'!E:E,"AH"),0)</f>
        <v>0</v>
      </c>
      <c r="C7" s="4" t="n">
        <f aca="false">IFERROR(COUNTIFS('1. Research Votes Log'!B:B,$A7,'1. Research Votes Log'!E:E,"BE"),0)</f>
        <v>0</v>
      </c>
      <c r="D7" s="4" t="n">
        <f aca="false">IFERROR(COUNTIFS('1. Research Votes Log'!B:B,$A7,'1. Research Votes Log'!E:E,"CH"),0)</f>
        <v>0</v>
      </c>
      <c r="E7" s="4" t="n">
        <f aca="false">IFERROR(COUNTIFS('1. Research Votes Log'!B:B,$A7,'1. Research Votes Log'!E:E,"CS"),0)</f>
        <v>0</v>
      </c>
      <c r="F7" s="4" t="n">
        <f aca="false">IFERROR(COUNTIFS('1. Research Votes Log'!B:B,$A7,'1. Research Votes Log'!E:E,"ED"),0)</f>
        <v>0</v>
      </c>
      <c r="G7" s="4" t="n">
        <f aca="false">IFERROR(COUNTIFS('1. Research Votes Log'!B:B,$A7,'1. Research Votes Log'!E:E,"EN"),0)</f>
        <v>0</v>
      </c>
      <c r="H7" s="4" t="n">
        <f aca="false">IFERROR(COUNTIFS('1. Research Votes Log'!B:B,$A7,'1. Research Votes Log'!E:E,"LW"),0)</f>
        <v>0</v>
      </c>
      <c r="I7" s="4" t="n">
        <f aca="false">IFERROR(COUNTIFS('1. Research Votes Log'!B:B,$A7,'1. Research Votes Log'!E:E,"LS"),0)</f>
        <v>0</v>
      </c>
      <c r="J7" s="4" t="n">
        <f aca="false">IFERROR(COUNTIFS('1. Research Votes Log'!B:B,$A7,'1. Research Votes Log'!E:E,"PS"),0)</f>
        <v>0</v>
      </c>
      <c r="K7" s="4" t="n">
        <f aca="false">IFERROR(COUNTIFS('1. Research Votes Log'!B:B,$A7,'1. Research Votes Log'!E:E,"PY"),0)</f>
        <v>0</v>
      </c>
      <c r="L7" s="4" t="n">
        <f aca="false">IFERROR(COUNTIFS('1. Research Votes Log'!B:B,$A7,'1. Research Votes Log'!E:E,"SS"),0)</f>
        <v>0</v>
      </c>
      <c r="M7" s="16" t="n">
        <f aca="false">SUM(B7:L7)</f>
        <v>0</v>
      </c>
      <c r="N7" s="16" t="n">
        <f aca="false">COUNTIF(B7:L7,"&gt;0")</f>
        <v>0</v>
      </c>
      <c r="O7" s="25" t="n">
        <f aca="false">IFERROR(N7/11*100,0)</f>
        <v>0</v>
      </c>
    </row>
    <row r="8" customFormat="false" ht="15" hidden="false" customHeight="false" outlineLevel="0" collapsed="false">
      <c r="A8" s="19"/>
      <c r="B8" s="7" t="n">
        <f aca="false">IFERROR(COUNTIFS('1. Research Votes Log'!B:B,$A8,'1. Research Votes Log'!E:E,"AH"),0)</f>
        <v>0</v>
      </c>
      <c r="C8" s="7" t="n">
        <f aca="false">IFERROR(COUNTIFS('1. Research Votes Log'!B:B,$A8,'1. Research Votes Log'!E:E,"BE"),0)</f>
        <v>0</v>
      </c>
      <c r="D8" s="7" t="n">
        <f aca="false">IFERROR(COUNTIFS('1. Research Votes Log'!B:B,$A8,'1. Research Votes Log'!E:E,"CH"),0)</f>
        <v>0</v>
      </c>
      <c r="E8" s="7" t="n">
        <f aca="false">IFERROR(COUNTIFS('1. Research Votes Log'!B:B,$A8,'1. Research Votes Log'!E:E,"CS"),0)</f>
        <v>0</v>
      </c>
      <c r="F8" s="7" t="n">
        <f aca="false">IFERROR(COUNTIFS('1. Research Votes Log'!B:B,$A8,'1. Research Votes Log'!E:E,"ED"),0)</f>
        <v>0</v>
      </c>
      <c r="G8" s="7" t="n">
        <f aca="false">IFERROR(COUNTIFS('1. Research Votes Log'!B:B,$A8,'1. Research Votes Log'!E:E,"EN"),0)</f>
        <v>0</v>
      </c>
      <c r="H8" s="7" t="n">
        <f aca="false">IFERROR(COUNTIFS('1. Research Votes Log'!B:B,$A8,'1. Research Votes Log'!E:E,"LW"),0)</f>
        <v>0</v>
      </c>
      <c r="I8" s="7" t="n">
        <f aca="false">IFERROR(COUNTIFS('1. Research Votes Log'!B:B,$A8,'1. Research Votes Log'!E:E,"LS"),0)</f>
        <v>0</v>
      </c>
      <c r="J8" s="7" t="n">
        <f aca="false">IFERROR(COUNTIFS('1. Research Votes Log'!B:B,$A8,'1. Research Votes Log'!E:E,"PS"),0)</f>
        <v>0</v>
      </c>
      <c r="K8" s="7" t="n">
        <f aca="false">IFERROR(COUNTIFS('1. Research Votes Log'!B:B,$A8,'1. Research Votes Log'!E:E,"PY"),0)</f>
        <v>0</v>
      </c>
      <c r="L8" s="7" t="n">
        <f aca="false">IFERROR(COUNTIFS('1. Research Votes Log'!B:B,$A8,'1. Research Votes Log'!E:E,"SS"),0)</f>
        <v>0</v>
      </c>
      <c r="M8" s="15" t="n">
        <f aca="false">SUM(B8:L8)</f>
        <v>0</v>
      </c>
      <c r="N8" s="15" t="n">
        <f aca="false">COUNTIF(B8:L8,"&gt;0")</f>
        <v>0</v>
      </c>
      <c r="O8" s="26" t="n">
        <f aca="false">IFERROR(N8/11*100,0)</f>
        <v>0</v>
      </c>
    </row>
    <row r="9" customFormat="false" ht="15" hidden="false" customHeight="false" outlineLevel="0" collapsed="false">
      <c r="A9" s="20"/>
      <c r="B9" s="4" t="n">
        <f aca="false">IFERROR(COUNTIFS('1. Research Votes Log'!B:B,$A9,'1. Research Votes Log'!E:E,"AH"),0)</f>
        <v>0</v>
      </c>
      <c r="C9" s="4" t="n">
        <f aca="false">IFERROR(COUNTIFS('1. Research Votes Log'!B:B,$A9,'1. Research Votes Log'!E:E,"BE"),0)</f>
        <v>0</v>
      </c>
      <c r="D9" s="4" t="n">
        <f aca="false">IFERROR(COUNTIFS('1. Research Votes Log'!B:B,$A9,'1. Research Votes Log'!E:E,"CH"),0)</f>
        <v>0</v>
      </c>
      <c r="E9" s="4" t="n">
        <f aca="false">IFERROR(COUNTIFS('1. Research Votes Log'!B:B,$A9,'1. Research Votes Log'!E:E,"CS"),0)</f>
        <v>0</v>
      </c>
      <c r="F9" s="4" t="n">
        <f aca="false">IFERROR(COUNTIFS('1. Research Votes Log'!B:B,$A9,'1. Research Votes Log'!E:E,"ED"),0)</f>
        <v>0</v>
      </c>
      <c r="G9" s="4" t="n">
        <f aca="false">IFERROR(COUNTIFS('1. Research Votes Log'!B:B,$A9,'1. Research Votes Log'!E:E,"EN"),0)</f>
        <v>0</v>
      </c>
      <c r="H9" s="4" t="n">
        <f aca="false">IFERROR(COUNTIFS('1. Research Votes Log'!B:B,$A9,'1. Research Votes Log'!E:E,"LW"),0)</f>
        <v>0</v>
      </c>
      <c r="I9" s="4" t="n">
        <f aca="false">IFERROR(COUNTIFS('1. Research Votes Log'!B:B,$A9,'1. Research Votes Log'!E:E,"LS"),0)</f>
        <v>0</v>
      </c>
      <c r="J9" s="4" t="n">
        <f aca="false">IFERROR(COUNTIFS('1. Research Votes Log'!B:B,$A9,'1. Research Votes Log'!E:E,"PS"),0)</f>
        <v>0</v>
      </c>
      <c r="K9" s="4" t="n">
        <f aca="false">IFERROR(COUNTIFS('1. Research Votes Log'!B:B,$A9,'1. Research Votes Log'!E:E,"PY"),0)</f>
        <v>0</v>
      </c>
      <c r="L9" s="4" t="n">
        <f aca="false">IFERROR(COUNTIFS('1. Research Votes Log'!B:B,$A9,'1. Research Votes Log'!E:E,"SS"),0)</f>
        <v>0</v>
      </c>
      <c r="M9" s="16" t="n">
        <f aca="false">SUM(B9:L9)</f>
        <v>0</v>
      </c>
      <c r="N9" s="16" t="n">
        <f aca="false">COUNTIF(B9:L9,"&gt;0")</f>
        <v>0</v>
      </c>
      <c r="O9" s="25" t="n">
        <f aca="false">IFERROR(N9/11*100,0)</f>
        <v>0</v>
      </c>
    </row>
    <row r="10" customFormat="false" ht="15" hidden="false" customHeight="false" outlineLevel="0" collapsed="false">
      <c r="A10" s="19"/>
      <c r="B10" s="7" t="n">
        <f aca="false">IFERROR(COUNTIFS('1. Research Votes Log'!B:B,$A10,'1. Research Votes Log'!E:E,"AH"),0)</f>
        <v>0</v>
      </c>
      <c r="C10" s="7" t="n">
        <f aca="false">IFERROR(COUNTIFS('1. Research Votes Log'!B:B,$A10,'1. Research Votes Log'!E:E,"BE"),0)</f>
        <v>0</v>
      </c>
      <c r="D10" s="7" t="n">
        <f aca="false">IFERROR(COUNTIFS('1. Research Votes Log'!B:B,$A10,'1. Research Votes Log'!E:E,"CH"),0)</f>
        <v>0</v>
      </c>
      <c r="E10" s="7" t="n">
        <f aca="false">IFERROR(COUNTIFS('1. Research Votes Log'!B:B,$A10,'1. Research Votes Log'!E:E,"CS"),0)</f>
        <v>0</v>
      </c>
      <c r="F10" s="7" t="n">
        <f aca="false">IFERROR(COUNTIFS('1. Research Votes Log'!B:B,$A10,'1. Research Votes Log'!E:E,"ED"),0)</f>
        <v>0</v>
      </c>
      <c r="G10" s="7" t="n">
        <f aca="false">IFERROR(COUNTIFS('1. Research Votes Log'!B:B,$A10,'1. Research Votes Log'!E:E,"EN"),0)</f>
        <v>0</v>
      </c>
      <c r="H10" s="7" t="n">
        <f aca="false">IFERROR(COUNTIFS('1. Research Votes Log'!B:B,$A10,'1. Research Votes Log'!E:E,"LW"),0)</f>
        <v>0</v>
      </c>
      <c r="I10" s="7" t="n">
        <f aca="false">IFERROR(COUNTIFS('1. Research Votes Log'!B:B,$A10,'1. Research Votes Log'!E:E,"LS"),0)</f>
        <v>0</v>
      </c>
      <c r="J10" s="7" t="n">
        <f aca="false">IFERROR(COUNTIFS('1. Research Votes Log'!B:B,$A10,'1. Research Votes Log'!E:E,"PS"),0)</f>
        <v>0</v>
      </c>
      <c r="K10" s="7" t="n">
        <f aca="false">IFERROR(COUNTIFS('1. Research Votes Log'!B:B,$A10,'1. Research Votes Log'!E:E,"PY"),0)</f>
        <v>0</v>
      </c>
      <c r="L10" s="7" t="n">
        <f aca="false">IFERROR(COUNTIFS('1. Research Votes Log'!B:B,$A10,'1. Research Votes Log'!E:E,"SS"),0)</f>
        <v>0</v>
      </c>
      <c r="M10" s="15" t="n">
        <f aca="false">SUM(B10:L10)</f>
        <v>0</v>
      </c>
      <c r="N10" s="15" t="n">
        <f aca="false">COUNTIF(B10:L10,"&gt;0")</f>
        <v>0</v>
      </c>
      <c r="O10" s="26" t="n">
        <f aca="false">IFERROR(N10/11*100,0)</f>
        <v>0</v>
      </c>
    </row>
    <row r="11" customFormat="false" ht="15" hidden="false" customHeight="false" outlineLevel="0" collapsed="false">
      <c r="A11" s="20"/>
      <c r="B11" s="4" t="n">
        <f aca="false">IFERROR(COUNTIFS('1. Research Votes Log'!B:B,$A11,'1. Research Votes Log'!E:E,"AH"),0)</f>
        <v>0</v>
      </c>
      <c r="C11" s="4" t="n">
        <f aca="false">IFERROR(COUNTIFS('1. Research Votes Log'!B:B,$A11,'1. Research Votes Log'!E:E,"BE"),0)</f>
        <v>0</v>
      </c>
      <c r="D11" s="4" t="n">
        <f aca="false">IFERROR(COUNTIFS('1. Research Votes Log'!B:B,$A11,'1. Research Votes Log'!E:E,"CH"),0)</f>
        <v>0</v>
      </c>
      <c r="E11" s="4" t="n">
        <f aca="false">IFERROR(COUNTIFS('1. Research Votes Log'!B:B,$A11,'1. Research Votes Log'!E:E,"CS"),0)</f>
        <v>0</v>
      </c>
      <c r="F11" s="4" t="n">
        <f aca="false">IFERROR(COUNTIFS('1. Research Votes Log'!B:B,$A11,'1. Research Votes Log'!E:E,"ED"),0)</f>
        <v>0</v>
      </c>
      <c r="G11" s="4" t="n">
        <f aca="false">IFERROR(COUNTIFS('1. Research Votes Log'!B:B,$A11,'1. Research Votes Log'!E:E,"EN"),0)</f>
        <v>0</v>
      </c>
      <c r="H11" s="4" t="n">
        <f aca="false">IFERROR(COUNTIFS('1. Research Votes Log'!B:B,$A11,'1. Research Votes Log'!E:E,"LW"),0)</f>
        <v>0</v>
      </c>
      <c r="I11" s="4" t="n">
        <f aca="false">IFERROR(COUNTIFS('1. Research Votes Log'!B:B,$A11,'1. Research Votes Log'!E:E,"LS"),0)</f>
        <v>0</v>
      </c>
      <c r="J11" s="4" t="n">
        <f aca="false">IFERROR(COUNTIFS('1. Research Votes Log'!B:B,$A11,'1. Research Votes Log'!E:E,"PS"),0)</f>
        <v>0</v>
      </c>
      <c r="K11" s="4" t="n">
        <f aca="false">IFERROR(COUNTIFS('1. Research Votes Log'!B:B,$A11,'1. Research Votes Log'!E:E,"PY"),0)</f>
        <v>0</v>
      </c>
      <c r="L11" s="4" t="n">
        <f aca="false">IFERROR(COUNTIFS('1. Research Votes Log'!B:B,$A11,'1. Research Votes Log'!E:E,"SS"),0)</f>
        <v>0</v>
      </c>
      <c r="M11" s="16" t="n">
        <f aca="false">SUM(B11:L11)</f>
        <v>0</v>
      </c>
      <c r="N11" s="16" t="n">
        <f aca="false">COUNTIF(B11:L11,"&gt;0")</f>
        <v>0</v>
      </c>
      <c r="O11" s="25" t="n">
        <f aca="false">IFERROR(N11/11*100,0)</f>
        <v>0</v>
      </c>
    </row>
    <row r="12" customFormat="false" ht="15" hidden="false" customHeight="false" outlineLevel="0" collapsed="false">
      <c r="A12" s="19"/>
      <c r="B12" s="7" t="n">
        <f aca="false">IFERROR(COUNTIFS('1. Research Votes Log'!B:B,$A12,'1. Research Votes Log'!E:E,"AH"),0)</f>
        <v>0</v>
      </c>
      <c r="C12" s="7" t="n">
        <f aca="false">IFERROR(COUNTIFS('1. Research Votes Log'!B:B,$A12,'1. Research Votes Log'!E:E,"BE"),0)</f>
        <v>0</v>
      </c>
      <c r="D12" s="7" t="n">
        <f aca="false">IFERROR(COUNTIFS('1. Research Votes Log'!B:B,$A12,'1. Research Votes Log'!E:E,"CH"),0)</f>
        <v>0</v>
      </c>
      <c r="E12" s="7" t="n">
        <f aca="false">IFERROR(COUNTIFS('1. Research Votes Log'!B:B,$A12,'1. Research Votes Log'!E:E,"CS"),0)</f>
        <v>0</v>
      </c>
      <c r="F12" s="7" t="n">
        <f aca="false">IFERROR(COUNTIFS('1. Research Votes Log'!B:B,$A12,'1. Research Votes Log'!E:E,"ED"),0)</f>
        <v>0</v>
      </c>
      <c r="G12" s="7" t="n">
        <f aca="false">IFERROR(COUNTIFS('1. Research Votes Log'!B:B,$A12,'1. Research Votes Log'!E:E,"EN"),0)</f>
        <v>0</v>
      </c>
      <c r="H12" s="7" t="n">
        <f aca="false">IFERROR(COUNTIFS('1. Research Votes Log'!B:B,$A12,'1. Research Votes Log'!E:E,"LW"),0)</f>
        <v>0</v>
      </c>
      <c r="I12" s="7" t="n">
        <f aca="false">IFERROR(COUNTIFS('1. Research Votes Log'!B:B,$A12,'1. Research Votes Log'!E:E,"LS"),0)</f>
        <v>0</v>
      </c>
      <c r="J12" s="7" t="n">
        <f aca="false">IFERROR(COUNTIFS('1. Research Votes Log'!B:B,$A12,'1. Research Votes Log'!E:E,"PS"),0)</f>
        <v>0</v>
      </c>
      <c r="K12" s="7" t="n">
        <f aca="false">IFERROR(COUNTIFS('1. Research Votes Log'!B:B,$A12,'1. Research Votes Log'!E:E,"PY"),0)</f>
        <v>0</v>
      </c>
      <c r="L12" s="7" t="n">
        <f aca="false">IFERROR(COUNTIFS('1. Research Votes Log'!B:B,$A12,'1. Research Votes Log'!E:E,"SS"),0)</f>
        <v>0</v>
      </c>
      <c r="M12" s="15" t="n">
        <f aca="false">SUM(B12:L12)</f>
        <v>0</v>
      </c>
      <c r="N12" s="15" t="n">
        <f aca="false">COUNTIF(B12:L12,"&gt;0")</f>
        <v>0</v>
      </c>
      <c r="O12" s="26" t="n">
        <f aca="false">IFERROR(N12/11*100,0)</f>
        <v>0</v>
      </c>
    </row>
    <row r="13" customFormat="false" ht="15" hidden="false" customHeight="false" outlineLevel="0" collapsed="false">
      <c r="A13" s="20"/>
      <c r="B13" s="4" t="n">
        <f aca="false">IFERROR(COUNTIFS('1. Research Votes Log'!B:B,$A13,'1. Research Votes Log'!E:E,"AH"),0)</f>
        <v>0</v>
      </c>
      <c r="C13" s="4" t="n">
        <f aca="false">IFERROR(COUNTIFS('1. Research Votes Log'!B:B,$A13,'1. Research Votes Log'!E:E,"BE"),0)</f>
        <v>0</v>
      </c>
      <c r="D13" s="4" t="n">
        <f aca="false">IFERROR(COUNTIFS('1. Research Votes Log'!B:B,$A13,'1. Research Votes Log'!E:E,"CH"),0)</f>
        <v>0</v>
      </c>
      <c r="E13" s="4" t="n">
        <f aca="false">IFERROR(COUNTIFS('1. Research Votes Log'!B:B,$A13,'1. Research Votes Log'!E:E,"CS"),0)</f>
        <v>0</v>
      </c>
      <c r="F13" s="4" t="n">
        <f aca="false">IFERROR(COUNTIFS('1. Research Votes Log'!B:B,$A13,'1. Research Votes Log'!E:E,"ED"),0)</f>
        <v>0</v>
      </c>
      <c r="G13" s="4" t="n">
        <f aca="false">IFERROR(COUNTIFS('1. Research Votes Log'!B:B,$A13,'1. Research Votes Log'!E:E,"EN"),0)</f>
        <v>0</v>
      </c>
      <c r="H13" s="4" t="n">
        <f aca="false">IFERROR(COUNTIFS('1. Research Votes Log'!B:B,$A13,'1. Research Votes Log'!E:E,"LW"),0)</f>
        <v>0</v>
      </c>
      <c r="I13" s="4" t="n">
        <f aca="false">IFERROR(COUNTIFS('1. Research Votes Log'!B:B,$A13,'1. Research Votes Log'!E:E,"LS"),0)</f>
        <v>0</v>
      </c>
      <c r="J13" s="4" t="n">
        <f aca="false">IFERROR(COUNTIFS('1. Research Votes Log'!B:B,$A13,'1. Research Votes Log'!E:E,"PS"),0)</f>
        <v>0</v>
      </c>
      <c r="K13" s="4" t="n">
        <f aca="false">IFERROR(COUNTIFS('1. Research Votes Log'!B:B,$A13,'1. Research Votes Log'!E:E,"PY"),0)</f>
        <v>0</v>
      </c>
      <c r="L13" s="4" t="n">
        <f aca="false">IFERROR(COUNTIFS('1. Research Votes Log'!B:B,$A13,'1. Research Votes Log'!E:E,"SS"),0)</f>
        <v>0</v>
      </c>
      <c r="M13" s="16" t="n">
        <f aca="false">SUM(B13:L13)</f>
        <v>0</v>
      </c>
      <c r="N13" s="16" t="n">
        <f aca="false">COUNTIF(B13:L13,"&gt;0")</f>
        <v>0</v>
      </c>
      <c r="O13" s="25" t="n">
        <f aca="false">IFERROR(N13/11*100,0)</f>
        <v>0</v>
      </c>
    </row>
    <row r="14" customFormat="false" ht="15" hidden="false" customHeight="false" outlineLevel="0" collapsed="false">
      <c r="A14" s="19"/>
      <c r="B14" s="7" t="n">
        <f aca="false">IFERROR(COUNTIFS('1. Research Votes Log'!B:B,$A14,'1. Research Votes Log'!E:E,"AH"),0)</f>
        <v>0</v>
      </c>
      <c r="C14" s="7" t="n">
        <f aca="false">IFERROR(COUNTIFS('1. Research Votes Log'!B:B,$A14,'1. Research Votes Log'!E:E,"BE"),0)</f>
        <v>0</v>
      </c>
      <c r="D14" s="7" t="n">
        <f aca="false">IFERROR(COUNTIFS('1. Research Votes Log'!B:B,$A14,'1. Research Votes Log'!E:E,"CH"),0)</f>
        <v>0</v>
      </c>
      <c r="E14" s="7" t="n">
        <f aca="false">IFERROR(COUNTIFS('1. Research Votes Log'!B:B,$A14,'1. Research Votes Log'!E:E,"CS"),0)</f>
        <v>0</v>
      </c>
      <c r="F14" s="7" t="n">
        <f aca="false">IFERROR(COUNTIFS('1. Research Votes Log'!B:B,$A14,'1. Research Votes Log'!E:E,"ED"),0)</f>
        <v>0</v>
      </c>
      <c r="G14" s="7" t="n">
        <f aca="false">IFERROR(COUNTIFS('1. Research Votes Log'!B:B,$A14,'1. Research Votes Log'!E:E,"EN"),0)</f>
        <v>0</v>
      </c>
      <c r="H14" s="7" t="n">
        <f aca="false">IFERROR(COUNTIFS('1. Research Votes Log'!B:B,$A14,'1. Research Votes Log'!E:E,"LW"),0)</f>
        <v>0</v>
      </c>
      <c r="I14" s="7" t="n">
        <f aca="false">IFERROR(COUNTIFS('1. Research Votes Log'!B:B,$A14,'1. Research Votes Log'!E:E,"LS"),0)</f>
        <v>0</v>
      </c>
      <c r="J14" s="7" t="n">
        <f aca="false">IFERROR(COUNTIFS('1. Research Votes Log'!B:B,$A14,'1. Research Votes Log'!E:E,"PS"),0)</f>
        <v>0</v>
      </c>
      <c r="K14" s="7" t="n">
        <f aca="false">IFERROR(COUNTIFS('1. Research Votes Log'!B:B,$A14,'1. Research Votes Log'!E:E,"PY"),0)</f>
        <v>0</v>
      </c>
      <c r="L14" s="7" t="n">
        <f aca="false">IFERROR(COUNTIFS('1. Research Votes Log'!B:B,$A14,'1. Research Votes Log'!E:E,"SS"),0)</f>
        <v>0</v>
      </c>
      <c r="M14" s="15" t="n">
        <f aca="false">SUM(B14:L14)</f>
        <v>0</v>
      </c>
      <c r="N14" s="15" t="n">
        <f aca="false">COUNTIF(B14:L14,"&gt;0")</f>
        <v>0</v>
      </c>
      <c r="O14" s="26" t="n">
        <f aca="false">IFERROR(N14/11*100,0)</f>
        <v>0</v>
      </c>
    </row>
    <row r="15" customFormat="false" ht="15" hidden="false" customHeight="false" outlineLevel="0" collapsed="false">
      <c r="A15" s="20"/>
      <c r="B15" s="4" t="n">
        <f aca="false">IFERROR(COUNTIFS('1. Research Votes Log'!B:B,$A15,'1. Research Votes Log'!E:E,"AH"),0)</f>
        <v>0</v>
      </c>
      <c r="C15" s="4" t="n">
        <f aca="false">IFERROR(COUNTIFS('1. Research Votes Log'!B:B,$A15,'1. Research Votes Log'!E:E,"BE"),0)</f>
        <v>0</v>
      </c>
      <c r="D15" s="4" t="n">
        <f aca="false">IFERROR(COUNTIFS('1. Research Votes Log'!B:B,$A15,'1. Research Votes Log'!E:E,"CH"),0)</f>
        <v>0</v>
      </c>
      <c r="E15" s="4" t="n">
        <f aca="false">IFERROR(COUNTIFS('1. Research Votes Log'!B:B,$A15,'1. Research Votes Log'!E:E,"CS"),0)</f>
        <v>0</v>
      </c>
      <c r="F15" s="4" t="n">
        <f aca="false">IFERROR(COUNTIFS('1. Research Votes Log'!B:B,$A15,'1. Research Votes Log'!E:E,"ED"),0)</f>
        <v>0</v>
      </c>
      <c r="G15" s="4" t="n">
        <f aca="false">IFERROR(COUNTIFS('1. Research Votes Log'!B:B,$A15,'1. Research Votes Log'!E:E,"EN"),0)</f>
        <v>0</v>
      </c>
      <c r="H15" s="4" t="n">
        <f aca="false">IFERROR(COUNTIFS('1. Research Votes Log'!B:B,$A15,'1. Research Votes Log'!E:E,"LW"),0)</f>
        <v>0</v>
      </c>
      <c r="I15" s="4" t="n">
        <f aca="false">IFERROR(COUNTIFS('1. Research Votes Log'!B:B,$A15,'1. Research Votes Log'!E:E,"LS"),0)</f>
        <v>0</v>
      </c>
      <c r="J15" s="4" t="n">
        <f aca="false">IFERROR(COUNTIFS('1. Research Votes Log'!B:B,$A15,'1. Research Votes Log'!E:E,"PS"),0)</f>
        <v>0</v>
      </c>
      <c r="K15" s="4" t="n">
        <f aca="false">IFERROR(COUNTIFS('1. Research Votes Log'!B:B,$A15,'1. Research Votes Log'!E:E,"PY"),0)</f>
        <v>0</v>
      </c>
      <c r="L15" s="4" t="n">
        <f aca="false">IFERROR(COUNTIFS('1. Research Votes Log'!B:B,$A15,'1. Research Votes Log'!E:E,"SS"),0)</f>
        <v>0</v>
      </c>
      <c r="M15" s="16" t="n">
        <f aca="false">SUM(B15:L15)</f>
        <v>0</v>
      </c>
      <c r="N15" s="16" t="n">
        <f aca="false">COUNTIF(B15:L15,"&gt;0")</f>
        <v>0</v>
      </c>
      <c r="O15" s="25" t="n">
        <f aca="false">IFERROR(N15/11*100,0)</f>
        <v>0</v>
      </c>
    </row>
    <row r="16" customFormat="false" ht="15" hidden="false" customHeight="false" outlineLevel="0" collapsed="false">
      <c r="A16" s="19"/>
      <c r="B16" s="7" t="n">
        <f aca="false">IFERROR(COUNTIFS('1. Research Votes Log'!B:B,$A16,'1. Research Votes Log'!E:E,"AH"),0)</f>
        <v>0</v>
      </c>
      <c r="C16" s="7" t="n">
        <f aca="false">IFERROR(COUNTIFS('1. Research Votes Log'!B:B,$A16,'1. Research Votes Log'!E:E,"BE"),0)</f>
        <v>0</v>
      </c>
      <c r="D16" s="7" t="n">
        <f aca="false">IFERROR(COUNTIFS('1. Research Votes Log'!B:B,$A16,'1. Research Votes Log'!E:E,"CH"),0)</f>
        <v>0</v>
      </c>
      <c r="E16" s="7" t="n">
        <f aca="false">IFERROR(COUNTIFS('1. Research Votes Log'!B:B,$A16,'1. Research Votes Log'!E:E,"CS"),0)</f>
        <v>0</v>
      </c>
      <c r="F16" s="7" t="n">
        <f aca="false">IFERROR(COUNTIFS('1. Research Votes Log'!B:B,$A16,'1. Research Votes Log'!E:E,"ED"),0)</f>
        <v>0</v>
      </c>
      <c r="G16" s="7" t="n">
        <f aca="false">IFERROR(COUNTIFS('1. Research Votes Log'!B:B,$A16,'1. Research Votes Log'!E:E,"EN"),0)</f>
        <v>0</v>
      </c>
      <c r="H16" s="7" t="n">
        <f aca="false">IFERROR(COUNTIFS('1. Research Votes Log'!B:B,$A16,'1. Research Votes Log'!E:E,"LW"),0)</f>
        <v>0</v>
      </c>
      <c r="I16" s="7" t="n">
        <f aca="false">IFERROR(COUNTIFS('1. Research Votes Log'!B:B,$A16,'1. Research Votes Log'!E:E,"LS"),0)</f>
        <v>0</v>
      </c>
      <c r="J16" s="7" t="n">
        <f aca="false">IFERROR(COUNTIFS('1. Research Votes Log'!B:B,$A16,'1. Research Votes Log'!E:E,"PS"),0)</f>
        <v>0</v>
      </c>
      <c r="K16" s="7" t="n">
        <f aca="false">IFERROR(COUNTIFS('1. Research Votes Log'!B:B,$A16,'1. Research Votes Log'!E:E,"PY"),0)</f>
        <v>0</v>
      </c>
      <c r="L16" s="7" t="n">
        <f aca="false">IFERROR(COUNTIFS('1. Research Votes Log'!B:B,$A16,'1. Research Votes Log'!E:E,"SS"),0)</f>
        <v>0</v>
      </c>
      <c r="M16" s="15" t="n">
        <f aca="false">SUM(B16:L16)</f>
        <v>0</v>
      </c>
      <c r="N16" s="15" t="n">
        <f aca="false">COUNTIF(B16:L16,"&gt;0")</f>
        <v>0</v>
      </c>
      <c r="O16" s="26" t="n">
        <f aca="false">IFERROR(N16/11*100,0)</f>
        <v>0</v>
      </c>
    </row>
    <row r="17" customFormat="false" ht="15" hidden="false" customHeight="false" outlineLevel="0" collapsed="false">
      <c r="A17" s="20"/>
      <c r="B17" s="4" t="n">
        <f aca="false">IFERROR(COUNTIFS('1. Research Votes Log'!B:B,$A17,'1. Research Votes Log'!E:E,"AH"),0)</f>
        <v>0</v>
      </c>
      <c r="C17" s="4" t="n">
        <f aca="false">IFERROR(COUNTIFS('1. Research Votes Log'!B:B,$A17,'1. Research Votes Log'!E:E,"BE"),0)</f>
        <v>0</v>
      </c>
      <c r="D17" s="4" t="n">
        <f aca="false">IFERROR(COUNTIFS('1. Research Votes Log'!B:B,$A17,'1. Research Votes Log'!E:E,"CH"),0)</f>
        <v>0</v>
      </c>
      <c r="E17" s="4" t="n">
        <f aca="false">IFERROR(COUNTIFS('1. Research Votes Log'!B:B,$A17,'1. Research Votes Log'!E:E,"CS"),0)</f>
        <v>0</v>
      </c>
      <c r="F17" s="4" t="n">
        <f aca="false">IFERROR(COUNTIFS('1. Research Votes Log'!B:B,$A17,'1. Research Votes Log'!E:E,"ED"),0)</f>
        <v>0</v>
      </c>
      <c r="G17" s="4" t="n">
        <f aca="false">IFERROR(COUNTIFS('1. Research Votes Log'!B:B,$A17,'1. Research Votes Log'!E:E,"EN"),0)</f>
        <v>0</v>
      </c>
      <c r="H17" s="4" t="n">
        <f aca="false">IFERROR(COUNTIFS('1. Research Votes Log'!B:B,$A17,'1. Research Votes Log'!E:E,"LW"),0)</f>
        <v>0</v>
      </c>
      <c r="I17" s="4" t="n">
        <f aca="false">IFERROR(COUNTIFS('1. Research Votes Log'!B:B,$A17,'1. Research Votes Log'!E:E,"LS"),0)</f>
        <v>0</v>
      </c>
      <c r="J17" s="4" t="n">
        <f aca="false">IFERROR(COUNTIFS('1. Research Votes Log'!B:B,$A17,'1. Research Votes Log'!E:E,"PS"),0)</f>
        <v>0</v>
      </c>
      <c r="K17" s="4" t="n">
        <f aca="false">IFERROR(COUNTIFS('1. Research Votes Log'!B:B,$A17,'1. Research Votes Log'!E:E,"PY"),0)</f>
        <v>0</v>
      </c>
      <c r="L17" s="4" t="n">
        <f aca="false">IFERROR(COUNTIFS('1. Research Votes Log'!B:B,$A17,'1. Research Votes Log'!E:E,"SS"),0)</f>
        <v>0</v>
      </c>
      <c r="M17" s="16" t="n">
        <f aca="false">SUM(B17:L17)</f>
        <v>0</v>
      </c>
      <c r="N17" s="16" t="n">
        <f aca="false">COUNTIF(B17:L17,"&gt;0")</f>
        <v>0</v>
      </c>
      <c r="O17" s="25" t="n">
        <f aca="false">IFERROR(N17/11*100,0)</f>
        <v>0</v>
      </c>
    </row>
    <row r="18" customFormat="false" ht="15" hidden="false" customHeight="false" outlineLevel="0" collapsed="false">
      <c r="A18" s="19"/>
      <c r="B18" s="7" t="n">
        <f aca="false">IFERROR(COUNTIFS('1. Research Votes Log'!B:B,$A18,'1. Research Votes Log'!E:E,"AH"),0)</f>
        <v>0</v>
      </c>
      <c r="C18" s="7" t="n">
        <f aca="false">IFERROR(COUNTIFS('1. Research Votes Log'!B:B,$A18,'1. Research Votes Log'!E:E,"BE"),0)</f>
        <v>0</v>
      </c>
      <c r="D18" s="7" t="n">
        <f aca="false">IFERROR(COUNTIFS('1. Research Votes Log'!B:B,$A18,'1. Research Votes Log'!E:E,"CH"),0)</f>
        <v>0</v>
      </c>
      <c r="E18" s="7" t="n">
        <f aca="false">IFERROR(COUNTIFS('1. Research Votes Log'!B:B,$A18,'1. Research Votes Log'!E:E,"CS"),0)</f>
        <v>0</v>
      </c>
      <c r="F18" s="7" t="n">
        <f aca="false">IFERROR(COUNTIFS('1. Research Votes Log'!B:B,$A18,'1. Research Votes Log'!E:E,"ED"),0)</f>
        <v>0</v>
      </c>
      <c r="G18" s="7" t="n">
        <f aca="false">IFERROR(COUNTIFS('1. Research Votes Log'!B:B,$A18,'1. Research Votes Log'!E:E,"EN"),0)</f>
        <v>0</v>
      </c>
      <c r="H18" s="7" t="n">
        <f aca="false">IFERROR(COUNTIFS('1. Research Votes Log'!B:B,$A18,'1. Research Votes Log'!E:E,"LW"),0)</f>
        <v>0</v>
      </c>
      <c r="I18" s="7" t="n">
        <f aca="false">IFERROR(COUNTIFS('1. Research Votes Log'!B:B,$A18,'1. Research Votes Log'!E:E,"LS"),0)</f>
        <v>0</v>
      </c>
      <c r="J18" s="7" t="n">
        <f aca="false">IFERROR(COUNTIFS('1. Research Votes Log'!B:B,$A18,'1. Research Votes Log'!E:E,"PS"),0)</f>
        <v>0</v>
      </c>
      <c r="K18" s="7" t="n">
        <f aca="false">IFERROR(COUNTIFS('1. Research Votes Log'!B:B,$A18,'1. Research Votes Log'!E:E,"PY"),0)</f>
        <v>0</v>
      </c>
      <c r="L18" s="7" t="n">
        <f aca="false">IFERROR(COUNTIFS('1. Research Votes Log'!B:B,$A18,'1. Research Votes Log'!E:E,"SS"),0)</f>
        <v>0</v>
      </c>
      <c r="M18" s="15" t="n">
        <f aca="false">SUM(B18:L18)</f>
        <v>0</v>
      </c>
      <c r="N18" s="15" t="n">
        <f aca="false">COUNTIF(B18:L18,"&gt;0")</f>
        <v>0</v>
      </c>
      <c r="O18" s="26" t="n">
        <f aca="false">IFERROR(N18/11*100,0)</f>
        <v>0</v>
      </c>
    </row>
    <row r="19" customFormat="false" ht="15" hidden="false" customHeight="false" outlineLevel="0" collapsed="false">
      <c r="A19" s="20"/>
      <c r="B19" s="4" t="n">
        <f aca="false">IFERROR(COUNTIFS('1. Research Votes Log'!B:B,$A19,'1. Research Votes Log'!E:E,"AH"),0)</f>
        <v>0</v>
      </c>
      <c r="C19" s="4" t="n">
        <f aca="false">IFERROR(COUNTIFS('1. Research Votes Log'!B:B,$A19,'1. Research Votes Log'!E:E,"BE"),0)</f>
        <v>0</v>
      </c>
      <c r="D19" s="4" t="n">
        <f aca="false">IFERROR(COUNTIFS('1. Research Votes Log'!B:B,$A19,'1. Research Votes Log'!E:E,"CH"),0)</f>
        <v>0</v>
      </c>
      <c r="E19" s="4" t="n">
        <f aca="false">IFERROR(COUNTIFS('1. Research Votes Log'!B:B,$A19,'1. Research Votes Log'!E:E,"CS"),0)</f>
        <v>0</v>
      </c>
      <c r="F19" s="4" t="n">
        <f aca="false">IFERROR(COUNTIFS('1. Research Votes Log'!B:B,$A19,'1. Research Votes Log'!E:E,"ED"),0)</f>
        <v>0</v>
      </c>
      <c r="G19" s="4" t="n">
        <f aca="false">IFERROR(COUNTIFS('1. Research Votes Log'!B:B,$A19,'1. Research Votes Log'!E:E,"EN"),0)</f>
        <v>0</v>
      </c>
      <c r="H19" s="4" t="n">
        <f aca="false">IFERROR(COUNTIFS('1. Research Votes Log'!B:B,$A19,'1. Research Votes Log'!E:E,"LW"),0)</f>
        <v>0</v>
      </c>
      <c r="I19" s="4" t="n">
        <f aca="false">IFERROR(COUNTIFS('1. Research Votes Log'!B:B,$A19,'1. Research Votes Log'!E:E,"LS"),0)</f>
        <v>0</v>
      </c>
      <c r="J19" s="4" t="n">
        <f aca="false">IFERROR(COUNTIFS('1. Research Votes Log'!B:B,$A19,'1. Research Votes Log'!E:E,"PS"),0)</f>
        <v>0</v>
      </c>
      <c r="K19" s="4" t="n">
        <f aca="false">IFERROR(COUNTIFS('1. Research Votes Log'!B:B,$A19,'1. Research Votes Log'!E:E,"PY"),0)</f>
        <v>0</v>
      </c>
      <c r="L19" s="4" t="n">
        <f aca="false">IFERROR(COUNTIFS('1. Research Votes Log'!B:B,$A19,'1. Research Votes Log'!E:E,"SS"),0)</f>
        <v>0</v>
      </c>
      <c r="M19" s="16" t="n">
        <f aca="false">SUM(B19:L19)</f>
        <v>0</v>
      </c>
      <c r="N19" s="16" t="n">
        <f aca="false">COUNTIF(B19:L19,"&gt;0")</f>
        <v>0</v>
      </c>
      <c r="O19" s="25" t="n">
        <f aca="false">IFERROR(N19/11*100,0)</f>
        <v>0</v>
      </c>
    </row>
    <row r="20" customFormat="false" ht="15" hidden="false" customHeight="false" outlineLevel="0" collapsed="false">
      <c r="A20" s="19"/>
      <c r="B20" s="7" t="n">
        <f aca="false">IFERROR(COUNTIFS('1. Research Votes Log'!B:B,$A20,'1. Research Votes Log'!E:E,"AH"),0)</f>
        <v>0</v>
      </c>
      <c r="C20" s="7" t="n">
        <f aca="false">IFERROR(COUNTIFS('1. Research Votes Log'!B:B,$A20,'1. Research Votes Log'!E:E,"BE"),0)</f>
        <v>0</v>
      </c>
      <c r="D20" s="7" t="n">
        <f aca="false">IFERROR(COUNTIFS('1. Research Votes Log'!B:B,$A20,'1. Research Votes Log'!E:E,"CH"),0)</f>
        <v>0</v>
      </c>
      <c r="E20" s="7" t="n">
        <f aca="false">IFERROR(COUNTIFS('1. Research Votes Log'!B:B,$A20,'1. Research Votes Log'!E:E,"CS"),0)</f>
        <v>0</v>
      </c>
      <c r="F20" s="7" t="n">
        <f aca="false">IFERROR(COUNTIFS('1. Research Votes Log'!B:B,$A20,'1. Research Votes Log'!E:E,"ED"),0)</f>
        <v>0</v>
      </c>
      <c r="G20" s="7" t="n">
        <f aca="false">IFERROR(COUNTIFS('1. Research Votes Log'!B:B,$A20,'1. Research Votes Log'!E:E,"EN"),0)</f>
        <v>0</v>
      </c>
      <c r="H20" s="7" t="n">
        <f aca="false">IFERROR(COUNTIFS('1. Research Votes Log'!B:B,$A20,'1. Research Votes Log'!E:E,"LW"),0)</f>
        <v>0</v>
      </c>
      <c r="I20" s="7" t="n">
        <f aca="false">IFERROR(COUNTIFS('1. Research Votes Log'!B:B,$A20,'1. Research Votes Log'!E:E,"LS"),0)</f>
        <v>0</v>
      </c>
      <c r="J20" s="7" t="n">
        <f aca="false">IFERROR(COUNTIFS('1. Research Votes Log'!B:B,$A20,'1. Research Votes Log'!E:E,"PS"),0)</f>
        <v>0</v>
      </c>
      <c r="K20" s="7" t="n">
        <f aca="false">IFERROR(COUNTIFS('1. Research Votes Log'!B:B,$A20,'1. Research Votes Log'!E:E,"PY"),0)</f>
        <v>0</v>
      </c>
      <c r="L20" s="7" t="n">
        <f aca="false">IFERROR(COUNTIFS('1. Research Votes Log'!B:B,$A20,'1. Research Votes Log'!E:E,"SS"),0)</f>
        <v>0</v>
      </c>
      <c r="M20" s="15" t="n">
        <f aca="false">SUM(B20:L20)</f>
        <v>0</v>
      </c>
      <c r="N20" s="15" t="n">
        <f aca="false">COUNTIF(B20:L20,"&gt;0")</f>
        <v>0</v>
      </c>
      <c r="O20" s="26" t="n">
        <f aca="false">IFERROR(N20/11*100,0)</f>
        <v>0</v>
      </c>
    </row>
    <row r="21" customFormat="false" ht="15" hidden="false" customHeight="false" outlineLevel="0" collapsed="false">
      <c r="A21" s="20"/>
      <c r="B21" s="4" t="n">
        <f aca="false">IFERROR(COUNTIFS('1. Research Votes Log'!B:B,$A21,'1. Research Votes Log'!E:E,"AH"),0)</f>
        <v>0</v>
      </c>
      <c r="C21" s="4" t="n">
        <f aca="false">IFERROR(COUNTIFS('1. Research Votes Log'!B:B,$A21,'1. Research Votes Log'!E:E,"BE"),0)</f>
        <v>0</v>
      </c>
      <c r="D21" s="4" t="n">
        <f aca="false">IFERROR(COUNTIFS('1. Research Votes Log'!B:B,$A21,'1. Research Votes Log'!E:E,"CH"),0)</f>
        <v>0</v>
      </c>
      <c r="E21" s="4" t="n">
        <f aca="false">IFERROR(COUNTIFS('1. Research Votes Log'!B:B,$A21,'1. Research Votes Log'!E:E,"CS"),0)</f>
        <v>0</v>
      </c>
      <c r="F21" s="4" t="n">
        <f aca="false">IFERROR(COUNTIFS('1. Research Votes Log'!B:B,$A21,'1. Research Votes Log'!E:E,"ED"),0)</f>
        <v>0</v>
      </c>
      <c r="G21" s="4" t="n">
        <f aca="false">IFERROR(COUNTIFS('1. Research Votes Log'!B:B,$A21,'1. Research Votes Log'!E:E,"EN"),0)</f>
        <v>0</v>
      </c>
      <c r="H21" s="4" t="n">
        <f aca="false">IFERROR(COUNTIFS('1. Research Votes Log'!B:B,$A21,'1. Research Votes Log'!E:E,"LW"),0)</f>
        <v>0</v>
      </c>
      <c r="I21" s="4" t="n">
        <f aca="false">IFERROR(COUNTIFS('1. Research Votes Log'!B:B,$A21,'1. Research Votes Log'!E:E,"LS"),0)</f>
        <v>0</v>
      </c>
      <c r="J21" s="4" t="n">
        <f aca="false">IFERROR(COUNTIFS('1. Research Votes Log'!B:B,$A21,'1. Research Votes Log'!E:E,"PS"),0)</f>
        <v>0</v>
      </c>
      <c r="K21" s="4" t="n">
        <f aca="false">IFERROR(COUNTIFS('1. Research Votes Log'!B:B,$A21,'1. Research Votes Log'!E:E,"PY"),0)</f>
        <v>0</v>
      </c>
      <c r="L21" s="4" t="n">
        <f aca="false">IFERROR(COUNTIFS('1. Research Votes Log'!B:B,$A21,'1. Research Votes Log'!E:E,"SS"),0)</f>
        <v>0</v>
      </c>
      <c r="M21" s="16" t="n">
        <f aca="false">SUM(B21:L21)</f>
        <v>0</v>
      </c>
      <c r="N21" s="16" t="n">
        <f aca="false">COUNTIF(B21:L21,"&gt;0")</f>
        <v>0</v>
      </c>
      <c r="O21" s="25" t="n">
        <f aca="false">IFERROR(N21/11*100,0)</f>
        <v>0</v>
      </c>
    </row>
    <row r="22" customFormat="false" ht="15" hidden="false" customHeight="false" outlineLevel="0" collapsed="false">
      <c r="A22" s="19"/>
      <c r="B22" s="7" t="n">
        <f aca="false">IFERROR(COUNTIFS('1. Research Votes Log'!B:B,$A22,'1. Research Votes Log'!E:E,"AH"),0)</f>
        <v>0</v>
      </c>
      <c r="C22" s="7" t="n">
        <f aca="false">IFERROR(COUNTIFS('1. Research Votes Log'!B:B,$A22,'1. Research Votes Log'!E:E,"BE"),0)</f>
        <v>0</v>
      </c>
      <c r="D22" s="7" t="n">
        <f aca="false">IFERROR(COUNTIFS('1. Research Votes Log'!B:B,$A22,'1. Research Votes Log'!E:E,"CH"),0)</f>
        <v>0</v>
      </c>
      <c r="E22" s="7" t="n">
        <f aca="false">IFERROR(COUNTIFS('1. Research Votes Log'!B:B,$A22,'1. Research Votes Log'!E:E,"CS"),0)</f>
        <v>0</v>
      </c>
      <c r="F22" s="7" t="n">
        <f aca="false">IFERROR(COUNTIFS('1. Research Votes Log'!B:B,$A22,'1. Research Votes Log'!E:E,"ED"),0)</f>
        <v>0</v>
      </c>
      <c r="G22" s="7" t="n">
        <f aca="false">IFERROR(COUNTIFS('1. Research Votes Log'!B:B,$A22,'1. Research Votes Log'!E:E,"EN"),0)</f>
        <v>0</v>
      </c>
      <c r="H22" s="7" t="n">
        <f aca="false">IFERROR(COUNTIFS('1. Research Votes Log'!B:B,$A22,'1. Research Votes Log'!E:E,"LW"),0)</f>
        <v>0</v>
      </c>
      <c r="I22" s="7" t="n">
        <f aca="false">IFERROR(COUNTIFS('1. Research Votes Log'!B:B,$A22,'1. Research Votes Log'!E:E,"LS"),0)</f>
        <v>0</v>
      </c>
      <c r="J22" s="7" t="n">
        <f aca="false">IFERROR(COUNTIFS('1. Research Votes Log'!B:B,$A22,'1. Research Votes Log'!E:E,"PS"),0)</f>
        <v>0</v>
      </c>
      <c r="K22" s="7" t="n">
        <f aca="false">IFERROR(COUNTIFS('1. Research Votes Log'!B:B,$A22,'1. Research Votes Log'!E:E,"PY"),0)</f>
        <v>0</v>
      </c>
      <c r="L22" s="7" t="n">
        <f aca="false">IFERROR(COUNTIFS('1. Research Votes Log'!B:B,$A22,'1. Research Votes Log'!E:E,"SS"),0)</f>
        <v>0</v>
      </c>
      <c r="M22" s="15" t="n">
        <f aca="false">SUM(B22:L22)</f>
        <v>0</v>
      </c>
      <c r="N22" s="15" t="n">
        <f aca="false">COUNTIF(B22:L22,"&gt;0")</f>
        <v>0</v>
      </c>
      <c r="O22" s="26" t="n">
        <f aca="false">IFERROR(N22/11*100,0)</f>
        <v>0</v>
      </c>
    </row>
    <row r="23" customFormat="false" ht="15" hidden="false" customHeight="false" outlineLevel="0" collapsed="false">
      <c r="A23" s="20"/>
      <c r="B23" s="4" t="n">
        <f aca="false">IFERROR(COUNTIFS('1. Research Votes Log'!B:B,$A23,'1. Research Votes Log'!E:E,"AH"),0)</f>
        <v>0</v>
      </c>
      <c r="C23" s="4" t="n">
        <f aca="false">IFERROR(COUNTIFS('1. Research Votes Log'!B:B,$A23,'1. Research Votes Log'!E:E,"BE"),0)</f>
        <v>0</v>
      </c>
      <c r="D23" s="4" t="n">
        <f aca="false">IFERROR(COUNTIFS('1. Research Votes Log'!B:B,$A23,'1. Research Votes Log'!E:E,"CH"),0)</f>
        <v>0</v>
      </c>
      <c r="E23" s="4" t="n">
        <f aca="false">IFERROR(COUNTIFS('1. Research Votes Log'!B:B,$A23,'1. Research Votes Log'!E:E,"CS"),0)</f>
        <v>0</v>
      </c>
      <c r="F23" s="4" t="n">
        <f aca="false">IFERROR(COUNTIFS('1. Research Votes Log'!B:B,$A23,'1. Research Votes Log'!E:E,"ED"),0)</f>
        <v>0</v>
      </c>
      <c r="G23" s="4" t="n">
        <f aca="false">IFERROR(COUNTIFS('1. Research Votes Log'!B:B,$A23,'1. Research Votes Log'!E:E,"EN"),0)</f>
        <v>0</v>
      </c>
      <c r="H23" s="4" t="n">
        <f aca="false">IFERROR(COUNTIFS('1. Research Votes Log'!B:B,$A23,'1. Research Votes Log'!E:E,"LW"),0)</f>
        <v>0</v>
      </c>
      <c r="I23" s="4" t="n">
        <f aca="false">IFERROR(COUNTIFS('1. Research Votes Log'!B:B,$A23,'1. Research Votes Log'!E:E,"LS"),0)</f>
        <v>0</v>
      </c>
      <c r="J23" s="4" t="n">
        <f aca="false">IFERROR(COUNTIFS('1. Research Votes Log'!B:B,$A23,'1. Research Votes Log'!E:E,"PS"),0)</f>
        <v>0</v>
      </c>
      <c r="K23" s="4" t="n">
        <f aca="false">IFERROR(COUNTIFS('1. Research Votes Log'!B:B,$A23,'1. Research Votes Log'!E:E,"PY"),0)</f>
        <v>0</v>
      </c>
      <c r="L23" s="4" t="n">
        <f aca="false">IFERROR(COUNTIFS('1. Research Votes Log'!B:B,$A23,'1. Research Votes Log'!E:E,"SS"),0)</f>
        <v>0</v>
      </c>
      <c r="M23" s="16" t="n">
        <f aca="false">SUM(B23:L23)</f>
        <v>0</v>
      </c>
      <c r="N23" s="16" t="n">
        <f aca="false">COUNTIF(B23:L23,"&gt;0")</f>
        <v>0</v>
      </c>
      <c r="O23" s="25" t="n">
        <f aca="false">IFERROR(N23/11*100,0)</f>
        <v>0</v>
      </c>
    </row>
    <row r="24" customFormat="false" ht="15" hidden="false" customHeight="false" outlineLevel="0" collapsed="false">
      <c r="A24" s="19"/>
      <c r="B24" s="7" t="n">
        <f aca="false">IFERROR(COUNTIFS('1. Research Votes Log'!B:B,$A24,'1. Research Votes Log'!E:E,"AH"),0)</f>
        <v>0</v>
      </c>
      <c r="C24" s="7" t="n">
        <f aca="false">IFERROR(COUNTIFS('1. Research Votes Log'!B:B,$A24,'1. Research Votes Log'!E:E,"BE"),0)</f>
        <v>0</v>
      </c>
      <c r="D24" s="7" t="n">
        <f aca="false">IFERROR(COUNTIFS('1. Research Votes Log'!B:B,$A24,'1. Research Votes Log'!E:E,"CH"),0)</f>
        <v>0</v>
      </c>
      <c r="E24" s="7" t="n">
        <f aca="false">IFERROR(COUNTIFS('1. Research Votes Log'!B:B,$A24,'1. Research Votes Log'!E:E,"CS"),0)</f>
        <v>0</v>
      </c>
      <c r="F24" s="7" t="n">
        <f aca="false">IFERROR(COUNTIFS('1. Research Votes Log'!B:B,$A24,'1. Research Votes Log'!E:E,"ED"),0)</f>
        <v>0</v>
      </c>
      <c r="G24" s="7" t="n">
        <f aca="false">IFERROR(COUNTIFS('1. Research Votes Log'!B:B,$A24,'1. Research Votes Log'!E:E,"EN"),0)</f>
        <v>0</v>
      </c>
      <c r="H24" s="7" t="n">
        <f aca="false">IFERROR(COUNTIFS('1. Research Votes Log'!B:B,$A24,'1. Research Votes Log'!E:E,"LW"),0)</f>
        <v>0</v>
      </c>
      <c r="I24" s="7" t="n">
        <f aca="false">IFERROR(COUNTIFS('1. Research Votes Log'!B:B,$A24,'1. Research Votes Log'!E:E,"LS"),0)</f>
        <v>0</v>
      </c>
      <c r="J24" s="7" t="n">
        <f aca="false">IFERROR(COUNTIFS('1. Research Votes Log'!B:B,$A24,'1. Research Votes Log'!E:E,"PS"),0)</f>
        <v>0</v>
      </c>
      <c r="K24" s="7" t="n">
        <f aca="false">IFERROR(COUNTIFS('1. Research Votes Log'!B:B,$A24,'1. Research Votes Log'!E:E,"PY"),0)</f>
        <v>0</v>
      </c>
      <c r="L24" s="7" t="n">
        <f aca="false">IFERROR(COUNTIFS('1. Research Votes Log'!B:B,$A24,'1. Research Votes Log'!E:E,"SS"),0)</f>
        <v>0</v>
      </c>
      <c r="M24" s="15" t="n">
        <f aca="false">SUM(B24:L24)</f>
        <v>0</v>
      </c>
      <c r="N24" s="15" t="n">
        <f aca="false">COUNTIF(B24:L24,"&gt;0")</f>
        <v>0</v>
      </c>
      <c r="O24" s="26" t="n">
        <f aca="false">IFERROR(N24/11*100,0)</f>
        <v>0</v>
      </c>
    </row>
    <row r="25" customFormat="false" ht="15" hidden="false" customHeight="false" outlineLevel="0" collapsed="false">
      <c r="A25" s="20"/>
      <c r="B25" s="4" t="n">
        <f aca="false">IFERROR(COUNTIFS('1. Research Votes Log'!B:B,$A25,'1. Research Votes Log'!E:E,"AH"),0)</f>
        <v>0</v>
      </c>
      <c r="C25" s="4" t="n">
        <f aca="false">IFERROR(COUNTIFS('1. Research Votes Log'!B:B,$A25,'1. Research Votes Log'!E:E,"BE"),0)</f>
        <v>0</v>
      </c>
      <c r="D25" s="4" t="n">
        <f aca="false">IFERROR(COUNTIFS('1. Research Votes Log'!B:B,$A25,'1. Research Votes Log'!E:E,"CH"),0)</f>
        <v>0</v>
      </c>
      <c r="E25" s="4" t="n">
        <f aca="false">IFERROR(COUNTIFS('1. Research Votes Log'!B:B,$A25,'1. Research Votes Log'!E:E,"CS"),0)</f>
        <v>0</v>
      </c>
      <c r="F25" s="4" t="n">
        <f aca="false">IFERROR(COUNTIFS('1. Research Votes Log'!B:B,$A25,'1. Research Votes Log'!E:E,"ED"),0)</f>
        <v>0</v>
      </c>
      <c r="G25" s="4" t="n">
        <f aca="false">IFERROR(COUNTIFS('1. Research Votes Log'!B:B,$A25,'1. Research Votes Log'!E:E,"EN"),0)</f>
        <v>0</v>
      </c>
      <c r="H25" s="4" t="n">
        <f aca="false">IFERROR(COUNTIFS('1. Research Votes Log'!B:B,$A25,'1. Research Votes Log'!E:E,"LW"),0)</f>
        <v>0</v>
      </c>
      <c r="I25" s="4" t="n">
        <f aca="false">IFERROR(COUNTIFS('1. Research Votes Log'!B:B,$A25,'1. Research Votes Log'!E:E,"LS"),0)</f>
        <v>0</v>
      </c>
      <c r="J25" s="4" t="n">
        <f aca="false">IFERROR(COUNTIFS('1. Research Votes Log'!B:B,$A25,'1. Research Votes Log'!E:E,"PS"),0)</f>
        <v>0</v>
      </c>
      <c r="K25" s="4" t="n">
        <f aca="false">IFERROR(COUNTIFS('1. Research Votes Log'!B:B,$A25,'1. Research Votes Log'!E:E,"PY"),0)</f>
        <v>0</v>
      </c>
      <c r="L25" s="4" t="n">
        <f aca="false">IFERROR(COUNTIFS('1. Research Votes Log'!B:B,$A25,'1. Research Votes Log'!E:E,"SS"),0)</f>
        <v>0</v>
      </c>
      <c r="M25" s="16" t="n">
        <f aca="false">SUM(B25:L25)</f>
        <v>0</v>
      </c>
      <c r="N25" s="16" t="n">
        <f aca="false">COUNTIF(B25:L25,"&gt;0")</f>
        <v>0</v>
      </c>
      <c r="O25" s="25" t="n">
        <f aca="false">IFERROR(N25/11*100,0)</f>
        <v>0</v>
      </c>
    </row>
    <row r="26" customFormat="false" ht="15" hidden="false" customHeight="false" outlineLevel="0" collapsed="false">
      <c r="A26" s="19"/>
      <c r="B26" s="7" t="n">
        <f aca="false">IFERROR(COUNTIFS('1. Research Votes Log'!B:B,$A26,'1. Research Votes Log'!E:E,"AH"),0)</f>
        <v>0</v>
      </c>
      <c r="C26" s="7" t="n">
        <f aca="false">IFERROR(COUNTIFS('1. Research Votes Log'!B:B,$A26,'1. Research Votes Log'!E:E,"BE"),0)</f>
        <v>0</v>
      </c>
      <c r="D26" s="7" t="n">
        <f aca="false">IFERROR(COUNTIFS('1. Research Votes Log'!B:B,$A26,'1. Research Votes Log'!E:E,"CH"),0)</f>
        <v>0</v>
      </c>
      <c r="E26" s="7" t="n">
        <f aca="false">IFERROR(COUNTIFS('1. Research Votes Log'!B:B,$A26,'1. Research Votes Log'!E:E,"CS"),0)</f>
        <v>0</v>
      </c>
      <c r="F26" s="7" t="n">
        <f aca="false">IFERROR(COUNTIFS('1. Research Votes Log'!B:B,$A26,'1. Research Votes Log'!E:E,"ED"),0)</f>
        <v>0</v>
      </c>
      <c r="G26" s="7" t="n">
        <f aca="false">IFERROR(COUNTIFS('1. Research Votes Log'!B:B,$A26,'1. Research Votes Log'!E:E,"EN"),0)</f>
        <v>0</v>
      </c>
      <c r="H26" s="7" t="n">
        <f aca="false">IFERROR(COUNTIFS('1. Research Votes Log'!B:B,$A26,'1. Research Votes Log'!E:E,"LW"),0)</f>
        <v>0</v>
      </c>
      <c r="I26" s="7" t="n">
        <f aca="false">IFERROR(COUNTIFS('1. Research Votes Log'!B:B,$A26,'1. Research Votes Log'!E:E,"LS"),0)</f>
        <v>0</v>
      </c>
      <c r="J26" s="7" t="n">
        <f aca="false">IFERROR(COUNTIFS('1. Research Votes Log'!B:B,$A26,'1. Research Votes Log'!E:E,"PS"),0)</f>
        <v>0</v>
      </c>
      <c r="K26" s="7" t="n">
        <f aca="false">IFERROR(COUNTIFS('1. Research Votes Log'!B:B,$A26,'1. Research Votes Log'!E:E,"PY"),0)</f>
        <v>0</v>
      </c>
      <c r="L26" s="7" t="n">
        <f aca="false">IFERROR(COUNTIFS('1. Research Votes Log'!B:B,$A26,'1. Research Votes Log'!E:E,"SS"),0)</f>
        <v>0</v>
      </c>
      <c r="M26" s="15" t="n">
        <f aca="false">SUM(B26:L26)</f>
        <v>0</v>
      </c>
      <c r="N26" s="15" t="n">
        <f aca="false">COUNTIF(B26:L26,"&gt;0")</f>
        <v>0</v>
      </c>
      <c r="O26" s="26" t="n">
        <f aca="false">IFERROR(N26/11*100,0)</f>
        <v>0</v>
      </c>
    </row>
    <row r="27" customFormat="false" ht="15" hidden="false" customHeight="false" outlineLevel="0" collapsed="false">
      <c r="A27" s="20"/>
      <c r="B27" s="4" t="n">
        <f aca="false">IFERROR(COUNTIFS('1. Research Votes Log'!B:B,$A27,'1. Research Votes Log'!E:E,"AH"),0)</f>
        <v>0</v>
      </c>
      <c r="C27" s="4" t="n">
        <f aca="false">IFERROR(COUNTIFS('1. Research Votes Log'!B:B,$A27,'1. Research Votes Log'!E:E,"BE"),0)</f>
        <v>0</v>
      </c>
      <c r="D27" s="4" t="n">
        <f aca="false">IFERROR(COUNTIFS('1. Research Votes Log'!B:B,$A27,'1. Research Votes Log'!E:E,"CH"),0)</f>
        <v>0</v>
      </c>
      <c r="E27" s="4" t="n">
        <f aca="false">IFERROR(COUNTIFS('1. Research Votes Log'!B:B,$A27,'1. Research Votes Log'!E:E,"CS"),0)</f>
        <v>0</v>
      </c>
      <c r="F27" s="4" t="n">
        <f aca="false">IFERROR(COUNTIFS('1. Research Votes Log'!B:B,$A27,'1. Research Votes Log'!E:E,"ED"),0)</f>
        <v>0</v>
      </c>
      <c r="G27" s="4" t="n">
        <f aca="false">IFERROR(COUNTIFS('1. Research Votes Log'!B:B,$A27,'1. Research Votes Log'!E:E,"EN"),0)</f>
        <v>0</v>
      </c>
      <c r="H27" s="4" t="n">
        <f aca="false">IFERROR(COUNTIFS('1. Research Votes Log'!B:B,$A27,'1. Research Votes Log'!E:E,"LW"),0)</f>
        <v>0</v>
      </c>
      <c r="I27" s="4" t="n">
        <f aca="false">IFERROR(COUNTIFS('1. Research Votes Log'!B:B,$A27,'1. Research Votes Log'!E:E,"LS"),0)</f>
        <v>0</v>
      </c>
      <c r="J27" s="4" t="n">
        <f aca="false">IFERROR(COUNTIFS('1. Research Votes Log'!B:B,$A27,'1. Research Votes Log'!E:E,"PS"),0)</f>
        <v>0</v>
      </c>
      <c r="K27" s="4" t="n">
        <f aca="false">IFERROR(COUNTIFS('1. Research Votes Log'!B:B,$A27,'1. Research Votes Log'!E:E,"PY"),0)</f>
        <v>0</v>
      </c>
      <c r="L27" s="4" t="n">
        <f aca="false">IFERROR(COUNTIFS('1. Research Votes Log'!B:B,$A27,'1. Research Votes Log'!E:E,"SS"),0)</f>
        <v>0</v>
      </c>
      <c r="M27" s="16" t="n">
        <f aca="false">SUM(B27:L27)</f>
        <v>0</v>
      </c>
      <c r="N27" s="16" t="n">
        <f aca="false">COUNTIF(B27:L27,"&gt;0")</f>
        <v>0</v>
      </c>
      <c r="O27" s="25" t="n">
        <f aca="false">IFERROR(N27/11*100,0)</f>
        <v>0</v>
      </c>
    </row>
    <row r="28" customFormat="false" ht="15" hidden="false" customHeight="false" outlineLevel="0" collapsed="false">
      <c r="A28" s="19"/>
      <c r="B28" s="7" t="n">
        <f aca="false">IFERROR(COUNTIFS('1. Research Votes Log'!B:B,$A28,'1. Research Votes Log'!E:E,"AH"),0)</f>
        <v>0</v>
      </c>
      <c r="C28" s="7" t="n">
        <f aca="false">IFERROR(COUNTIFS('1. Research Votes Log'!B:B,$A28,'1. Research Votes Log'!E:E,"BE"),0)</f>
        <v>0</v>
      </c>
      <c r="D28" s="7" t="n">
        <f aca="false">IFERROR(COUNTIFS('1. Research Votes Log'!B:B,$A28,'1. Research Votes Log'!E:E,"CH"),0)</f>
        <v>0</v>
      </c>
      <c r="E28" s="7" t="n">
        <f aca="false">IFERROR(COUNTIFS('1. Research Votes Log'!B:B,$A28,'1. Research Votes Log'!E:E,"CS"),0)</f>
        <v>0</v>
      </c>
      <c r="F28" s="7" t="n">
        <f aca="false">IFERROR(COUNTIFS('1. Research Votes Log'!B:B,$A28,'1. Research Votes Log'!E:E,"ED"),0)</f>
        <v>0</v>
      </c>
      <c r="G28" s="7" t="n">
        <f aca="false">IFERROR(COUNTIFS('1. Research Votes Log'!B:B,$A28,'1. Research Votes Log'!E:E,"EN"),0)</f>
        <v>0</v>
      </c>
      <c r="H28" s="7" t="n">
        <f aca="false">IFERROR(COUNTIFS('1. Research Votes Log'!B:B,$A28,'1. Research Votes Log'!E:E,"LW"),0)</f>
        <v>0</v>
      </c>
      <c r="I28" s="7" t="n">
        <f aca="false">IFERROR(COUNTIFS('1. Research Votes Log'!B:B,$A28,'1. Research Votes Log'!E:E,"LS"),0)</f>
        <v>0</v>
      </c>
      <c r="J28" s="7" t="n">
        <f aca="false">IFERROR(COUNTIFS('1. Research Votes Log'!B:B,$A28,'1. Research Votes Log'!E:E,"PS"),0)</f>
        <v>0</v>
      </c>
      <c r="K28" s="7" t="n">
        <f aca="false">IFERROR(COUNTIFS('1. Research Votes Log'!B:B,$A28,'1. Research Votes Log'!E:E,"PY"),0)</f>
        <v>0</v>
      </c>
      <c r="L28" s="7" t="n">
        <f aca="false">IFERROR(COUNTIFS('1. Research Votes Log'!B:B,$A28,'1. Research Votes Log'!E:E,"SS"),0)</f>
        <v>0</v>
      </c>
      <c r="M28" s="15" t="n">
        <f aca="false">SUM(B28:L28)</f>
        <v>0</v>
      </c>
      <c r="N28" s="15" t="n">
        <f aca="false">COUNTIF(B28:L28,"&gt;0")</f>
        <v>0</v>
      </c>
      <c r="O28" s="26" t="n">
        <f aca="false">IFERROR(N28/11*100,0)</f>
        <v>0</v>
      </c>
    </row>
    <row r="29" customFormat="false" ht="15" hidden="false" customHeight="false" outlineLevel="0" collapsed="false">
      <c r="A29" s="20"/>
      <c r="B29" s="4" t="n">
        <f aca="false">IFERROR(COUNTIFS('1. Research Votes Log'!B:B,$A29,'1. Research Votes Log'!E:E,"AH"),0)</f>
        <v>0</v>
      </c>
      <c r="C29" s="4" t="n">
        <f aca="false">IFERROR(COUNTIFS('1. Research Votes Log'!B:B,$A29,'1. Research Votes Log'!E:E,"BE"),0)</f>
        <v>0</v>
      </c>
      <c r="D29" s="4" t="n">
        <f aca="false">IFERROR(COUNTIFS('1. Research Votes Log'!B:B,$A29,'1. Research Votes Log'!E:E,"CH"),0)</f>
        <v>0</v>
      </c>
      <c r="E29" s="4" t="n">
        <f aca="false">IFERROR(COUNTIFS('1. Research Votes Log'!B:B,$A29,'1. Research Votes Log'!E:E,"CS"),0)</f>
        <v>0</v>
      </c>
      <c r="F29" s="4" t="n">
        <f aca="false">IFERROR(COUNTIFS('1. Research Votes Log'!B:B,$A29,'1. Research Votes Log'!E:E,"ED"),0)</f>
        <v>0</v>
      </c>
      <c r="G29" s="4" t="n">
        <f aca="false">IFERROR(COUNTIFS('1. Research Votes Log'!B:B,$A29,'1. Research Votes Log'!E:E,"EN"),0)</f>
        <v>0</v>
      </c>
      <c r="H29" s="4" t="n">
        <f aca="false">IFERROR(COUNTIFS('1. Research Votes Log'!B:B,$A29,'1. Research Votes Log'!E:E,"LW"),0)</f>
        <v>0</v>
      </c>
      <c r="I29" s="4" t="n">
        <f aca="false">IFERROR(COUNTIFS('1. Research Votes Log'!B:B,$A29,'1. Research Votes Log'!E:E,"LS"),0)</f>
        <v>0</v>
      </c>
      <c r="J29" s="4" t="n">
        <f aca="false">IFERROR(COUNTIFS('1. Research Votes Log'!B:B,$A29,'1. Research Votes Log'!E:E,"PS"),0)</f>
        <v>0</v>
      </c>
      <c r="K29" s="4" t="n">
        <f aca="false">IFERROR(COUNTIFS('1. Research Votes Log'!B:B,$A29,'1. Research Votes Log'!E:E,"PY"),0)</f>
        <v>0</v>
      </c>
      <c r="L29" s="4" t="n">
        <f aca="false">IFERROR(COUNTIFS('1. Research Votes Log'!B:B,$A29,'1. Research Votes Log'!E:E,"SS"),0)</f>
        <v>0</v>
      </c>
      <c r="M29" s="16" t="n">
        <f aca="false">SUM(B29:L29)</f>
        <v>0</v>
      </c>
      <c r="N29" s="16" t="n">
        <f aca="false">COUNTIF(B29:L29,"&gt;0")</f>
        <v>0</v>
      </c>
      <c r="O29" s="25" t="n">
        <f aca="false">IFERROR(N29/11*100,0)</f>
        <v>0</v>
      </c>
    </row>
    <row r="30" customFormat="false" ht="15" hidden="false" customHeight="false" outlineLevel="0" collapsed="false">
      <c r="A30" s="19"/>
      <c r="B30" s="7" t="n">
        <f aca="false">IFERROR(COUNTIFS('1. Research Votes Log'!B:B,$A30,'1. Research Votes Log'!E:E,"AH"),0)</f>
        <v>0</v>
      </c>
      <c r="C30" s="7" t="n">
        <f aca="false">IFERROR(COUNTIFS('1. Research Votes Log'!B:B,$A30,'1. Research Votes Log'!E:E,"BE"),0)</f>
        <v>0</v>
      </c>
      <c r="D30" s="7" t="n">
        <f aca="false">IFERROR(COUNTIFS('1. Research Votes Log'!B:B,$A30,'1. Research Votes Log'!E:E,"CH"),0)</f>
        <v>0</v>
      </c>
      <c r="E30" s="7" t="n">
        <f aca="false">IFERROR(COUNTIFS('1. Research Votes Log'!B:B,$A30,'1. Research Votes Log'!E:E,"CS"),0)</f>
        <v>0</v>
      </c>
      <c r="F30" s="7" t="n">
        <f aca="false">IFERROR(COUNTIFS('1. Research Votes Log'!B:B,$A30,'1. Research Votes Log'!E:E,"ED"),0)</f>
        <v>0</v>
      </c>
      <c r="G30" s="7" t="n">
        <f aca="false">IFERROR(COUNTIFS('1. Research Votes Log'!B:B,$A30,'1. Research Votes Log'!E:E,"EN"),0)</f>
        <v>0</v>
      </c>
      <c r="H30" s="7" t="n">
        <f aca="false">IFERROR(COUNTIFS('1. Research Votes Log'!B:B,$A30,'1. Research Votes Log'!E:E,"LW"),0)</f>
        <v>0</v>
      </c>
      <c r="I30" s="7" t="n">
        <f aca="false">IFERROR(COUNTIFS('1. Research Votes Log'!B:B,$A30,'1. Research Votes Log'!E:E,"LS"),0)</f>
        <v>0</v>
      </c>
      <c r="J30" s="7" t="n">
        <f aca="false">IFERROR(COUNTIFS('1. Research Votes Log'!B:B,$A30,'1. Research Votes Log'!E:E,"PS"),0)</f>
        <v>0</v>
      </c>
      <c r="K30" s="7" t="n">
        <f aca="false">IFERROR(COUNTIFS('1. Research Votes Log'!B:B,$A30,'1. Research Votes Log'!E:E,"PY"),0)</f>
        <v>0</v>
      </c>
      <c r="L30" s="7" t="n">
        <f aca="false">IFERROR(COUNTIFS('1. Research Votes Log'!B:B,$A30,'1. Research Votes Log'!E:E,"SS"),0)</f>
        <v>0</v>
      </c>
      <c r="M30" s="15" t="n">
        <f aca="false">SUM(B30:L30)</f>
        <v>0</v>
      </c>
      <c r="N30" s="15" t="n">
        <f aca="false">COUNTIF(B30:L30,"&gt;0")</f>
        <v>0</v>
      </c>
      <c r="O30" s="26" t="n">
        <f aca="false">IFERROR(N30/11*100,0)</f>
        <v>0</v>
      </c>
    </row>
    <row r="31" customFormat="false" ht="15" hidden="false" customHeight="false" outlineLevel="0" collapsed="false">
      <c r="A31" s="20"/>
      <c r="B31" s="4" t="n">
        <f aca="false">IFERROR(COUNTIFS('1. Research Votes Log'!B:B,$A31,'1. Research Votes Log'!E:E,"AH"),0)</f>
        <v>0</v>
      </c>
      <c r="C31" s="4" t="n">
        <f aca="false">IFERROR(COUNTIFS('1. Research Votes Log'!B:B,$A31,'1. Research Votes Log'!E:E,"BE"),0)</f>
        <v>0</v>
      </c>
      <c r="D31" s="4" t="n">
        <f aca="false">IFERROR(COUNTIFS('1. Research Votes Log'!B:B,$A31,'1. Research Votes Log'!E:E,"CH"),0)</f>
        <v>0</v>
      </c>
      <c r="E31" s="4" t="n">
        <f aca="false">IFERROR(COUNTIFS('1. Research Votes Log'!B:B,$A31,'1. Research Votes Log'!E:E,"CS"),0)</f>
        <v>0</v>
      </c>
      <c r="F31" s="4" t="n">
        <f aca="false">IFERROR(COUNTIFS('1. Research Votes Log'!B:B,$A31,'1. Research Votes Log'!E:E,"ED"),0)</f>
        <v>0</v>
      </c>
      <c r="G31" s="4" t="n">
        <f aca="false">IFERROR(COUNTIFS('1. Research Votes Log'!B:B,$A31,'1. Research Votes Log'!E:E,"EN"),0)</f>
        <v>0</v>
      </c>
      <c r="H31" s="4" t="n">
        <f aca="false">IFERROR(COUNTIFS('1. Research Votes Log'!B:B,$A31,'1. Research Votes Log'!E:E,"LW"),0)</f>
        <v>0</v>
      </c>
      <c r="I31" s="4" t="n">
        <f aca="false">IFERROR(COUNTIFS('1. Research Votes Log'!B:B,$A31,'1. Research Votes Log'!E:E,"LS"),0)</f>
        <v>0</v>
      </c>
      <c r="J31" s="4" t="n">
        <f aca="false">IFERROR(COUNTIFS('1. Research Votes Log'!B:B,$A31,'1. Research Votes Log'!E:E,"PS"),0)</f>
        <v>0</v>
      </c>
      <c r="K31" s="4" t="n">
        <f aca="false">IFERROR(COUNTIFS('1. Research Votes Log'!B:B,$A31,'1. Research Votes Log'!E:E,"PY"),0)</f>
        <v>0</v>
      </c>
      <c r="L31" s="4" t="n">
        <f aca="false">IFERROR(COUNTIFS('1. Research Votes Log'!B:B,$A31,'1. Research Votes Log'!E:E,"SS"),0)</f>
        <v>0</v>
      </c>
      <c r="M31" s="16" t="n">
        <f aca="false">SUM(B31:L31)</f>
        <v>0</v>
      </c>
      <c r="N31" s="16" t="n">
        <f aca="false">COUNTIF(B31:L31,"&gt;0")</f>
        <v>0</v>
      </c>
      <c r="O31" s="25" t="n">
        <f aca="false">IFERROR(N31/11*100,0)</f>
        <v>0</v>
      </c>
    </row>
    <row r="32" customFormat="false" ht="15" hidden="false" customHeight="false" outlineLevel="0" collapsed="false">
      <c r="A32" s="19"/>
      <c r="B32" s="7" t="n">
        <f aca="false">IFERROR(COUNTIFS('1. Research Votes Log'!B:B,$A32,'1. Research Votes Log'!E:E,"AH"),0)</f>
        <v>0</v>
      </c>
      <c r="C32" s="7" t="n">
        <f aca="false">IFERROR(COUNTIFS('1. Research Votes Log'!B:B,$A32,'1. Research Votes Log'!E:E,"BE"),0)</f>
        <v>0</v>
      </c>
      <c r="D32" s="7" t="n">
        <f aca="false">IFERROR(COUNTIFS('1. Research Votes Log'!B:B,$A32,'1. Research Votes Log'!E:E,"CH"),0)</f>
        <v>0</v>
      </c>
      <c r="E32" s="7" t="n">
        <f aca="false">IFERROR(COUNTIFS('1. Research Votes Log'!B:B,$A32,'1. Research Votes Log'!E:E,"CS"),0)</f>
        <v>0</v>
      </c>
      <c r="F32" s="7" t="n">
        <f aca="false">IFERROR(COUNTIFS('1. Research Votes Log'!B:B,$A32,'1. Research Votes Log'!E:E,"ED"),0)</f>
        <v>0</v>
      </c>
      <c r="G32" s="7" t="n">
        <f aca="false">IFERROR(COUNTIFS('1. Research Votes Log'!B:B,$A32,'1. Research Votes Log'!E:E,"EN"),0)</f>
        <v>0</v>
      </c>
      <c r="H32" s="7" t="n">
        <f aca="false">IFERROR(COUNTIFS('1. Research Votes Log'!B:B,$A32,'1. Research Votes Log'!E:E,"LW"),0)</f>
        <v>0</v>
      </c>
      <c r="I32" s="7" t="n">
        <f aca="false">IFERROR(COUNTIFS('1. Research Votes Log'!B:B,$A32,'1. Research Votes Log'!E:E,"LS"),0)</f>
        <v>0</v>
      </c>
      <c r="J32" s="7" t="n">
        <f aca="false">IFERROR(COUNTIFS('1. Research Votes Log'!B:B,$A32,'1. Research Votes Log'!E:E,"PS"),0)</f>
        <v>0</v>
      </c>
      <c r="K32" s="7" t="n">
        <f aca="false">IFERROR(COUNTIFS('1. Research Votes Log'!B:B,$A32,'1. Research Votes Log'!E:E,"PY"),0)</f>
        <v>0</v>
      </c>
      <c r="L32" s="7" t="n">
        <f aca="false">IFERROR(COUNTIFS('1. Research Votes Log'!B:B,$A32,'1. Research Votes Log'!E:E,"SS"),0)</f>
        <v>0</v>
      </c>
      <c r="M32" s="15" t="n">
        <f aca="false">SUM(B32:L32)</f>
        <v>0</v>
      </c>
      <c r="N32" s="15" t="n">
        <f aca="false">COUNTIF(B32:L32,"&gt;0")</f>
        <v>0</v>
      </c>
      <c r="O32" s="26" t="n">
        <f aca="false">IFERROR(N32/11*100,0)</f>
        <v>0</v>
      </c>
    </row>
    <row r="33" customFormat="false" ht="15" hidden="false" customHeight="false" outlineLevel="0" collapsed="false">
      <c r="A33" s="20"/>
      <c r="B33" s="4" t="n">
        <f aca="false">IFERROR(COUNTIFS('1. Research Votes Log'!B:B,$A33,'1. Research Votes Log'!E:E,"AH"),0)</f>
        <v>0</v>
      </c>
      <c r="C33" s="4" t="n">
        <f aca="false">IFERROR(COUNTIFS('1. Research Votes Log'!B:B,$A33,'1. Research Votes Log'!E:E,"BE"),0)</f>
        <v>0</v>
      </c>
      <c r="D33" s="4" t="n">
        <f aca="false">IFERROR(COUNTIFS('1. Research Votes Log'!B:B,$A33,'1. Research Votes Log'!E:E,"CH"),0)</f>
        <v>0</v>
      </c>
      <c r="E33" s="4" t="n">
        <f aca="false">IFERROR(COUNTIFS('1. Research Votes Log'!B:B,$A33,'1. Research Votes Log'!E:E,"CS"),0)</f>
        <v>0</v>
      </c>
      <c r="F33" s="4" t="n">
        <f aca="false">IFERROR(COUNTIFS('1. Research Votes Log'!B:B,$A33,'1. Research Votes Log'!E:E,"ED"),0)</f>
        <v>0</v>
      </c>
      <c r="G33" s="4" t="n">
        <f aca="false">IFERROR(COUNTIFS('1. Research Votes Log'!B:B,$A33,'1. Research Votes Log'!E:E,"EN"),0)</f>
        <v>0</v>
      </c>
      <c r="H33" s="4" t="n">
        <f aca="false">IFERROR(COUNTIFS('1. Research Votes Log'!B:B,$A33,'1. Research Votes Log'!E:E,"LW"),0)</f>
        <v>0</v>
      </c>
      <c r="I33" s="4" t="n">
        <f aca="false">IFERROR(COUNTIFS('1. Research Votes Log'!B:B,$A33,'1. Research Votes Log'!E:E,"LS"),0)</f>
        <v>0</v>
      </c>
      <c r="J33" s="4" t="n">
        <f aca="false">IFERROR(COUNTIFS('1. Research Votes Log'!B:B,$A33,'1. Research Votes Log'!E:E,"PS"),0)</f>
        <v>0</v>
      </c>
      <c r="K33" s="4" t="n">
        <f aca="false">IFERROR(COUNTIFS('1. Research Votes Log'!B:B,$A33,'1. Research Votes Log'!E:E,"PY"),0)</f>
        <v>0</v>
      </c>
      <c r="L33" s="4" t="n">
        <f aca="false">IFERROR(COUNTIFS('1. Research Votes Log'!B:B,$A33,'1. Research Votes Log'!E:E,"SS"),0)</f>
        <v>0</v>
      </c>
      <c r="M33" s="16" t="n">
        <f aca="false">SUM(B33:L33)</f>
        <v>0</v>
      </c>
      <c r="N33" s="16" t="n">
        <f aca="false">COUNTIF(B33:L33,"&gt;0")</f>
        <v>0</v>
      </c>
      <c r="O33" s="25" t="n">
        <f aca="false">IFERROR(N33/11*100,0)</f>
        <v>0</v>
      </c>
    </row>
    <row r="34" customFormat="false" ht="15" hidden="false" customHeight="false" outlineLevel="0" collapsed="false">
      <c r="A34" s="19"/>
      <c r="B34" s="7" t="n">
        <f aca="false">IFERROR(COUNTIFS('1. Research Votes Log'!B:B,$A34,'1. Research Votes Log'!E:E,"AH"),0)</f>
        <v>0</v>
      </c>
      <c r="C34" s="7" t="n">
        <f aca="false">IFERROR(COUNTIFS('1. Research Votes Log'!B:B,$A34,'1. Research Votes Log'!E:E,"BE"),0)</f>
        <v>0</v>
      </c>
      <c r="D34" s="7" t="n">
        <f aca="false">IFERROR(COUNTIFS('1. Research Votes Log'!B:B,$A34,'1. Research Votes Log'!E:E,"CH"),0)</f>
        <v>0</v>
      </c>
      <c r="E34" s="7" t="n">
        <f aca="false">IFERROR(COUNTIFS('1. Research Votes Log'!B:B,$A34,'1. Research Votes Log'!E:E,"CS"),0)</f>
        <v>0</v>
      </c>
      <c r="F34" s="7" t="n">
        <f aca="false">IFERROR(COUNTIFS('1. Research Votes Log'!B:B,$A34,'1. Research Votes Log'!E:E,"ED"),0)</f>
        <v>0</v>
      </c>
      <c r="G34" s="7" t="n">
        <f aca="false">IFERROR(COUNTIFS('1. Research Votes Log'!B:B,$A34,'1. Research Votes Log'!E:E,"EN"),0)</f>
        <v>0</v>
      </c>
      <c r="H34" s="7" t="n">
        <f aca="false">IFERROR(COUNTIFS('1. Research Votes Log'!B:B,$A34,'1. Research Votes Log'!E:E,"LW"),0)</f>
        <v>0</v>
      </c>
      <c r="I34" s="7" t="n">
        <f aca="false">IFERROR(COUNTIFS('1. Research Votes Log'!B:B,$A34,'1. Research Votes Log'!E:E,"LS"),0)</f>
        <v>0</v>
      </c>
      <c r="J34" s="7" t="n">
        <f aca="false">IFERROR(COUNTIFS('1. Research Votes Log'!B:B,$A34,'1. Research Votes Log'!E:E,"PS"),0)</f>
        <v>0</v>
      </c>
      <c r="K34" s="7" t="n">
        <f aca="false">IFERROR(COUNTIFS('1. Research Votes Log'!B:B,$A34,'1. Research Votes Log'!E:E,"PY"),0)</f>
        <v>0</v>
      </c>
      <c r="L34" s="7" t="n">
        <f aca="false">IFERROR(COUNTIFS('1. Research Votes Log'!B:B,$A34,'1. Research Votes Log'!E:E,"SS"),0)</f>
        <v>0</v>
      </c>
      <c r="M34" s="15" t="n">
        <f aca="false">SUM(B34:L34)</f>
        <v>0</v>
      </c>
      <c r="N34" s="15" t="n">
        <f aca="false">COUNTIF(B34:L34,"&gt;0")</f>
        <v>0</v>
      </c>
      <c r="O34" s="26" t="n">
        <f aca="false">IFERROR(N34/11*100,0)</f>
        <v>0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1"/>
    <col collapsed="false" customWidth="true" hidden="false" outlineLevel="0" max="14" min="13" style="0" width="14"/>
    <col collapsed="false" customWidth="true" hidden="false" outlineLevel="0" max="15" min="15" style="0" width="16"/>
  </cols>
  <sheetData>
    <row r="1" customFormat="false" ht="33.75" hidden="false" customHeight="true" outlineLevel="0" collapsed="false">
      <c r="A1" s="21" t="s">
        <v>499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customFormat="false" ht="25.5" hidden="false" customHeight="true" outlineLevel="0" collapsed="false">
      <c r="A2" s="22" t="s">
        <v>500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4" customFormat="false" ht="23.85" hidden="false" customHeight="false" outlineLevel="0" collapsed="false">
      <c r="A4" s="23" t="s">
        <v>495</v>
      </c>
      <c r="B4" s="23" t="s">
        <v>36</v>
      </c>
      <c r="C4" s="23" t="s">
        <v>41</v>
      </c>
      <c r="D4" s="23" t="s">
        <v>45</v>
      </c>
      <c r="E4" s="23" t="s">
        <v>49</v>
      </c>
      <c r="F4" s="23" t="s">
        <v>53</v>
      </c>
      <c r="G4" s="23" t="s">
        <v>57</v>
      </c>
      <c r="H4" s="23" t="s">
        <v>61</v>
      </c>
      <c r="I4" s="23" t="s">
        <v>65</v>
      </c>
      <c r="J4" s="23" t="s">
        <v>69</v>
      </c>
      <c r="K4" s="23" t="s">
        <v>73</v>
      </c>
      <c r="L4" s="23" t="s">
        <v>77</v>
      </c>
      <c r="M4" s="24" t="s">
        <v>496</v>
      </c>
      <c r="N4" s="24" t="s">
        <v>497</v>
      </c>
      <c r="O4" s="24" t="s">
        <v>498</v>
      </c>
    </row>
    <row r="5" customFormat="false" ht="15" hidden="false" customHeight="false" outlineLevel="0" collapsed="false">
      <c r="A5" s="20"/>
      <c r="B5" s="4" t="n">
        <f aca="false">IFERROR(COUNTIFS('2. Teaching Votes Log'!B:B,$A5,'2. Teaching Votes Log'!E:E,"AH"),0)</f>
        <v>0</v>
      </c>
      <c r="C5" s="4" t="n">
        <f aca="false">IFERROR(COUNTIFS('2. Teaching Votes Log'!B:B,$A5,'2. Teaching Votes Log'!E:E,"BE"),0)</f>
        <v>0</v>
      </c>
      <c r="D5" s="4" t="n">
        <f aca="false">IFERROR(COUNTIFS('2. Teaching Votes Log'!B:B,$A5,'2. Teaching Votes Log'!E:E,"CH"),0)</f>
        <v>0</v>
      </c>
      <c r="E5" s="4" t="n">
        <f aca="false">IFERROR(COUNTIFS('2. Teaching Votes Log'!B:B,$A5,'2. Teaching Votes Log'!E:E,"CS"),0)</f>
        <v>0</v>
      </c>
      <c r="F5" s="4" t="n">
        <f aca="false">IFERROR(COUNTIFS('2. Teaching Votes Log'!B:B,$A5,'2. Teaching Votes Log'!E:E,"ED"),0)</f>
        <v>0</v>
      </c>
      <c r="G5" s="4" t="n">
        <f aca="false">IFERROR(COUNTIFS('2. Teaching Votes Log'!B:B,$A5,'2. Teaching Votes Log'!E:E,"EN"),0)</f>
        <v>0</v>
      </c>
      <c r="H5" s="4" t="n">
        <f aca="false">IFERROR(COUNTIFS('2. Teaching Votes Log'!B:B,$A5,'2. Teaching Votes Log'!E:E,"LW"),0)</f>
        <v>0</v>
      </c>
      <c r="I5" s="4" t="n">
        <f aca="false">IFERROR(COUNTIFS('2. Teaching Votes Log'!B:B,$A5,'2. Teaching Votes Log'!E:E,"LS"),0)</f>
        <v>0</v>
      </c>
      <c r="J5" s="4" t="n">
        <f aca="false">IFERROR(COUNTIFS('2. Teaching Votes Log'!B:B,$A5,'2. Teaching Votes Log'!E:E,"PS"),0)</f>
        <v>0</v>
      </c>
      <c r="K5" s="4" t="n">
        <f aca="false">IFERROR(COUNTIFS('2. Teaching Votes Log'!B:B,$A5,'2. Teaching Votes Log'!E:E,"PY"),0)</f>
        <v>0</v>
      </c>
      <c r="L5" s="4" t="n">
        <f aca="false">IFERROR(COUNTIFS('2. Teaching Votes Log'!B:B,$A5,'2. Teaching Votes Log'!E:E,"SS"),0)</f>
        <v>0</v>
      </c>
      <c r="M5" s="16" t="n">
        <f aca="false">SUM(B5:L5)</f>
        <v>0</v>
      </c>
      <c r="N5" s="16" t="n">
        <f aca="false">COUNTIF(B5:L5,"&gt;0")</f>
        <v>0</v>
      </c>
      <c r="O5" s="25" t="n">
        <f aca="false">IFERROR(N5/11*100,0)</f>
        <v>0</v>
      </c>
    </row>
    <row r="6" customFormat="false" ht="15" hidden="false" customHeight="false" outlineLevel="0" collapsed="false">
      <c r="A6" s="19"/>
      <c r="B6" s="7" t="n">
        <f aca="false">IFERROR(COUNTIFS('2. Teaching Votes Log'!B:B,$A6,'2. Teaching Votes Log'!E:E,"AH"),0)</f>
        <v>0</v>
      </c>
      <c r="C6" s="7" t="n">
        <f aca="false">IFERROR(COUNTIFS('2. Teaching Votes Log'!B:B,$A6,'2. Teaching Votes Log'!E:E,"BE"),0)</f>
        <v>0</v>
      </c>
      <c r="D6" s="7" t="n">
        <f aca="false">IFERROR(COUNTIFS('2. Teaching Votes Log'!B:B,$A6,'2. Teaching Votes Log'!E:E,"CH"),0)</f>
        <v>0</v>
      </c>
      <c r="E6" s="7" t="n">
        <f aca="false">IFERROR(COUNTIFS('2. Teaching Votes Log'!B:B,$A6,'2. Teaching Votes Log'!E:E,"CS"),0)</f>
        <v>0</v>
      </c>
      <c r="F6" s="7" t="n">
        <f aca="false">IFERROR(COUNTIFS('2. Teaching Votes Log'!B:B,$A6,'2. Teaching Votes Log'!E:E,"ED"),0)</f>
        <v>0</v>
      </c>
      <c r="G6" s="7" t="n">
        <f aca="false">IFERROR(COUNTIFS('2. Teaching Votes Log'!B:B,$A6,'2. Teaching Votes Log'!E:E,"EN"),0)</f>
        <v>0</v>
      </c>
      <c r="H6" s="7" t="n">
        <f aca="false">IFERROR(COUNTIFS('2. Teaching Votes Log'!B:B,$A6,'2. Teaching Votes Log'!E:E,"LW"),0)</f>
        <v>0</v>
      </c>
      <c r="I6" s="7" t="n">
        <f aca="false">IFERROR(COUNTIFS('2. Teaching Votes Log'!B:B,$A6,'2. Teaching Votes Log'!E:E,"LS"),0)</f>
        <v>0</v>
      </c>
      <c r="J6" s="7" t="n">
        <f aca="false">IFERROR(COUNTIFS('2. Teaching Votes Log'!B:B,$A6,'2. Teaching Votes Log'!E:E,"PS"),0)</f>
        <v>0</v>
      </c>
      <c r="K6" s="7" t="n">
        <f aca="false">IFERROR(COUNTIFS('2. Teaching Votes Log'!B:B,$A6,'2. Teaching Votes Log'!E:E,"PY"),0)</f>
        <v>0</v>
      </c>
      <c r="L6" s="7" t="n">
        <f aca="false">IFERROR(COUNTIFS('2. Teaching Votes Log'!B:B,$A6,'2. Teaching Votes Log'!E:E,"SS"),0)</f>
        <v>0</v>
      </c>
      <c r="M6" s="15" t="n">
        <f aca="false">SUM(B6:L6)</f>
        <v>0</v>
      </c>
      <c r="N6" s="15" t="n">
        <f aca="false">COUNTIF(B6:L6,"&gt;0")</f>
        <v>0</v>
      </c>
      <c r="O6" s="26" t="n">
        <f aca="false">IFERROR(N6/11*100,0)</f>
        <v>0</v>
      </c>
    </row>
    <row r="7" customFormat="false" ht="15" hidden="false" customHeight="false" outlineLevel="0" collapsed="false">
      <c r="A7" s="20"/>
      <c r="B7" s="4" t="n">
        <f aca="false">IFERROR(COUNTIFS('2. Teaching Votes Log'!B:B,$A7,'2. Teaching Votes Log'!E:E,"AH"),0)</f>
        <v>0</v>
      </c>
      <c r="C7" s="4" t="n">
        <f aca="false">IFERROR(COUNTIFS('2. Teaching Votes Log'!B:B,$A7,'2. Teaching Votes Log'!E:E,"BE"),0)</f>
        <v>0</v>
      </c>
      <c r="D7" s="4" t="n">
        <f aca="false">IFERROR(COUNTIFS('2. Teaching Votes Log'!B:B,$A7,'2. Teaching Votes Log'!E:E,"CH"),0)</f>
        <v>0</v>
      </c>
      <c r="E7" s="4" t="n">
        <f aca="false">IFERROR(COUNTIFS('2. Teaching Votes Log'!B:B,$A7,'2. Teaching Votes Log'!E:E,"CS"),0)</f>
        <v>0</v>
      </c>
      <c r="F7" s="4" t="n">
        <f aca="false">IFERROR(COUNTIFS('2. Teaching Votes Log'!B:B,$A7,'2. Teaching Votes Log'!E:E,"ED"),0)</f>
        <v>0</v>
      </c>
      <c r="G7" s="4" t="n">
        <f aca="false">IFERROR(COUNTIFS('2. Teaching Votes Log'!B:B,$A7,'2. Teaching Votes Log'!E:E,"EN"),0)</f>
        <v>0</v>
      </c>
      <c r="H7" s="4" t="n">
        <f aca="false">IFERROR(COUNTIFS('2. Teaching Votes Log'!B:B,$A7,'2. Teaching Votes Log'!E:E,"LW"),0)</f>
        <v>0</v>
      </c>
      <c r="I7" s="4" t="n">
        <f aca="false">IFERROR(COUNTIFS('2. Teaching Votes Log'!B:B,$A7,'2. Teaching Votes Log'!E:E,"LS"),0)</f>
        <v>0</v>
      </c>
      <c r="J7" s="4" t="n">
        <f aca="false">IFERROR(COUNTIFS('2. Teaching Votes Log'!B:B,$A7,'2. Teaching Votes Log'!E:E,"PS"),0)</f>
        <v>0</v>
      </c>
      <c r="K7" s="4" t="n">
        <f aca="false">IFERROR(COUNTIFS('2. Teaching Votes Log'!B:B,$A7,'2. Teaching Votes Log'!E:E,"PY"),0)</f>
        <v>0</v>
      </c>
      <c r="L7" s="4" t="n">
        <f aca="false">IFERROR(COUNTIFS('2. Teaching Votes Log'!B:B,$A7,'2. Teaching Votes Log'!E:E,"SS"),0)</f>
        <v>0</v>
      </c>
      <c r="M7" s="16" t="n">
        <f aca="false">SUM(B7:L7)</f>
        <v>0</v>
      </c>
      <c r="N7" s="16" t="n">
        <f aca="false">COUNTIF(B7:L7,"&gt;0")</f>
        <v>0</v>
      </c>
      <c r="O7" s="25" t="n">
        <f aca="false">IFERROR(N7/11*100,0)</f>
        <v>0</v>
      </c>
    </row>
    <row r="8" customFormat="false" ht="15" hidden="false" customHeight="false" outlineLevel="0" collapsed="false">
      <c r="A8" s="19"/>
      <c r="B8" s="7" t="n">
        <f aca="false">IFERROR(COUNTIFS('2. Teaching Votes Log'!B:B,$A8,'2. Teaching Votes Log'!E:E,"AH"),0)</f>
        <v>0</v>
      </c>
      <c r="C8" s="7" t="n">
        <f aca="false">IFERROR(COUNTIFS('2. Teaching Votes Log'!B:B,$A8,'2. Teaching Votes Log'!E:E,"BE"),0)</f>
        <v>0</v>
      </c>
      <c r="D8" s="7" t="n">
        <f aca="false">IFERROR(COUNTIFS('2. Teaching Votes Log'!B:B,$A8,'2. Teaching Votes Log'!E:E,"CH"),0)</f>
        <v>0</v>
      </c>
      <c r="E8" s="7" t="n">
        <f aca="false">IFERROR(COUNTIFS('2. Teaching Votes Log'!B:B,$A8,'2. Teaching Votes Log'!E:E,"CS"),0)</f>
        <v>0</v>
      </c>
      <c r="F8" s="7" t="n">
        <f aca="false">IFERROR(COUNTIFS('2. Teaching Votes Log'!B:B,$A8,'2. Teaching Votes Log'!E:E,"ED"),0)</f>
        <v>0</v>
      </c>
      <c r="G8" s="7" t="n">
        <f aca="false">IFERROR(COUNTIFS('2. Teaching Votes Log'!B:B,$A8,'2. Teaching Votes Log'!E:E,"EN"),0)</f>
        <v>0</v>
      </c>
      <c r="H8" s="7" t="n">
        <f aca="false">IFERROR(COUNTIFS('2. Teaching Votes Log'!B:B,$A8,'2. Teaching Votes Log'!E:E,"LW"),0)</f>
        <v>0</v>
      </c>
      <c r="I8" s="7" t="n">
        <f aca="false">IFERROR(COUNTIFS('2. Teaching Votes Log'!B:B,$A8,'2. Teaching Votes Log'!E:E,"LS"),0)</f>
        <v>0</v>
      </c>
      <c r="J8" s="7" t="n">
        <f aca="false">IFERROR(COUNTIFS('2. Teaching Votes Log'!B:B,$A8,'2. Teaching Votes Log'!E:E,"PS"),0)</f>
        <v>0</v>
      </c>
      <c r="K8" s="7" t="n">
        <f aca="false">IFERROR(COUNTIFS('2. Teaching Votes Log'!B:B,$A8,'2. Teaching Votes Log'!E:E,"PY"),0)</f>
        <v>0</v>
      </c>
      <c r="L8" s="7" t="n">
        <f aca="false">IFERROR(COUNTIFS('2. Teaching Votes Log'!B:B,$A8,'2. Teaching Votes Log'!E:E,"SS"),0)</f>
        <v>0</v>
      </c>
      <c r="M8" s="15" t="n">
        <f aca="false">SUM(B8:L8)</f>
        <v>0</v>
      </c>
      <c r="N8" s="15" t="n">
        <f aca="false">COUNTIF(B8:L8,"&gt;0")</f>
        <v>0</v>
      </c>
      <c r="O8" s="26" t="n">
        <f aca="false">IFERROR(N8/11*100,0)</f>
        <v>0</v>
      </c>
    </row>
    <row r="9" customFormat="false" ht="15" hidden="false" customHeight="false" outlineLevel="0" collapsed="false">
      <c r="A9" s="20"/>
      <c r="B9" s="4" t="n">
        <f aca="false">IFERROR(COUNTIFS('2. Teaching Votes Log'!B:B,$A9,'2. Teaching Votes Log'!E:E,"AH"),0)</f>
        <v>0</v>
      </c>
      <c r="C9" s="4" t="n">
        <f aca="false">IFERROR(COUNTIFS('2. Teaching Votes Log'!B:B,$A9,'2. Teaching Votes Log'!E:E,"BE"),0)</f>
        <v>0</v>
      </c>
      <c r="D9" s="4" t="n">
        <f aca="false">IFERROR(COUNTIFS('2. Teaching Votes Log'!B:B,$A9,'2. Teaching Votes Log'!E:E,"CH"),0)</f>
        <v>0</v>
      </c>
      <c r="E9" s="4" t="n">
        <f aca="false">IFERROR(COUNTIFS('2. Teaching Votes Log'!B:B,$A9,'2. Teaching Votes Log'!E:E,"CS"),0)</f>
        <v>0</v>
      </c>
      <c r="F9" s="4" t="n">
        <f aca="false">IFERROR(COUNTIFS('2. Teaching Votes Log'!B:B,$A9,'2. Teaching Votes Log'!E:E,"ED"),0)</f>
        <v>0</v>
      </c>
      <c r="G9" s="4" t="n">
        <f aca="false">IFERROR(COUNTIFS('2. Teaching Votes Log'!B:B,$A9,'2. Teaching Votes Log'!E:E,"EN"),0)</f>
        <v>0</v>
      </c>
      <c r="H9" s="4" t="n">
        <f aca="false">IFERROR(COUNTIFS('2. Teaching Votes Log'!B:B,$A9,'2. Teaching Votes Log'!E:E,"LW"),0)</f>
        <v>0</v>
      </c>
      <c r="I9" s="4" t="n">
        <f aca="false">IFERROR(COUNTIFS('2. Teaching Votes Log'!B:B,$A9,'2. Teaching Votes Log'!E:E,"LS"),0)</f>
        <v>0</v>
      </c>
      <c r="J9" s="4" t="n">
        <f aca="false">IFERROR(COUNTIFS('2. Teaching Votes Log'!B:B,$A9,'2. Teaching Votes Log'!E:E,"PS"),0)</f>
        <v>0</v>
      </c>
      <c r="K9" s="4" t="n">
        <f aca="false">IFERROR(COUNTIFS('2. Teaching Votes Log'!B:B,$A9,'2. Teaching Votes Log'!E:E,"PY"),0)</f>
        <v>0</v>
      </c>
      <c r="L9" s="4" t="n">
        <f aca="false">IFERROR(COUNTIFS('2. Teaching Votes Log'!B:B,$A9,'2. Teaching Votes Log'!E:E,"SS"),0)</f>
        <v>0</v>
      </c>
      <c r="M9" s="16" t="n">
        <f aca="false">SUM(B9:L9)</f>
        <v>0</v>
      </c>
      <c r="N9" s="16" t="n">
        <f aca="false">COUNTIF(B9:L9,"&gt;0")</f>
        <v>0</v>
      </c>
      <c r="O9" s="25" t="n">
        <f aca="false">IFERROR(N9/11*100,0)</f>
        <v>0</v>
      </c>
    </row>
    <row r="10" customFormat="false" ht="15" hidden="false" customHeight="false" outlineLevel="0" collapsed="false">
      <c r="A10" s="19"/>
      <c r="B10" s="7" t="n">
        <f aca="false">IFERROR(COUNTIFS('2. Teaching Votes Log'!B:B,$A10,'2. Teaching Votes Log'!E:E,"AH"),0)</f>
        <v>0</v>
      </c>
      <c r="C10" s="7" t="n">
        <f aca="false">IFERROR(COUNTIFS('2. Teaching Votes Log'!B:B,$A10,'2. Teaching Votes Log'!E:E,"BE"),0)</f>
        <v>0</v>
      </c>
      <c r="D10" s="7" t="n">
        <f aca="false">IFERROR(COUNTIFS('2. Teaching Votes Log'!B:B,$A10,'2. Teaching Votes Log'!E:E,"CH"),0)</f>
        <v>0</v>
      </c>
      <c r="E10" s="7" t="n">
        <f aca="false">IFERROR(COUNTIFS('2. Teaching Votes Log'!B:B,$A10,'2. Teaching Votes Log'!E:E,"CS"),0)</f>
        <v>0</v>
      </c>
      <c r="F10" s="7" t="n">
        <f aca="false">IFERROR(COUNTIFS('2. Teaching Votes Log'!B:B,$A10,'2. Teaching Votes Log'!E:E,"ED"),0)</f>
        <v>0</v>
      </c>
      <c r="G10" s="7" t="n">
        <f aca="false">IFERROR(COUNTIFS('2. Teaching Votes Log'!B:B,$A10,'2. Teaching Votes Log'!E:E,"EN"),0)</f>
        <v>0</v>
      </c>
      <c r="H10" s="7" t="n">
        <f aca="false">IFERROR(COUNTIFS('2. Teaching Votes Log'!B:B,$A10,'2. Teaching Votes Log'!E:E,"LW"),0)</f>
        <v>0</v>
      </c>
      <c r="I10" s="7" t="n">
        <f aca="false">IFERROR(COUNTIFS('2. Teaching Votes Log'!B:B,$A10,'2. Teaching Votes Log'!E:E,"LS"),0)</f>
        <v>0</v>
      </c>
      <c r="J10" s="7" t="n">
        <f aca="false">IFERROR(COUNTIFS('2. Teaching Votes Log'!B:B,$A10,'2. Teaching Votes Log'!E:E,"PS"),0)</f>
        <v>0</v>
      </c>
      <c r="K10" s="7" t="n">
        <f aca="false">IFERROR(COUNTIFS('2. Teaching Votes Log'!B:B,$A10,'2. Teaching Votes Log'!E:E,"PY"),0)</f>
        <v>0</v>
      </c>
      <c r="L10" s="7" t="n">
        <f aca="false">IFERROR(COUNTIFS('2. Teaching Votes Log'!B:B,$A10,'2. Teaching Votes Log'!E:E,"SS"),0)</f>
        <v>0</v>
      </c>
      <c r="M10" s="15" t="n">
        <f aca="false">SUM(B10:L10)</f>
        <v>0</v>
      </c>
      <c r="N10" s="15" t="n">
        <f aca="false">COUNTIF(B10:L10,"&gt;0")</f>
        <v>0</v>
      </c>
      <c r="O10" s="26" t="n">
        <f aca="false">IFERROR(N10/11*100,0)</f>
        <v>0</v>
      </c>
    </row>
    <row r="11" customFormat="false" ht="15" hidden="false" customHeight="false" outlineLevel="0" collapsed="false">
      <c r="A11" s="20"/>
      <c r="B11" s="4" t="n">
        <f aca="false">IFERROR(COUNTIFS('2. Teaching Votes Log'!B:B,$A11,'2. Teaching Votes Log'!E:E,"AH"),0)</f>
        <v>0</v>
      </c>
      <c r="C11" s="4" t="n">
        <f aca="false">IFERROR(COUNTIFS('2. Teaching Votes Log'!B:B,$A11,'2. Teaching Votes Log'!E:E,"BE"),0)</f>
        <v>0</v>
      </c>
      <c r="D11" s="4" t="n">
        <f aca="false">IFERROR(COUNTIFS('2. Teaching Votes Log'!B:B,$A11,'2. Teaching Votes Log'!E:E,"CH"),0)</f>
        <v>0</v>
      </c>
      <c r="E11" s="4" t="n">
        <f aca="false">IFERROR(COUNTIFS('2. Teaching Votes Log'!B:B,$A11,'2. Teaching Votes Log'!E:E,"CS"),0)</f>
        <v>0</v>
      </c>
      <c r="F11" s="4" t="n">
        <f aca="false">IFERROR(COUNTIFS('2. Teaching Votes Log'!B:B,$A11,'2. Teaching Votes Log'!E:E,"ED"),0)</f>
        <v>0</v>
      </c>
      <c r="G11" s="4" t="n">
        <f aca="false">IFERROR(COUNTIFS('2. Teaching Votes Log'!B:B,$A11,'2. Teaching Votes Log'!E:E,"EN"),0)</f>
        <v>0</v>
      </c>
      <c r="H11" s="4" t="n">
        <f aca="false">IFERROR(COUNTIFS('2. Teaching Votes Log'!B:B,$A11,'2. Teaching Votes Log'!E:E,"LW"),0)</f>
        <v>0</v>
      </c>
      <c r="I11" s="4" t="n">
        <f aca="false">IFERROR(COUNTIFS('2. Teaching Votes Log'!B:B,$A11,'2. Teaching Votes Log'!E:E,"LS"),0)</f>
        <v>0</v>
      </c>
      <c r="J11" s="4" t="n">
        <f aca="false">IFERROR(COUNTIFS('2. Teaching Votes Log'!B:B,$A11,'2. Teaching Votes Log'!E:E,"PS"),0)</f>
        <v>0</v>
      </c>
      <c r="K11" s="4" t="n">
        <f aca="false">IFERROR(COUNTIFS('2. Teaching Votes Log'!B:B,$A11,'2. Teaching Votes Log'!E:E,"PY"),0)</f>
        <v>0</v>
      </c>
      <c r="L11" s="4" t="n">
        <f aca="false">IFERROR(COUNTIFS('2. Teaching Votes Log'!B:B,$A11,'2. Teaching Votes Log'!E:E,"SS"),0)</f>
        <v>0</v>
      </c>
      <c r="M11" s="16" t="n">
        <f aca="false">SUM(B11:L11)</f>
        <v>0</v>
      </c>
      <c r="N11" s="16" t="n">
        <f aca="false">COUNTIF(B11:L11,"&gt;0")</f>
        <v>0</v>
      </c>
      <c r="O11" s="25" t="n">
        <f aca="false">IFERROR(N11/11*100,0)</f>
        <v>0</v>
      </c>
    </row>
    <row r="12" customFormat="false" ht="15" hidden="false" customHeight="false" outlineLevel="0" collapsed="false">
      <c r="A12" s="19"/>
      <c r="B12" s="7" t="n">
        <f aca="false">IFERROR(COUNTIFS('2. Teaching Votes Log'!B:B,$A12,'2. Teaching Votes Log'!E:E,"AH"),0)</f>
        <v>0</v>
      </c>
      <c r="C12" s="7" t="n">
        <f aca="false">IFERROR(COUNTIFS('2. Teaching Votes Log'!B:B,$A12,'2. Teaching Votes Log'!E:E,"BE"),0)</f>
        <v>0</v>
      </c>
      <c r="D12" s="7" t="n">
        <f aca="false">IFERROR(COUNTIFS('2. Teaching Votes Log'!B:B,$A12,'2. Teaching Votes Log'!E:E,"CH"),0)</f>
        <v>0</v>
      </c>
      <c r="E12" s="7" t="n">
        <f aca="false">IFERROR(COUNTIFS('2. Teaching Votes Log'!B:B,$A12,'2. Teaching Votes Log'!E:E,"CS"),0)</f>
        <v>0</v>
      </c>
      <c r="F12" s="7" t="n">
        <f aca="false">IFERROR(COUNTIFS('2. Teaching Votes Log'!B:B,$A12,'2. Teaching Votes Log'!E:E,"ED"),0)</f>
        <v>0</v>
      </c>
      <c r="G12" s="7" t="n">
        <f aca="false">IFERROR(COUNTIFS('2. Teaching Votes Log'!B:B,$A12,'2. Teaching Votes Log'!E:E,"EN"),0)</f>
        <v>0</v>
      </c>
      <c r="H12" s="7" t="n">
        <f aca="false">IFERROR(COUNTIFS('2. Teaching Votes Log'!B:B,$A12,'2. Teaching Votes Log'!E:E,"LW"),0)</f>
        <v>0</v>
      </c>
      <c r="I12" s="7" t="n">
        <f aca="false">IFERROR(COUNTIFS('2. Teaching Votes Log'!B:B,$A12,'2. Teaching Votes Log'!E:E,"LS"),0)</f>
        <v>0</v>
      </c>
      <c r="J12" s="7" t="n">
        <f aca="false">IFERROR(COUNTIFS('2. Teaching Votes Log'!B:B,$A12,'2. Teaching Votes Log'!E:E,"PS"),0)</f>
        <v>0</v>
      </c>
      <c r="K12" s="7" t="n">
        <f aca="false">IFERROR(COUNTIFS('2. Teaching Votes Log'!B:B,$A12,'2. Teaching Votes Log'!E:E,"PY"),0)</f>
        <v>0</v>
      </c>
      <c r="L12" s="7" t="n">
        <f aca="false">IFERROR(COUNTIFS('2. Teaching Votes Log'!B:B,$A12,'2. Teaching Votes Log'!E:E,"SS"),0)</f>
        <v>0</v>
      </c>
      <c r="M12" s="15" t="n">
        <f aca="false">SUM(B12:L12)</f>
        <v>0</v>
      </c>
      <c r="N12" s="15" t="n">
        <f aca="false">COUNTIF(B12:L12,"&gt;0")</f>
        <v>0</v>
      </c>
      <c r="O12" s="26" t="n">
        <f aca="false">IFERROR(N12/11*100,0)</f>
        <v>0</v>
      </c>
    </row>
    <row r="13" customFormat="false" ht="15" hidden="false" customHeight="false" outlineLevel="0" collapsed="false">
      <c r="A13" s="20"/>
      <c r="B13" s="4" t="n">
        <f aca="false">IFERROR(COUNTIFS('2. Teaching Votes Log'!B:B,$A13,'2. Teaching Votes Log'!E:E,"AH"),0)</f>
        <v>0</v>
      </c>
      <c r="C13" s="4" t="n">
        <f aca="false">IFERROR(COUNTIFS('2. Teaching Votes Log'!B:B,$A13,'2. Teaching Votes Log'!E:E,"BE"),0)</f>
        <v>0</v>
      </c>
      <c r="D13" s="4" t="n">
        <f aca="false">IFERROR(COUNTIFS('2. Teaching Votes Log'!B:B,$A13,'2. Teaching Votes Log'!E:E,"CH"),0)</f>
        <v>0</v>
      </c>
      <c r="E13" s="4" t="n">
        <f aca="false">IFERROR(COUNTIFS('2. Teaching Votes Log'!B:B,$A13,'2. Teaching Votes Log'!E:E,"CS"),0)</f>
        <v>0</v>
      </c>
      <c r="F13" s="4" t="n">
        <f aca="false">IFERROR(COUNTIFS('2. Teaching Votes Log'!B:B,$A13,'2. Teaching Votes Log'!E:E,"ED"),0)</f>
        <v>0</v>
      </c>
      <c r="G13" s="4" t="n">
        <f aca="false">IFERROR(COUNTIFS('2. Teaching Votes Log'!B:B,$A13,'2. Teaching Votes Log'!E:E,"EN"),0)</f>
        <v>0</v>
      </c>
      <c r="H13" s="4" t="n">
        <f aca="false">IFERROR(COUNTIFS('2. Teaching Votes Log'!B:B,$A13,'2. Teaching Votes Log'!E:E,"LW"),0)</f>
        <v>0</v>
      </c>
      <c r="I13" s="4" t="n">
        <f aca="false">IFERROR(COUNTIFS('2. Teaching Votes Log'!B:B,$A13,'2. Teaching Votes Log'!E:E,"LS"),0)</f>
        <v>0</v>
      </c>
      <c r="J13" s="4" t="n">
        <f aca="false">IFERROR(COUNTIFS('2. Teaching Votes Log'!B:B,$A13,'2. Teaching Votes Log'!E:E,"PS"),0)</f>
        <v>0</v>
      </c>
      <c r="K13" s="4" t="n">
        <f aca="false">IFERROR(COUNTIFS('2. Teaching Votes Log'!B:B,$A13,'2. Teaching Votes Log'!E:E,"PY"),0)</f>
        <v>0</v>
      </c>
      <c r="L13" s="4" t="n">
        <f aca="false">IFERROR(COUNTIFS('2. Teaching Votes Log'!B:B,$A13,'2. Teaching Votes Log'!E:E,"SS"),0)</f>
        <v>0</v>
      </c>
      <c r="M13" s="16" t="n">
        <f aca="false">SUM(B13:L13)</f>
        <v>0</v>
      </c>
      <c r="N13" s="16" t="n">
        <f aca="false">COUNTIF(B13:L13,"&gt;0")</f>
        <v>0</v>
      </c>
      <c r="O13" s="25" t="n">
        <f aca="false">IFERROR(N13/11*100,0)</f>
        <v>0</v>
      </c>
    </row>
    <row r="14" customFormat="false" ht="15" hidden="false" customHeight="false" outlineLevel="0" collapsed="false">
      <c r="A14" s="19"/>
      <c r="B14" s="7" t="n">
        <f aca="false">IFERROR(COUNTIFS('2. Teaching Votes Log'!B:B,$A14,'2. Teaching Votes Log'!E:E,"AH"),0)</f>
        <v>0</v>
      </c>
      <c r="C14" s="7" t="n">
        <f aca="false">IFERROR(COUNTIFS('2. Teaching Votes Log'!B:B,$A14,'2. Teaching Votes Log'!E:E,"BE"),0)</f>
        <v>0</v>
      </c>
      <c r="D14" s="7" t="n">
        <f aca="false">IFERROR(COUNTIFS('2. Teaching Votes Log'!B:B,$A14,'2. Teaching Votes Log'!E:E,"CH"),0)</f>
        <v>0</v>
      </c>
      <c r="E14" s="7" t="n">
        <f aca="false">IFERROR(COUNTIFS('2. Teaching Votes Log'!B:B,$A14,'2. Teaching Votes Log'!E:E,"CS"),0)</f>
        <v>0</v>
      </c>
      <c r="F14" s="7" t="n">
        <f aca="false">IFERROR(COUNTIFS('2. Teaching Votes Log'!B:B,$A14,'2. Teaching Votes Log'!E:E,"ED"),0)</f>
        <v>0</v>
      </c>
      <c r="G14" s="7" t="n">
        <f aca="false">IFERROR(COUNTIFS('2. Teaching Votes Log'!B:B,$A14,'2. Teaching Votes Log'!E:E,"EN"),0)</f>
        <v>0</v>
      </c>
      <c r="H14" s="7" t="n">
        <f aca="false">IFERROR(COUNTIFS('2. Teaching Votes Log'!B:B,$A14,'2. Teaching Votes Log'!E:E,"LW"),0)</f>
        <v>0</v>
      </c>
      <c r="I14" s="7" t="n">
        <f aca="false">IFERROR(COUNTIFS('2. Teaching Votes Log'!B:B,$A14,'2. Teaching Votes Log'!E:E,"LS"),0)</f>
        <v>0</v>
      </c>
      <c r="J14" s="7" t="n">
        <f aca="false">IFERROR(COUNTIFS('2. Teaching Votes Log'!B:B,$A14,'2. Teaching Votes Log'!E:E,"PS"),0)</f>
        <v>0</v>
      </c>
      <c r="K14" s="7" t="n">
        <f aca="false">IFERROR(COUNTIFS('2. Teaching Votes Log'!B:B,$A14,'2. Teaching Votes Log'!E:E,"PY"),0)</f>
        <v>0</v>
      </c>
      <c r="L14" s="7" t="n">
        <f aca="false">IFERROR(COUNTIFS('2. Teaching Votes Log'!B:B,$A14,'2. Teaching Votes Log'!E:E,"SS"),0)</f>
        <v>0</v>
      </c>
      <c r="M14" s="15" t="n">
        <f aca="false">SUM(B14:L14)</f>
        <v>0</v>
      </c>
      <c r="N14" s="15" t="n">
        <f aca="false">COUNTIF(B14:L14,"&gt;0")</f>
        <v>0</v>
      </c>
      <c r="O14" s="26" t="n">
        <f aca="false">IFERROR(N14/11*100,0)</f>
        <v>0</v>
      </c>
    </row>
    <row r="15" customFormat="false" ht="15" hidden="false" customHeight="false" outlineLevel="0" collapsed="false">
      <c r="A15" s="20"/>
      <c r="B15" s="4" t="n">
        <f aca="false">IFERROR(COUNTIFS('2. Teaching Votes Log'!B:B,$A15,'2. Teaching Votes Log'!E:E,"AH"),0)</f>
        <v>0</v>
      </c>
      <c r="C15" s="4" t="n">
        <f aca="false">IFERROR(COUNTIFS('2. Teaching Votes Log'!B:B,$A15,'2. Teaching Votes Log'!E:E,"BE"),0)</f>
        <v>0</v>
      </c>
      <c r="D15" s="4" t="n">
        <f aca="false">IFERROR(COUNTIFS('2. Teaching Votes Log'!B:B,$A15,'2. Teaching Votes Log'!E:E,"CH"),0)</f>
        <v>0</v>
      </c>
      <c r="E15" s="4" t="n">
        <f aca="false">IFERROR(COUNTIFS('2. Teaching Votes Log'!B:B,$A15,'2. Teaching Votes Log'!E:E,"CS"),0)</f>
        <v>0</v>
      </c>
      <c r="F15" s="4" t="n">
        <f aca="false">IFERROR(COUNTIFS('2. Teaching Votes Log'!B:B,$A15,'2. Teaching Votes Log'!E:E,"ED"),0)</f>
        <v>0</v>
      </c>
      <c r="G15" s="4" t="n">
        <f aca="false">IFERROR(COUNTIFS('2. Teaching Votes Log'!B:B,$A15,'2. Teaching Votes Log'!E:E,"EN"),0)</f>
        <v>0</v>
      </c>
      <c r="H15" s="4" t="n">
        <f aca="false">IFERROR(COUNTIFS('2. Teaching Votes Log'!B:B,$A15,'2. Teaching Votes Log'!E:E,"LW"),0)</f>
        <v>0</v>
      </c>
      <c r="I15" s="4" t="n">
        <f aca="false">IFERROR(COUNTIFS('2. Teaching Votes Log'!B:B,$A15,'2. Teaching Votes Log'!E:E,"LS"),0)</f>
        <v>0</v>
      </c>
      <c r="J15" s="4" t="n">
        <f aca="false">IFERROR(COUNTIFS('2. Teaching Votes Log'!B:B,$A15,'2. Teaching Votes Log'!E:E,"PS"),0)</f>
        <v>0</v>
      </c>
      <c r="K15" s="4" t="n">
        <f aca="false">IFERROR(COUNTIFS('2. Teaching Votes Log'!B:B,$A15,'2. Teaching Votes Log'!E:E,"PY"),0)</f>
        <v>0</v>
      </c>
      <c r="L15" s="4" t="n">
        <f aca="false">IFERROR(COUNTIFS('2. Teaching Votes Log'!B:B,$A15,'2. Teaching Votes Log'!E:E,"SS"),0)</f>
        <v>0</v>
      </c>
      <c r="M15" s="16" t="n">
        <f aca="false">SUM(B15:L15)</f>
        <v>0</v>
      </c>
      <c r="N15" s="16" t="n">
        <f aca="false">COUNTIF(B15:L15,"&gt;0")</f>
        <v>0</v>
      </c>
      <c r="O15" s="25" t="n">
        <f aca="false">IFERROR(N15/11*100,0)</f>
        <v>0</v>
      </c>
    </row>
    <row r="16" customFormat="false" ht="15" hidden="false" customHeight="false" outlineLevel="0" collapsed="false">
      <c r="A16" s="19"/>
      <c r="B16" s="7" t="n">
        <f aca="false">IFERROR(COUNTIFS('2. Teaching Votes Log'!B:B,$A16,'2. Teaching Votes Log'!E:E,"AH"),0)</f>
        <v>0</v>
      </c>
      <c r="C16" s="7" t="n">
        <f aca="false">IFERROR(COUNTIFS('2. Teaching Votes Log'!B:B,$A16,'2. Teaching Votes Log'!E:E,"BE"),0)</f>
        <v>0</v>
      </c>
      <c r="D16" s="7" t="n">
        <f aca="false">IFERROR(COUNTIFS('2. Teaching Votes Log'!B:B,$A16,'2. Teaching Votes Log'!E:E,"CH"),0)</f>
        <v>0</v>
      </c>
      <c r="E16" s="7" t="n">
        <f aca="false">IFERROR(COUNTIFS('2. Teaching Votes Log'!B:B,$A16,'2. Teaching Votes Log'!E:E,"CS"),0)</f>
        <v>0</v>
      </c>
      <c r="F16" s="7" t="n">
        <f aca="false">IFERROR(COUNTIFS('2. Teaching Votes Log'!B:B,$A16,'2. Teaching Votes Log'!E:E,"ED"),0)</f>
        <v>0</v>
      </c>
      <c r="G16" s="7" t="n">
        <f aca="false">IFERROR(COUNTIFS('2. Teaching Votes Log'!B:B,$A16,'2. Teaching Votes Log'!E:E,"EN"),0)</f>
        <v>0</v>
      </c>
      <c r="H16" s="7" t="n">
        <f aca="false">IFERROR(COUNTIFS('2. Teaching Votes Log'!B:B,$A16,'2. Teaching Votes Log'!E:E,"LW"),0)</f>
        <v>0</v>
      </c>
      <c r="I16" s="7" t="n">
        <f aca="false">IFERROR(COUNTIFS('2. Teaching Votes Log'!B:B,$A16,'2. Teaching Votes Log'!E:E,"LS"),0)</f>
        <v>0</v>
      </c>
      <c r="J16" s="7" t="n">
        <f aca="false">IFERROR(COUNTIFS('2. Teaching Votes Log'!B:B,$A16,'2. Teaching Votes Log'!E:E,"PS"),0)</f>
        <v>0</v>
      </c>
      <c r="K16" s="7" t="n">
        <f aca="false">IFERROR(COUNTIFS('2. Teaching Votes Log'!B:B,$A16,'2. Teaching Votes Log'!E:E,"PY"),0)</f>
        <v>0</v>
      </c>
      <c r="L16" s="7" t="n">
        <f aca="false">IFERROR(COUNTIFS('2. Teaching Votes Log'!B:B,$A16,'2. Teaching Votes Log'!E:E,"SS"),0)</f>
        <v>0</v>
      </c>
      <c r="M16" s="15" t="n">
        <f aca="false">SUM(B16:L16)</f>
        <v>0</v>
      </c>
      <c r="N16" s="15" t="n">
        <f aca="false">COUNTIF(B16:L16,"&gt;0")</f>
        <v>0</v>
      </c>
      <c r="O16" s="26" t="n">
        <f aca="false">IFERROR(N16/11*100,0)</f>
        <v>0</v>
      </c>
    </row>
    <row r="17" customFormat="false" ht="15" hidden="false" customHeight="false" outlineLevel="0" collapsed="false">
      <c r="A17" s="20"/>
      <c r="B17" s="4" t="n">
        <f aca="false">IFERROR(COUNTIFS('2. Teaching Votes Log'!B:B,$A17,'2. Teaching Votes Log'!E:E,"AH"),0)</f>
        <v>0</v>
      </c>
      <c r="C17" s="4" t="n">
        <f aca="false">IFERROR(COUNTIFS('2. Teaching Votes Log'!B:B,$A17,'2. Teaching Votes Log'!E:E,"BE"),0)</f>
        <v>0</v>
      </c>
      <c r="D17" s="4" t="n">
        <f aca="false">IFERROR(COUNTIFS('2. Teaching Votes Log'!B:B,$A17,'2. Teaching Votes Log'!E:E,"CH"),0)</f>
        <v>0</v>
      </c>
      <c r="E17" s="4" t="n">
        <f aca="false">IFERROR(COUNTIFS('2. Teaching Votes Log'!B:B,$A17,'2. Teaching Votes Log'!E:E,"CS"),0)</f>
        <v>0</v>
      </c>
      <c r="F17" s="4" t="n">
        <f aca="false">IFERROR(COUNTIFS('2. Teaching Votes Log'!B:B,$A17,'2. Teaching Votes Log'!E:E,"ED"),0)</f>
        <v>0</v>
      </c>
      <c r="G17" s="4" t="n">
        <f aca="false">IFERROR(COUNTIFS('2. Teaching Votes Log'!B:B,$A17,'2. Teaching Votes Log'!E:E,"EN"),0)</f>
        <v>0</v>
      </c>
      <c r="H17" s="4" t="n">
        <f aca="false">IFERROR(COUNTIFS('2. Teaching Votes Log'!B:B,$A17,'2. Teaching Votes Log'!E:E,"LW"),0)</f>
        <v>0</v>
      </c>
      <c r="I17" s="4" t="n">
        <f aca="false">IFERROR(COUNTIFS('2. Teaching Votes Log'!B:B,$A17,'2. Teaching Votes Log'!E:E,"LS"),0)</f>
        <v>0</v>
      </c>
      <c r="J17" s="4" t="n">
        <f aca="false">IFERROR(COUNTIFS('2. Teaching Votes Log'!B:B,$A17,'2. Teaching Votes Log'!E:E,"PS"),0)</f>
        <v>0</v>
      </c>
      <c r="K17" s="4" t="n">
        <f aca="false">IFERROR(COUNTIFS('2. Teaching Votes Log'!B:B,$A17,'2. Teaching Votes Log'!E:E,"PY"),0)</f>
        <v>0</v>
      </c>
      <c r="L17" s="4" t="n">
        <f aca="false">IFERROR(COUNTIFS('2. Teaching Votes Log'!B:B,$A17,'2. Teaching Votes Log'!E:E,"SS"),0)</f>
        <v>0</v>
      </c>
      <c r="M17" s="16" t="n">
        <f aca="false">SUM(B17:L17)</f>
        <v>0</v>
      </c>
      <c r="N17" s="16" t="n">
        <f aca="false">COUNTIF(B17:L17,"&gt;0")</f>
        <v>0</v>
      </c>
      <c r="O17" s="25" t="n">
        <f aca="false">IFERROR(N17/11*100,0)</f>
        <v>0</v>
      </c>
    </row>
    <row r="18" customFormat="false" ht="15" hidden="false" customHeight="false" outlineLevel="0" collapsed="false">
      <c r="A18" s="19"/>
      <c r="B18" s="7" t="n">
        <f aca="false">IFERROR(COUNTIFS('2. Teaching Votes Log'!B:B,$A18,'2. Teaching Votes Log'!E:E,"AH"),0)</f>
        <v>0</v>
      </c>
      <c r="C18" s="7" t="n">
        <f aca="false">IFERROR(COUNTIFS('2. Teaching Votes Log'!B:B,$A18,'2. Teaching Votes Log'!E:E,"BE"),0)</f>
        <v>0</v>
      </c>
      <c r="D18" s="7" t="n">
        <f aca="false">IFERROR(COUNTIFS('2. Teaching Votes Log'!B:B,$A18,'2. Teaching Votes Log'!E:E,"CH"),0)</f>
        <v>0</v>
      </c>
      <c r="E18" s="7" t="n">
        <f aca="false">IFERROR(COUNTIFS('2. Teaching Votes Log'!B:B,$A18,'2. Teaching Votes Log'!E:E,"CS"),0)</f>
        <v>0</v>
      </c>
      <c r="F18" s="7" t="n">
        <f aca="false">IFERROR(COUNTIFS('2. Teaching Votes Log'!B:B,$A18,'2. Teaching Votes Log'!E:E,"ED"),0)</f>
        <v>0</v>
      </c>
      <c r="G18" s="7" t="n">
        <f aca="false">IFERROR(COUNTIFS('2. Teaching Votes Log'!B:B,$A18,'2. Teaching Votes Log'!E:E,"EN"),0)</f>
        <v>0</v>
      </c>
      <c r="H18" s="7" t="n">
        <f aca="false">IFERROR(COUNTIFS('2. Teaching Votes Log'!B:B,$A18,'2. Teaching Votes Log'!E:E,"LW"),0)</f>
        <v>0</v>
      </c>
      <c r="I18" s="7" t="n">
        <f aca="false">IFERROR(COUNTIFS('2. Teaching Votes Log'!B:B,$A18,'2. Teaching Votes Log'!E:E,"LS"),0)</f>
        <v>0</v>
      </c>
      <c r="J18" s="7" t="n">
        <f aca="false">IFERROR(COUNTIFS('2. Teaching Votes Log'!B:B,$A18,'2. Teaching Votes Log'!E:E,"PS"),0)</f>
        <v>0</v>
      </c>
      <c r="K18" s="7" t="n">
        <f aca="false">IFERROR(COUNTIFS('2. Teaching Votes Log'!B:B,$A18,'2. Teaching Votes Log'!E:E,"PY"),0)</f>
        <v>0</v>
      </c>
      <c r="L18" s="7" t="n">
        <f aca="false">IFERROR(COUNTIFS('2. Teaching Votes Log'!B:B,$A18,'2. Teaching Votes Log'!E:E,"SS"),0)</f>
        <v>0</v>
      </c>
      <c r="M18" s="15" t="n">
        <f aca="false">SUM(B18:L18)</f>
        <v>0</v>
      </c>
      <c r="N18" s="15" t="n">
        <f aca="false">COUNTIF(B18:L18,"&gt;0")</f>
        <v>0</v>
      </c>
      <c r="O18" s="26" t="n">
        <f aca="false">IFERROR(N18/11*100,0)</f>
        <v>0</v>
      </c>
    </row>
    <row r="19" customFormat="false" ht="15" hidden="false" customHeight="false" outlineLevel="0" collapsed="false">
      <c r="A19" s="20"/>
      <c r="B19" s="4" t="n">
        <f aca="false">IFERROR(COUNTIFS('2. Teaching Votes Log'!B:B,$A19,'2. Teaching Votes Log'!E:E,"AH"),0)</f>
        <v>0</v>
      </c>
      <c r="C19" s="4" t="n">
        <f aca="false">IFERROR(COUNTIFS('2. Teaching Votes Log'!B:B,$A19,'2. Teaching Votes Log'!E:E,"BE"),0)</f>
        <v>0</v>
      </c>
      <c r="D19" s="4" t="n">
        <f aca="false">IFERROR(COUNTIFS('2. Teaching Votes Log'!B:B,$A19,'2. Teaching Votes Log'!E:E,"CH"),0)</f>
        <v>0</v>
      </c>
      <c r="E19" s="4" t="n">
        <f aca="false">IFERROR(COUNTIFS('2. Teaching Votes Log'!B:B,$A19,'2. Teaching Votes Log'!E:E,"CS"),0)</f>
        <v>0</v>
      </c>
      <c r="F19" s="4" t="n">
        <f aca="false">IFERROR(COUNTIFS('2. Teaching Votes Log'!B:B,$A19,'2. Teaching Votes Log'!E:E,"ED"),0)</f>
        <v>0</v>
      </c>
      <c r="G19" s="4" t="n">
        <f aca="false">IFERROR(COUNTIFS('2. Teaching Votes Log'!B:B,$A19,'2. Teaching Votes Log'!E:E,"EN"),0)</f>
        <v>0</v>
      </c>
      <c r="H19" s="4" t="n">
        <f aca="false">IFERROR(COUNTIFS('2. Teaching Votes Log'!B:B,$A19,'2. Teaching Votes Log'!E:E,"LW"),0)</f>
        <v>0</v>
      </c>
      <c r="I19" s="4" t="n">
        <f aca="false">IFERROR(COUNTIFS('2. Teaching Votes Log'!B:B,$A19,'2. Teaching Votes Log'!E:E,"LS"),0)</f>
        <v>0</v>
      </c>
      <c r="J19" s="4" t="n">
        <f aca="false">IFERROR(COUNTIFS('2. Teaching Votes Log'!B:B,$A19,'2. Teaching Votes Log'!E:E,"PS"),0)</f>
        <v>0</v>
      </c>
      <c r="K19" s="4" t="n">
        <f aca="false">IFERROR(COUNTIFS('2. Teaching Votes Log'!B:B,$A19,'2. Teaching Votes Log'!E:E,"PY"),0)</f>
        <v>0</v>
      </c>
      <c r="L19" s="4" t="n">
        <f aca="false">IFERROR(COUNTIFS('2. Teaching Votes Log'!B:B,$A19,'2. Teaching Votes Log'!E:E,"SS"),0)</f>
        <v>0</v>
      </c>
      <c r="M19" s="16" t="n">
        <f aca="false">SUM(B19:L19)</f>
        <v>0</v>
      </c>
      <c r="N19" s="16" t="n">
        <f aca="false">COUNTIF(B19:L19,"&gt;0")</f>
        <v>0</v>
      </c>
      <c r="O19" s="25" t="n">
        <f aca="false">IFERROR(N19/11*100,0)</f>
        <v>0</v>
      </c>
    </row>
    <row r="20" customFormat="false" ht="15" hidden="false" customHeight="false" outlineLevel="0" collapsed="false">
      <c r="A20" s="19"/>
      <c r="B20" s="7" t="n">
        <f aca="false">IFERROR(COUNTIFS('2. Teaching Votes Log'!B:B,$A20,'2. Teaching Votes Log'!E:E,"AH"),0)</f>
        <v>0</v>
      </c>
      <c r="C20" s="7" t="n">
        <f aca="false">IFERROR(COUNTIFS('2. Teaching Votes Log'!B:B,$A20,'2. Teaching Votes Log'!E:E,"BE"),0)</f>
        <v>0</v>
      </c>
      <c r="D20" s="7" t="n">
        <f aca="false">IFERROR(COUNTIFS('2. Teaching Votes Log'!B:B,$A20,'2. Teaching Votes Log'!E:E,"CH"),0)</f>
        <v>0</v>
      </c>
      <c r="E20" s="7" t="n">
        <f aca="false">IFERROR(COUNTIFS('2. Teaching Votes Log'!B:B,$A20,'2. Teaching Votes Log'!E:E,"CS"),0)</f>
        <v>0</v>
      </c>
      <c r="F20" s="7" t="n">
        <f aca="false">IFERROR(COUNTIFS('2. Teaching Votes Log'!B:B,$A20,'2. Teaching Votes Log'!E:E,"ED"),0)</f>
        <v>0</v>
      </c>
      <c r="G20" s="7" t="n">
        <f aca="false">IFERROR(COUNTIFS('2. Teaching Votes Log'!B:B,$A20,'2. Teaching Votes Log'!E:E,"EN"),0)</f>
        <v>0</v>
      </c>
      <c r="H20" s="7" t="n">
        <f aca="false">IFERROR(COUNTIFS('2. Teaching Votes Log'!B:B,$A20,'2. Teaching Votes Log'!E:E,"LW"),0)</f>
        <v>0</v>
      </c>
      <c r="I20" s="7" t="n">
        <f aca="false">IFERROR(COUNTIFS('2. Teaching Votes Log'!B:B,$A20,'2. Teaching Votes Log'!E:E,"LS"),0)</f>
        <v>0</v>
      </c>
      <c r="J20" s="7" t="n">
        <f aca="false">IFERROR(COUNTIFS('2. Teaching Votes Log'!B:B,$A20,'2. Teaching Votes Log'!E:E,"PS"),0)</f>
        <v>0</v>
      </c>
      <c r="K20" s="7" t="n">
        <f aca="false">IFERROR(COUNTIFS('2. Teaching Votes Log'!B:B,$A20,'2. Teaching Votes Log'!E:E,"PY"),0)</f>
        <v>0</v>
      </c>
      <c r="L20" s="7" t="n">
        <f aca="false">IFERROR(COUNTIFS('2. Teaching Votes Log'!B:B,$A20,'2. Teaching Votes Log'!E:E,"SS"),0)</f>
        <v>0</v>
      </c>
      <c r="M20" s="15" t="n">
        <f aca="false">SUM(B20:L20)</f>
        <v>0</v>
      </c>
      <c r="N20" s="15" t="n">
        <f aca="false">COUNTIF(B20:L20,"&gt;0")</f>
        <v>0</v>
      </c>
      <c r="O20" s="26" t="n">
        <f aca="false">IFERROR(N20/11*100,0)</f>
        <v>0</v>
      </c>
    </row>
    <row r="21" customFormat="false" ht="15" hidden="false" customHeight="false" outlineLevel="0" collapsed="false">
      <c r="A21" s="20"/>
      <c r="B21" s="4" t="n">
        <f aca="false">IFERROR(COUNTIFS('2. Teaching Votes Log'!B:B,$A21,'2. Teaching Votes Log'!E:E,"AH"),0)</f>
        <v>0</v>
      </c>
      <c r="C21" s="4" t="n">
        <f aca="false">IFERROR(COUNTIFS('2. Teaching Votes Log'!B:B,$A21,'2. Teaching Votes Log'!E:E,"BE"),0)</f>
        <v>0</v>
      </c>
      <c r="D21" s="4" t="n">
        <f aca="false">IFERROR(COUNTIFS('2. Teaching Votes Log'!B:B,$A21,'2. Teaching Votes Log'!E:E,"CH"),0)</f>
        <v>0</v>
      </c>
      <c r="E21" s="4" t="n">
        <f aca="false">IFERROR(COUNTIFS('2. Teaching Votes Log'!B:B,$A21,'2. Teaching Votes Log'!E:E,"CS"),0)</f>
        <v>0</v>
      </c>
      <c r="F21" s="4" t="n">
        <f aca="false">IFERROR(COUNTIFS('2. Teaching Votes Log'!B:B,$A21,'2. Teaching Votes Log'!E:E,"ED"),0)</f>
        <v>0</v>
      </c>
      <c r="G21" s="4" t="n">
        <f aca="false">IFERROR(COUNTIFS('2. Teaching Votes Log'!B:B,$A21,'2. Teaching Votes Log'!E:E,"EN"),0)</f>
        <v>0</v>
      </c>
      <c r="H21" s="4" t="n">
        <f aca="false">IFERROR(COUNTIFS('2. Teaching Votes Log'!B:B,$A21,'2. Teaching Votes Log'!E:E,"LW"),0)</f>
        <v>0</v>
      </c>
      <c r="I21" s="4" t="n">
        <f aca="false">IFERROR(COUNTIFS('2. Teaching Votes Log'!B:B,$A21,'2. Teaching Votes Log'!E:E,"LS"),0)</f>
        <v>0</v>
      </c>
      <c r="J21" s="4" t="n">
        <f aca="false">IFERROR(COUNTIFS('2. Teaching Votes Log'!B:B,$A21,'2. Teaching Votes Log'!E:E,"PS"),0)</f>
        <v>0</v>
      </c>
      <c r="K21" s="4" t="n">
        <f aca="false">IFERROR(COUNTIFS('2. Teaching Votes Log'!B:B,$A21,'2. Teaching Votes Log'!E:E,"PY"),0)</f>
        <v>0</v>
      </c>
      <c r="L21" s="4" t="n">
        <f aca="false">IFERROR(COUNTIFS('2. Teaching Votes Log'!B:B,$A21,'2. Teaching Votes Log'!E:E,"SS"),0)</f>
        <v>0</v>
      </c>
      <c r="M21" s="16" t="n">
        <f aca="false">SUM(B21:L21)</f>
        <v>0</v>
      </c>
      <c r="N21" s="16" t="n">
        <f aca="false">COUNTIF(B21:L21,"&gt;0")</f>
        <v>0</v>
      </c>
      <c r="O21" s="25" t="n">
        <f aca="false">IFERROR(N21/11*100,0)</f>
        <v>0</v>
      </c>
    </row>
    <row r="22" customFormat="false" ht="15" hidden="false" customHeight="false" outlineLevel="0" collapsed="false">
      <c r="A22" s="19"/>
      <c r="B22" s="7" t="n">
        <f aca="false">IFERROR(COUNTIFS('2. Teaching Votes Log'!B:B,$A22,'2. Teaching Votes Log'!E:E,"AH"),0)</f>
        <v>0</v>
      </c>
      <c r="C22" s="7" t="n">
        <f aca="false">IFERROR(COUNTIFS('2. Teaching Votes Log'!B:B,$A22,'2. Teaching Votes Log'!E:E,"BE"),0)</f>
        <v>0</v>
      </c>
      <c r="D22" s="7" t="n">
        <f aca="false">IFERROR(COUNTIFS('2. Teaching Votes Log'!B:B,$A22,'2. Teaching Votes Log'!E:E,"CH"),0)</f>
        <v>0</v>
      </c>
      <c r="E22" s="7" t="n">
        <f aca="false">IFERROR(COUNTIFS('2. Teaching Votes Log'!B:B,$A22,'2. Teaching Votes Log'!E:E,"CS"),0)</f>
        <v>0</v>
      </c>
      <c r="F22" s="7" t="n">
        <f aca="false">IFERROR(COUNTIFS('2. Teaching Votes Log'!B:B,$A22,'2. Teaching Votes Log'!E:E,"ED"),0)</f>
        <v>0</v>
      </c>
      <c r="G22" s="7" t="n">
        <f aca="false">IFERROR(COUNTIFS('2. Teaching Votes Log'!B:B,$A22,'2. Teaching Votes Log'!E:E,"EN"),0)</f>
        <v>0</v>
      </c>
      <c r="H22" s="7" t="n">
        <f aca="false">IFERROR(COUNTIFS('2. Teaching Votes Log'!B:B,$A22,'2. Teaching Votes Log'!E:E,"LW"),0)</f>
        <v>0</v>
      </c>
      <c r="I22" s="7" t="n">
        <f aca="false">IFERROR(COUNTIFS('2. Teaching Votes Log'!B:B,$A22,'2. Teaching Votes Log'!E:E,"LS"),0)</f>
        <v>0</v>
      </c>
      <c r="J22" s="7" t="n">
        <f aca="false">IFERROR(COUNTIFS('2. Teaching Votes Log'!B:B,$A22,'2. Teaching Votes Log'!E:E,"PS"),0)</f>
        <v>0</v>
      </c>
      <c r="K22" s="7" t="n">
        <f aca="false">IFERROR(COUNTIFS('2. Teaching Votes Log'!B:B,$A22,'2. Teaching Votes Log'!E:E,"PY"),0)</f>
        <v>0</v>
      </c>
      <c r="L22" s="7" t="n">
        <f aca="false">IFERROR(COUNTIFS('2. Teaching Votes Log'!B:B,$A22,'2. Teaching Votes Log'!E:E,"SS"),0)</f>
        <v>0</v>
      </c>
      <c r="M22" s="15" t="n">
        <f aca="false">SUM(B22:L22)</f>
        <v>0</v>
      </c>
      <c r="N22" s="15" t="n">
        <f aca="false">COUNTIF(B22:L22,"&gt;0")</f>
        <v>0</v>
      </c>
      <c r="O22" s="26" t="n">
        <f aca="false">IFERROR(N22/11*100,0)</f>
        <v>0</v>
      </c>
    </row>
    <row r="23" customFormat="false" ht="15" hidden="false" customHeight="false" outlineLevel="0" collapsed="false">
      <c r="A23" s="20"/>
      <c r="B23" s="4" t="n">
        <f aca="false">IFERROR(COUNTIFS('2. Teaching Votes Log'!B:B,$A23,'2. Teaching Votes Log'!E:E,"AH"),0)</f>
        <v>0</v>
      </c>
      <c r="C23" s="4" t="n">
        <f aca="false">IFERROR(COUNTIFS('2. Teaching Votes Log'!B:B,$A23,'2. Teaching Votes Log'!E:E,"BE"),0)</f>
        <v>0</v>
      </c>
      <c r="D23" s="4" t="n">
        <f aca="false">IFERROR(COUNTIFS('2. Teaching Votes Log'!B:B,$A23,'2. Teaching Votes Log'!E:E,"CH"),0)</f>
        <v>0</v>
      </c>
      <c r="E23" s="4" t="n">
        <f aca="false">IFERROR(COUNTIFS('2. Teaching Votes Log'!B:B,$A23,'2. Teaching Votes Log'!E:E,"CS"),0)</f>
        <v>0</v>
      </c>
      <c r="F23" s="4" t="n">
        <f aca="false">IFERROR(COUNTIFS('2. Teaching Votes Log'!B:B,$A23,'2. Teaching Votes Log'!E:E,"ED"),0)</f>
        <v>0</v>
      </c>
      <c r="G23" s="4" t="n">
        <f aca="false">IFERROR(COUNTIFS('2. Teaching Votes Log'!B:B,$A23,'2. Teaching Votes Log'!E:E,"EN"),0)</f>
        <v>0</v>
      </c>
      <c r="H23" s="4" t="n">
        <f aca="false">IFERROR(COUNTIFS('2. Teaching Votes Log'!B:B,$A23,'2. Teaching Votes Log'!E:E,"LW"),0)</f>
        <v>0</v>
      </c>
      <c r="I23" s="4" t="n">
        <f aca="false">IFERROR(COUNTIFS('2. Teaching Votes Log'!B:B,$A23,'2. Teaching Votes Log'!E:E,"LS"),0)</f>
        <v>0</v>
      </c>
      <c r="J23" s="4" t="n">
        <f aca="false">IFERROR(COUNTIFS('2. Teaching Votes Log'!B:B,$A23,'2. Teaching Votes Log'!E:E,"PS"),0)</f>
        <v>0</v>
      </c>
      <c r="K23" s="4" t="n">
        <f aca="false">IFERROR(COUNTIFS('2. Teaching Votes Log'!B:B,$A23,'2. Teaching Votes Log'!E:E,"PY"),0)</f>
        <v>0</v>
      </c>
      <c r="L23" s="4" t="n">
        <f aca="false">IFERROR(COUNTIFS('2. Teaching Votes Log'!B:B,$A23,'2. Teaching Votes Log'!E:E,"SS"),0)</f>
        <v>0</v>
      </c>
      <c r="M23" s="16" t="n">
        <f aca="false">SUM(B23:L23)</f>
        <v>0</v>
      </c>
      <c r="N23" s="16" t="n">
        <f aca="false">COUNTIF(B23:L23,"&gt;0")</f>
        <v>0</v>
      </c>
      <c r="O23" s="25" t="n">
        <f aca="false">IFERROR(N23/11*100,0)</f>
        <v>0</v>
      </c>
    </row>
    <row r="24" customFormat="false" ht="15" hidden="false" customHeight="false" outlineLevel="0" collapsed="false">
      <c r="A24" s="19"/>
      <c r="B24" s="7" t="n">
        <f aca="false">IFERROR(COUNTIFS('2. Teaching Votes Log'!B:B,$A24,'2. Teaching Votes Log'!E:E,"AH"),0)</f>
        <v>0</v>
      </c>
      <c r="C24" s="7" t="n">
        <f aca="false">IFERROR(COUNTIFS('2. Teaching Votes Log'!B:B,$A24,'2. Teaching Votes Log'!E:E,"BE"),0)</f>
        <v>0</v>
      </c>
      <c r="D24" s="7" t="n">
        <f aca="false">IFERROR(COUNTIFS('2. Teaching Votes Log'!B:B,$A24,'2. Teaching Votes Log'!E:E,"CH"),0)</f>
        <v>0</v>
      </c>
      <c r="E24" s="7" t="n">
        <f aca="false">IFERROR(COUNTIFS('2. Teaching Votes Log'!B:B,$A24,'2. Teaching Votes Log'!E:E,"CS"),0)</f>
        <v>0</v>
      </c>
      <c r="F24" s="7" t="n">
        <f aca="false">IFERROR(COUNTIFS('2. Teaching Votes Log'!B:B,$A24,'2. Teaching Votes Log'!E:E,"ED"),0)</f>
        <v>0</v>
      </c>
      <c r="G24" s="7" t="n">
        <f aca="false">IFERROR(COUNTIFS('2. Teaching Votes Log'!B:B,$A24,'2. Teaching Votes Log'!E:E,"EN"),0)</f>
        <v>0</v>
      </c>
      <c r="H24" s="7" t="n">
        <f aca="false">IFERROR(COUNTIFS('2. Teaching Votes Log'!B:B,$A24,'2. Teaching Votes Log'!E:E,"LW"),0)</f>
        <v>0</v>
      </c>
      <c r="I24" s="7" t="n">
        <f aca="false">IFERROR(COUNTIFS('2. Teaching Votes Log'!B:B,$A24,'2. Teaching Votes Log'!E:E,"LS"),0)</f>
        <v>0</v>
      </c>
      <c r="J24" s="7" t="n">
        <f aca="false">IFERROR(COUNTIFS('2. Teaching Votes Log'!B:B,$A24,'2. Teaching Votes Log'!E:E,"PS"),0)</f>
        <v>0</v>
      </c>
      <c r="K24" s="7" t="n">
        <f aca="false">IFERROR(COUNTIFS('2. Teaching Votes Log'!B:B,$A24,'2. Teaching Votes Log'!E:E,"PY"),0)</f>
        <v>0</v>
      </c>
      <c r="L24" s="7" t="n">
        <f aca="false">IFERROR(COUNTIFS('2. Teaching Votes Log'!B:B,$A24,'2. Teaching Votes Log'!E:E,"SS"),0)</f>
        <v>0</v>
      </c>
      <c r="M24" s="15" t="n">
        <f aca="false">SUM(B24:L24)</f>
        <v>0</v>
      </c>
      <c r="N24" s="15" t="n">
        <f aca="false">COUNTIF(B24:L24,"&gt;0")</f>
        <v>0</v>
      </c>
      <c r="O24" s="26" t="n">
        <f aca="false">IFERROR(N24/11*100,0)</f>
        <v>0</v>
      </c>
    </row>
    <row r="25" customFormat="false" ht="15" hidden="false" customHeight="false" outlineLevel="0" collapsed="false">
      <c r="A25" s="20"/>
      <c r="B25" s="4" t="n">
        <f aca="false">IFERROR(COUNTIFS('2. Teaching Votes Log'!B:B,$A25,'2. Teaching Votes Log'!E:E,"AH"),0)</f>
        <v>0</v>
      </c>
      <c r="C25" s="4" t="n">
        <f aca="false">IFERROR(COUNTIFS('2. Teaching Votes Log'!B:B,$A25,'2. Teaching Votes Log'!E:E,"BE"),0)</f>
        <v>0</v>
      </c>
      <c r="D25" s="4" t="n">
        <f aca="false">IFERROR(COUNTIFS('2. Teaching Votes Log'!B:B,$A25,'2. Teaching Votes Log'!E:E,"CH"),0)</f>
        <v>0</v>
      </c>
      <c r="E25" s="4" t="n">
        <f aca="false">IFERROR(COUNTIFS('2. Teaching Votes Log'!B:B,$A25,'2. Teaching Votes Log'!E:E,"CS"),0)</f>
        <v>0</v>
      </c>
      <c r="F25" s="4" t="n">
        <f aca="false">IFERROR(COUNTIFS('2. Teaching Votes Log'!B:B,$A25,'2. Teaching Votes Log'!E:E,"ED"),0)</f>
        <v>0</v>
      </c>
      <c r="G25" s="4" t="n">
        <f aca="false">IFERROR(COUNTIFS('2. Teaching Votes Log'!B:B,$A25,'2. Teaching Votes Log'!E:E,"EN"),0)</f>
        <v>0</v>
      </c>
      <c r="H25" s="4" t="n">
        <f aca="false">IFERROR(COUNTIFS('2. Teaching Votes Log'!B:B,$A25,'2. Teaching Votes Log'!E:E,"LW"),0)</f>
        <v>0</v>
      </c>
      <c r="I25" s="4" t="n">
        <f aca="false">IFERROR(COUNTIFS('2. Teaching Votes Log'!B:B,$A25,'2. Teaching Votes Log'!E:E,"LS"),0)</f>
        <v>0</v>
      </c>
      <c r="J25" s="4" t="n">
        <f aca="false">IFERROR(COUNTIFS('2. Teaching Votes Log'!B:B,$A25,'2. Teaching Votes Log'!E:E,"PS"),0)</f>
        <v>0</v>
      </c>
      <c r="K25" s="4" t="n">
        <f aca="false">IFERROR(COUNTIFS('2. Teaching Votes Log'!B:B,$A25,'2. Teaching Votes Log'!E:E,"PY"),0)</f>
        <v>0</v>
      </c>
      <c r="L25" s="4" t="n">
        <f aca="false">IFERROR(COUNTIFS('2. Teaching Votes Log'!B:B,$A25,'2. Teaching Votes Log'!E:E,"SS"),0)</f>
        <v>0</v>
      </c>
      <c r="M25" s="16" t="n">
        <f aca="false">SUM(B25:L25)</f>
        <v>0</v>
      </c>
      <c r="N25" s="16" t="n">
        <f aca="false">COUNTIF(B25:L25,"&gt;0")</f>
        <v>0</v>
      </c>
      <c r="O25" s="25" t="n">
        <f aca="false">IFERROR(N25/11*100,0)</f>
        <v>0</v>
      </c>
    </row>
    <row r="26" customFormat="false" ht="15" hidden="false" customHeight="false" outlineLevel="0" collapsed="false">
      <c r="A26" s="19"/>
      <c r="B26" s="7" t="n">
        <f aca="false">IFERROR(COUNTIFS('2. Teaching Votes Log'!B:B,$A26,'2. Teaching Votes Log'!E:E,"AH"),0)</f>
        <v>0</v>
      </c>
      <c r="C26" s="7" t="n">
        <f aca="false">IFERROR(COUNTIFS('2. Teaching Votes Log'!B:B,$A26,'2. Teaching Votes Log'!E:E,"BE"),0)</f>
        <v>0</v>
      </c>
      <c r="D26" s="7" t="n">
        <f aca="false">IFERROR(COUNTIFS('2. Teaching Votes Log'!B:B,$A26,'2. Teaching Votes Log'!E:E,"CH"),0)</f>
        <v>0</v>
      </c>
      <c r="E26" s="7" t="n">
        <f aca="false">IFERROR(COUNTIFS('2. Teaching Votes Log'!B:B,$A26,'2. Teaching Votes Log'!E:E,"CS"),0)</f>
        <v>0</v>
      </c>
      <c r="F26" s="7" t="n">
        <f aca="false">IFERROR(COUNTIFS('2. Teaching Votes Log'!B:B,$A26,'2. Teaching Votes Log'!E:E,"ED"),0)</f>
        <v>0</v>
      </c>
      <c r="G26" s="7" t="n">
        <f aca="false">IFERROR(COUNTIFS('2. Teaching Votes Log'!B:B,$A26,'2. Teaching Votes Log'!E:E,"EN"),0)</f>
        <v>0</v>
      </c>
      <c r="H26" s="7" t="n">
        <f aca="false">IFERROR(COUNTIFS('2. Teaching Votes Log'!B:B,$A26,'2. Teaching Votes Log'!E:E,"LW"),0)</f>
        <v>0</v>
      </c>
      <c r="I26" s="7" t="n">
        <f aca="false">IFERROR(COUNTIFS('2. Teaching Votes Log'!B:B,$A26,'2. Teaching Votes Log'!E:E,"LS"),0)</f>
        <v>0</v>
      </c>
      <c r="J26" s="7" t="n">
        <f aca="false">IFERROR(COUNTIFS('2. Teaching Votes Log'!B:B,$A26,'2. Teaching Votes Log'!E:E,"PS"),0)</f>
        <v>0</v>
      </c>
      <c r="K26" s="7" t="n">
        <f aca="false">IFERROR(COUNTIFS('2. Teaching Votes Log'!B:B,$A26,'2. Teaching Votes Log'!E:E,"PY"),0)</f>
        <v>0</v>
      </c>
      <c r="L26" s="7" t="n">
        <f aca="false">IFERROR(COUNTIFS('2. Teaching Votes Log'!B:B,$A26,'2. Teaching Votes Log'!E:E,"SS"),0)</f>
        <v>0</v>
      </c>
      <c r="M26" s="15" t="n">
        <f aca="false">SUM(B26:L26)</f>
        <v>0</v>
      </c>
      <c r="N26" s="15" t="n">
        <f aca="false">COUNTIF(B26:L26,"&gt;0")</f>
        <v>0</v>
      </c>
      <c r="O26" s="26" t="n">
        <f aca="false">IFERROR(N26/11*100,0)</f>
        <v>0</v>
      </c>
    </row>
    <row r="27" customFormat="false" ht="15" hidden="false" customHeight="false" outlineLevel="0" collapsed="false">
      <c r="A27" s="20"/>
      <c r="B27" s="4" t="n">
        <f aca="false">IFERROR(COUNTIFS('2. Teaching Votes Log'!B:B,$A27,'2. Teaching Votes Log'!E:E,"AH"),0)</f>
        <v>0</v>
      </c>
      <c r="C27" s="4" t="n">
        <f aca="false">IFERROR(COUNTIFS('2. Teaching Votes Log'!B:B,$A27,'2. Teaching Votes Log'!E:E,"BE"),0)</f>
        <v>0</v>
      </c>
      <c r="D27" s="4" t="n">
        <f aca="false">IFERROR(COUNTIFS('2. Teaching Votes Log'!B:B,$A27,'2. Teaching Votes Log'!E:E,"CH"),0)</f>
        <v>0</v>
      </c>
      <c r="E27" s="4" t="n">
        <f aca="false">IFERROR(COUNTIFS('2. Teaching Votes Log'!B:B,$A27,'2. Teaching Votes Log'!E:E,"CS"),0)</f>
        <v>0</v>
      </c>
      <c r="F27" s="4" t="n">
        <f aca="false">IFERROR(COUNTIFS('2. Teaching Votes Log'!B:B,$A27,'2. Teaching Votes Log'!E:E,"ED"),0)</f>
        <v>0</v>
      </c>
      <c r="G27" s="4" t="n">
        <f aca="false">IFERROR(COUNTIFS('2. Teaching Votes Log'!B:B,$A27,'2. Teaching Votes Log'!E:E,"EN"),0)</f>
        <v>0</v>
      </c>
      <c r="H27" s="4" t="n">
        <f aca="false">IFERROR(COUNTIFS('2. Teaching Votes Log'!B:B,$A27,'2. Teaching Votes Log'!E:E,"LW"),0)</f>
        <v>0</v>
      </c>
      <c r="I27" s="4" t="n">
        <f aca="false">IFERROR(COUNTIFS('2. Teaching Votes Log'!B:B,$A27,'2. Teaching Votes Log'!E:E,"LS"),0)</f>
        <v>0</v>
      </c>
      <c r="J27" s="4" t="n">
        <f aca="false">IFERROR(COUNTIFS('2. Teaching Votes Log'!B:B,$A27,'2. Teaching Votes Log'!E:E,"PS"),0)</f>
        <v>0</v>
      </c>
      <c r="K27" s="4" t="n">
        <f aca="false">IFERROR(COUNTIFS('2. Teaching Votes Log'!B:B,$A27,'2. Teaching Votes Log'!E:E,"PY"),0)</f>
        <v>0</v>
      </c>
      <c r="L27" s="4" t="n">
        <f aca="false">IFERROR(COUNTIFS('2. Teaching Votes Log'!B:B,$A27,'2. Teaching Votes Log'!E:E,"SS"),0)</f>
        <v>0</v>
      </c>
      <c r="M27" s="16" t="n">
        <f aca="false">SUM(B27:L27)</f>
        <v>0</v>
      </c>
      <c r="N27" s="16" t="n">
        <f aca="false">COUNTIF(B27:L27,"&gt;0")</f>
        <v>0</v>
      </c>
      <c r="O27" s="25" t="n">
        <f aca="false">IFERROR(N27/11*100,0)</f>
        <v>0</v>
      </c>
    </row>
    <row r="28" customFormat="false" ht="15" hidden="false" customHeight="false" outlineLevel="0" collapsed="false">
      <c r="A28" s="19"/>
      <c r="B28" s="7" t="n">
        <f aca="false">IFERROR(COUNTIFS('2. Teaching Votes Log'!B:B,$A28,'2. Teaching Votes Log'!E:E,"AH"),0)</f>
        <v>0</v>
      </c>
      <c r="C28" s="7" t="n">
        <f aca="false">IFERROR(COUNTIFS('2. Teaching Votes Log'!B:B,$A28,'2. Teaching Votes Log'!E:E,"BE"),0)</f>
        <v>0</v>
      </c>
      <c r="D28" s="7" t="n">
        <f aca="false">IFERROR(COUNTIFS('2. Teaching Votes Log'!B:B,$A28,'2. Teaching Votes Log'!E:E,"CH"),0)</f>
        <v>0</v>
      </c>
      <c r="E28" s="7" t="n">
        <f aca="false">IFERROR(COUNTIFS('2. Teaching Votes Log'!B:B,$A28,'2. Teaching Votes Log'!E:E,"CS"),0)</f>
        <v>0</v>
      </c>
      <c r="F28" s="7" t="n">
        <f aca="false">IFERROR(COUNTIFS('2. Teaching Votes Log'!B:B,$A28,'2. Teaching Votes Log'!E:E,"ED"),0)</f>
        <v>0</v>
      </c>
      <c r="G28" s="7" t="n">
        <f aca="false">IFERROR(COUNTIFS('2. Teaching Votes Log'!B:B,$A28,'2. Teaching Votes Log'!E:E,"EN"),0)</f>
        <v>0</v>
      </c>
      <c r="H28" s="7" t="n">
        <f aca="false">IFERROR(COUNTIFS('2. Teaching Votes Log'!B:B,$A28,'2. Teaching Votes Log'!E:E,"LW"),0)</f>
        <v>0</v>
      </c>
      <c r="I28" s="7" t="n">
        <f aca="false">IFERROR(COUNTIFS('2. Teaching Votes Log'!B:B,$A28,'2. Teaching Votes Log'!E:E,"LS"),0)</f>
        <v>0</v>
      </c>
      <c r="J28" s="7" t="n">
        <f aca="false">IFERROR(COUNTIFS('2. Teaching Votes Log'!B:B,$A28,'2. Teaching Votes Log'!E:E,"PS"),0)</f>
        <v>0</v>
      </c>
      <c r="K28" s="7" t="n">
        <f aca="false">IFERROR(COUNTIFS('2. Teaching Votes Log'!B:B,$A28,'2. Teaching Votes Log'!E:E,"PY"),0)</f>
        <v>0</v>
      </c>
      <c r="L28" s="7" t="n">
        <f aca="false">IFERROR(COUNTIFS('2. Teaching Votes Log'!B:B,$A28,'2. Teaching Votes Log'!E:E,"SS"),0)</f>
        <v>0</v>
      </c>
      <c r="M28" s="15" t="n">
        <f aca="false">SUM(B28:L28)</f>
        <v>0</v>
      </c>
      <c r="N28" s="15" t="n">
        <f aca="false">COUNTIF(B28:L28,"&gt;0")</f>
        <v>0</v>
      </c>
      <c r="O28" s="26" t="n">
        <f aca="false">IFERROR(N28/11*100,0)</f>
        <v>0</v>
      </c>
    </row>
    <row r="29" customFormat="false" ht="15" hidden="false" customHeight="false" outlineLevel="0" collapsed="false">
      <c r="A29" s="20"/>
      <c r="B29" s="4" t="n">
        <f aca="false">IFERROR(COUNTIFS('2. Teaching Votes Log'!B:B,$A29,'2. Teaching Votes Log'!E:E,"AH"),0)</f>
        <v>0</v>
      </c>
      <c r="C29" s="4" t="n">
        <f aca="false">IFERROR(COUNTIFS('2. Teaching Votes Log'!B:B,$A29,'2. Teaching Votes Log'!E:E,"BE"),0)</f>
        <v>0</v>
      </c>
      <c r="D29" s="4" t="n">
        <f aca="false">IFERROR(COUNTIFS('2. Teaching Votes Log'!B:B,$A29,'2. Teaching Votes Log'!E:E,"CH"),0)</f>
        <v>0</v>
      </c>
      <c r="E29" s="4" t="n">
        <f aca="false">IFERROR(COUNTIFS('2. Teaching Votes Log'!B:B,$A29,'2. Teaching Votes Log'!E:E,"CS"),0)</f>
        <v>0</v>
      </c>
      <c r="F29" s="4" t="n">
        <f aca="false">IFERROR(COUNTIFS('2. Teaching Votes Log'!B:B,$A29,'2. Teaching Votes Log'!E:E,"ED"),0)</f>
        <v>0</v>
      </c>
      <c r="G29" s="4" t="n">
        <f aca="false">IFERROR(COUNTIFS('2. Teaching Votes Log'!B:B,$A29,'2. Teaching Votes Log'!E:E,"EN"),0)</f>
        <v>0</v>
      </c>
      <c r="H29" s="4" t="n">
        <f aca="false">IFERROR(COUNTIFS('2. Teaching Votes Log'!B:B,$A29,'2. Teaching Votes Log'!E:E,"LW"),0)</f>
        <v>0</v>
      </c>
      <c r="I29" s="4" t="n">
        <f aca="false">IFERROR(COUNTIFS('2. Teaching Votes Log'!B:B,$A29,'2. Teaching Votes Log'!E:E,"LS"),0)</f>
        <v>0</v>
      </c>
      <c r="J29" s="4" t="n">
        <f aca="false">IFERROR(COUNTIFS('2. Teaching Votes Log'!B:B,$A29,'2. Teaching Votes Log'!E:E,"PS"),0)</f>
        <v>0</v>
      </c>
      <c r="K29" s="4" t="n">
        <f aca="false">IFERROR(COUNTIFS('2. Teaching Votes Log'!B:B,$A29,'2. Teaching Votes Log'!E:E,"PY"),0)</f>
        <v>0</v>
      </c>
      <c r="L29" s="4" t="n">
        <f aca="false">IFERROR(COUNTIFS('2. Teaching Votes Log'!B:B,$A29,'2. Teaching Votes Log'!E:E,"SS"),0)</f>
        <v>0</v>
      </c>
      <c r="M29" s="16" t="n">
        <f aca="false">SUM(B29:L29)</f>
        <v>0</v>
      </c>
      <c r="N29" s="16" t="n">
        <f aca="false">COUNTIF(B29:L29,"&gt;0")</f>
        <v>0</v>
      </c>
      <c r="O29" s="25" t="n">
        <f aca="false">IFERROR(N29/11*100,0)</f>
        <v>0</v>
      </c>
    </row>
    <row r="30" customFormat="false" ht="15" hidden="false" customHeight="false" outlineLevel="0" collapsed="false">
      <c r="A30" s="19"/>
      <c r="B30" s="7" t="n">
        <f aca="false">IFERROR(COUNTIFS('2. Teaching Votes Log'!B:B,$A30,'2. Teaching Votes Log'!E:E,"AH"),0)</f>
        <v>0</v>
      </c>
      <c r="C30" s="7" t="n">
        <f aca="false">IFERROR(COUNTIFS('2. Teaching Votes Log'!B:B,$A30,'2. Teaching Votes Log'!E:E,"BE"),0)</f>
        <v>0</v>
      </c>
      <c r="D30" s="7" t="n">
        <f aca="false">IFERROR(COUNTIFS('2. Teaching Votes Log'!B:B,$A30,'2. Teaching Votes Log'!E:E,"CH"),0)</f>
        <v>0</v>
      </c>
      <c r="E30" s="7" t="n">
        <f aca="false">IFERROR(COUNTIFS('2. Teaching Votes Log'!B:B,$A30,'2. Teaching Votes Log'!E:E,"CS"),0)</f>
        <v>0</v>
      </c>
      <c r="F30" s="7" t="n">
        <f aca="false">IFERROR(COUNTIFS('2. Teaching Votes Log'!B:B,$A30,'2. Teaching Votes Log'!E:E,"ED"),0)</f>
        <v>0</v>
      </c>
      <c r="G30" s="7" t="n">
        <f aca="false">IFERROR(COUNTIFS('2. Teaching Votes Log'!B:B,$A30,'2. Teaching Votes Log'!E:E,"EN"),0)</f>
        <v>0</v>
      </c>
      <c r="H30" s="7" t="n">
        <f aca="false">IFERROR(COUNTIFS('2. Teaching Votes Log'!B:B,$A30,'2. Teaching Votes Log'!E:E,"LW"),0)</f>
        <v>0</v>
      </c>
      <c r="I30" s="7" t="n">
        <f aca="false">IFERROR(COUNTIFS('2. Teaching Votes Log'!B:B,$A30,'2. Teaching Votes Log'!E:E,"LS"),0)</f>
        <v>0</v>
      </c>
      <c r="J30" s="7" t="n">
        <f aca="false">IFERROR(COUNTIFS('2. Teaching Votes Log'!B:B,$A30,'2. Teaching Votes Log'!E:E,"PS"),0)</f>
        <v>0</v>
      </c>
      <c r="K30" s="7" t="n">
        <f aca="false">IFERROR(COUNTIFS('2. Teaching Votes Log'!B:B,$A30,'2. Teaching Votes Log'!E:E,"PY"),0)</f>
        <v>0</v>
      </c>
      <c r="L30" s="7" t="n">
        <f aca="false">IFERROR(COUNTIFS('2. Teaching Votes Log'!B:B,$A30,'2. Teaching Votes Log'!E:E,"SS"),0)</f>
        <v>0</v>
      </c>
      <c r="M30" s="15" t="n">
        <f aca="false">SUM(B30:L30)</f>
        <v>0</v>
      </c>
      <c r="N30" s="15" t="n">
        <f aca="false">COUNTIF(B30:L30,"&gt;0")</f>
        <v>0</v>
      </c>
      <c r="O30" s="26" t="n">
        <f aca="false">IFERROR(N30/11*100,0)</f>
        <v>0</v>
      </c>
    </row>
    <row r="31" customFormat="false" ht="15" hidden="false" customHeight="false" outlineLevel="0" collapsed="false">
      <c r="A31" s="20"/>
      <c r="B31" s="4" t="n">
        <f aca="false">IFERROR(COUNTIFS('2. Teaching Votes Log'!B:B,$A31,'2. Teaching Votes Log'!E:E,"AH"),0)</f>
        <v>0</v>
      </c>
      <c r="C31" s="4" t="n">
        <f aca="false">IFERROR(COUNTIFS('2. Teaching Votes Log'!B:B,$A31,'2. Teaching Votes Log'!E:E,"BE"),0)</f>
        <v>0</v>
      </c>
      <c r="D31" s="4" t="n">
        <f aca="false">IFERROR(COUNTIFS('2. Teaching Votes Log'!B:B,$A31,'2. Teaching Votes Log'!E:E,"CH"),0)</f>
        <v>0</v>
      </c>
      <c r="E31" s="4" t="n">
        <f aca="false">IFERROR(COUNTIFS('2. Teaching Votes Log'!B:B,$A31,'2. Teaching Votes Log'!E:E,"CS"),0)</f>
        <v>0</v>
      </c>
      <c r="F31" s="4" t="n">
        <f aca="false">IFERROR(COUNTIFS('2. Teaching Votes Log'!B:B,$A31,'2. Teaching Votes Log'!E:E,"ED"),0)</f>
        <v>0</v>
      </c>
      <c r="G31" s="4" t="n">
        <f aca="false">IFERROR(COUNTIFS('2. Teaching Votes Log'!B:B,$A31,'2. Teaching Votes Log'!E:E,"EN"),0)</f>
        <v>0</v>
      </c>
      <c r="H31" s="4" t="n">
        <f aca="false">IFERROR(COUNTIFS('2. Teaching Votes Log'!B:B,$A31,'2. Teaching Votes Log'!E:E,"LW"),0)</f>
        <v>0</v>
      </c>
      <c r="I31" s="4" t="n">
        <f aca="false">IFERROR(COUNTIFS('2. Teaching Votes Log'!B:B,$A31,'2. Teaching Votes Log'!E:E,"LS"),0)</f>
        <v>0</v>
      </c>
      <c r="J31" s="4" t="n">
        <f aca="false">IFERROR(COUNTIFS('2. Teaching Votes Log'!B:B,$A31,'2. Teaching Votes Log'!E:E,"PS"),0)</f>
        <v>0</v>
      </c>
      <c r="K31" s="4" t="n">
        <f aca="false">IFERROR(COUNTIFS('2. Teaching Votes Log'!B:B,$A31,'2. Teaching Votes Log'!E:E,"PY"),0)</f>
        <v>0</v>
      </c>
      <c r="L31" s="4" t="n">
        <f aca="false">IFERROR(COUNTIFS('2. Teaching Votes Log'!B:B,$A31,'2. Teaching Votes Log'!E:E,"SS"),0)</f>
        <v>0</v>
      </c>
      <c r="M31" s="16" t="n">
        <f aca="false">SUM(B31:L31)</f>
        <v>0</v>
      </c>
      <c r="N31" s="16" t="n">
        <f aca="false">COUNTIF(B31:L31,"&gt;0")</f>
        <v>0</v>
      </c>
      <c r="O31" s="25" t="n">
        <f aca="false">IFERROR(N31/11*100,0)</f>
        <v>0</v>
      </c>
    </row>
    <row r="32" customFormat="false" ht="15" hidden="false" customHeight="false" outlineLevel="0" collapsed="false">
      <c r="A32" s="19"/>
      <c r="B32" s="7" t="n">
        <f aca="false">IFERROR(COUNTIFS('2. Teaching Votes Log'!B:B,$A32,'2. Teaching Votes Log'!E:E,"AH"),0)</f>
        <v>0</v>
      </c>
      <c r="C32" s="7" t="n">
        <f aca="false">IFERROR(COUNTIFS('2. Teaching Votes Log'!B:B,$A32,'2. Teaching Votes Log'!E:E,"BE"),0)</f>
        <v>0</v>
      </c>
      <c r="D32" s="7" t="n">
        <f aca="false">IFERROR(COUNTIFS('2. Teaching Votes Log'!B:B,$A32,'2. Teaching Votes Log'!E:E,"CH"),0)</f>
        <v>0</v>
      </c>
      <c r="E32" s="7" t="n">
        <f aca="false">IFERROR(COUNTIFS('2. Teaching Votes Log'!B:B,$A32,'2. Teaching Votes Log'!E:E,"CS"),0)</f>
        <v>0</v>
      </c>
      <c r="F32" s="7" t="n">
        <f aca="false">IFERROR(COUNTIFS('2. Teaching Votes Log'!B:B,$A32,'2. Teaching Votes Log'!E:E,"ED"),0)</f>
        <v>0</v>
      </c>
      <c r="G32" s="7" t="n">
        <f aca="false">IFERROR(COUNTIFS('2. Teaching Votes Log'!B:B,$A32,'2. Teaching Votes Log'!E:E,"EN"),0)</f>
        <v>0</v>
      </c>
      <c r="H32" s="7" t="n">
        <f aca="false">IFERROR(COUNTIFS('2. Teaching Votes Log'!B:B,$A32,'2. Teaching Votes Log'!E:E,"LW"),0)</f>
        <v>0</v>
      </c>
      <c r="I32" s="7" t="n">
        <f aca="false">IFERROR(COUNTIFS('2. Teaching Votes Log'!B:B,$A32,'2. Teaching Votes Log'!E:E,"LS"),0)</f>
        <v>0</v>
      </c>
      <c r="J32" s="7" t="n">
        <f aca="false">IFERROR(COUNTIFS('2. Teaching Votes Log'!B:B,$A32,'2. Teaching Votes Log'!E:E,"PS"),0)</f>
        <v>0</v>
      </c>
      <c r="K32" s="7" t="n">
        <f aca="false">IFERROR(COUNTIFS('2. Teaching Votes Log'!B:B,$A32,'2. Teaching Votes Log'!E:E,"PY"),0)</f>
        <v>0</v>
      </c>
      <c r="L32" s="7" t="n">
        <f aca="false">IFERROR(COUNTIFS('2. Teaching Votes Log'!B:B,$A32,'2. Teaching Votes Log'!E:E,"SS"),0)</f>
        <v>0</v>
      </c>
      <c r="M32" s="15" t="n">
        <f aca="false">SUM(B32:L32)</f>
        <v>0</v>
      </c>
      <c r="N32" s="15" t="n">
        <f aca="false">COUNTIF(B32:L32,"&gt;0")</f>
        <v>0</v>
      </c>
      <c r="O32" s="26" t="n">
        <f aca="false">IFERROR(N32/11*100,0)</f>
        <v>0</v>
      </c>
    </row>
    <row r="33" customFormat="false" ht="15" hidden="false" customHeight="false" outlineLevel="0" collapsed="false">
      <c r="A33" s="20"/>
      <c r="B33" s="4" t="n">
        <f aca="false">IFERROR(COUNTIFS('2. Teaching Votes Log'!B:B,$A33,'2. Teaching Votes Log'!E:E,"AH"),0)</f>
        <v>0</v>
      </c>
      <c r="C33" s="4" t="n">
        <f aca="false">IFERROR(COUNTIFS('2. Teaching Votes Log'!B:B,$A33,'2. Teaching Votes Log'!E:E,"BE"),0)</f>
        <v>0</v>
      </c>
      <c r="D33" s="4" t="n">
        <f aca="false">IFERROR(COUNTIFS('2. Teaching Votes Log'!B:B,$A33,'2. Teaching Votes Log'!E:E,"CH"),0)</f>
        <v>0</v>
      </c>
      <c r="E33" s="4" t="n">
        <f aca="false">IFERROR(COUNTIFS('2. Teaching Votes Log'!B:B,$A33,'2. Teaching Votes Log'!E:E,"CS"),0)</f>
        <v>0</v>
      </c>
      <c r="F33" s="4" t="n">
        <f aca="false">IFERROR(COUNTIFS('2. Teaching Votes Log'!B:B,$A33,'2. Teaching Votes Log'!E:E,"ED"),0)</f>
        <v>0</v>
      </c>
      <c r="G33" s="4" t="n">
        <f aca="false">IFERROR(COUNTIFS('2. Teaching Votes Log'!B:B,$A33,'2. Teaching Votes Log'!E:E,"EN"),0)</f>
        <v>0</v>
      </c>
      <c r="H33" s="4" t="n">
        <f aca="false">IFERROR(COUNTIFS('2. Teaching Votes Log'!B:B,$A33,'2. Teaching Votes Log'!E:E,"LW"),0)</f>
        <v>0</v>
      </c>
      <c r="I33" s="4" t="n">
        <f aca="false">IFERROR(COUNTIFS('2. Teaching Votes Log'!B:B,$A33,'2. Teaching Votes Log'!E:E,"LS"),0)</f>
        <v>0</v>
      </c>
      <c r="J33" s="4" t="n">
        <f aca="false">IFERROR(COUNTIFS('2. Teaching Votes Log'!B:B,$A33,'2. Teaching Votes Log'!E:E,"PS"),0)</f>
        <v>0</v>
      </c>
      <c r="K33" s="4" t="n">
        <f aca="false">IFERROR(COUNTIFS('2. Teaching Votes Log'!B:B,$A33,'2. Teaching Votes Log'!E:E,"PY"),0)</f>
        <v>0</v>
      </c>
      <c r="L33" s="4" t="n">
        <f aca="false">IFERROR(COUNTIFS('2. Teaching Votes Log'!B:B,$A33,'2. Teaching Votes Log'!E:E,"SS"),0)</f>
        <v>0</v>
      </c>
      <c r="M33" s="16" t="n">
        <f aca="false">SUM(B33:L33)</f>
        <v>0</v>
      </c>
      <c r="N33" s="16" t="n">
        <f aca="false">COUNTIF(B33:L33,"&gt;0")</f>
        <v>0</v>
      </c>
      <c r="O33" s="25" t="n">
        <f aca="false">IFERROR(N33/11*100,0)</f>
        <v>0</v>
      </c>
    </row>
    <row r="34" customFormat="false" ht="15" hidden="false" customHeight="false" outlineLevel="0" collapsed="false">
      <c r="A34" s="19"/>
      <c r="B34" s="7" t="n">
        <f aca="false">IFERROR(COUNTIFS('2. Teaching Votes Log'!B:B,$A34,'2. Teaching Votes Log'!E:E,"AH"),0)</f>
        <v>0</v>
      </c>
      <c r="C34" s="7" t="n">
        <f aca="false">IFERROR(COUNTIFS('2. Teaching Votes Log'!B:B,$A34,'2. Teaching Votes Log'!E:E,"BE"),0)</f>
        <v>0</v>
      </c>
      <c r="D34" s="7" t="n">
        <f aca="false">IFERROR(COUNTIFS('2. Teaching Votes Log'!B:B,$A34,'2. Teaching Votes Log'!E:E,"CH"),0)</f>
        <v>0</v>
      </c>
      <c r="E34" s="7" t="n">
        <f aca="false">IFERROR(COUNTIFS('2. Teaching Votes Log'!B:B,$A34,'2. Teaching Votes Log'!E:E,"CS"),0)</f>
        <v>0</v>
      </c>
      <c r="F34" s="7" t="n">
        <f aca="false">IFERROR(COUNTIFS('2. Teaching Votes Log'!B:B,$A34,'2. Teaching Votes Log'!E:E,"ED"),0)</f>
        <v>0</v>
      </c>
      <c r="G34" s="7" t="n">
        <f aca="false">IFERROR(COUNTIFS('2. Teaching Votes Log'!B:B,$A34,'2. Teaching Votes Log'!E:E,"EN"),0)</f>
        <v>0</v>
      </c>
      <c r="H34" s="7" t="n">
        <f aca="false">IFERROR(COUNTIFS('2. Teaching Votes Log'!B:B,$A34,'2. Teaching Votes Log'!E:E,"LW"),0)</f>
        <v>0</v>
      </c>
      <c r="I34" s="7" t="n">
        <f aca="false">IFERROR(COUNTIFS('2. Teaching Votes Log'!B:B,$A34,'2. Teaching Votes Log'!E:E,"LS"),0)</f>
        <v>0</v>
      </c>
      <c r="J34" s="7" t="n">
        <f aca="false">IFERROR(COUNTIFS('2. Teaching Votes Log'!B:B,$A34,'2. Teaching Votes Log'!E:E,"PS"),0)</f>
        <v>0</v>
      </c>
      <c r="K34" s="7" t="n">
        <f aca="false">IFERROR(COUNTIFS('2. Teaching Votes Log'!B:B,$A34,'2. Teaching Votes Log'!E:E,"PY"),0)</f>
        <v>0</v>
      </c>
      <c r="L34" s="7" t="n">
        <f aca="false">IFERROR(COUNTIFS('2. Teaching Votes Log'!B:B,$A34,'2. Teaching Votes Log'!E:E,"SS"),0)</f>
        <v>0</v>
      </c>
      <c r="M34" s="15" t="n">
        <f aca="false">SUM(B34:L34)</f>
        <v>0</v>
      </c>
      <c r="N34" s="15" t="n">
        <f aca="false">COUNTIF(B34:L34,"&gt;0")</f>
        <v>0</v>
      </c>
      <c r="O34" s="26" t="n">
        <f aca="false">IFERROR(N34/11*100,0)</f>
        <v>0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8" min="5" style="0" width="20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27" t="s">
        <v>501</v>
      </c>
      <c r="B1" s="27"/>
      <c r="C1" s="27"/>
      <c r="D1" s="27"/>
      <c r="E1" s="27"/>
      <c r="F1" s="27"/>
      <c r="G1" s="27"/>
      <c r="H1" s="27"/>
      <c r="I1" s="27"/>
    </row>
    <row r="2" customFormat="false" ht="25.5" hidden="false" customHeight="true" outlineLevel="0" collapsed="false">
      <c r="A2" s="28" t="s">
        <v>502</v>
      </c>
      <c r="B2" s="28"/>
      <c r="C2" s="28"/>
      <c r="D2" s="28"/>
      <c r="E2" s="28"/>
      <c r="F2" s="28"/>
      <c r="G2" s="28"/>
      <c r="H2" s="28"/>
      <c r="I2" s="28"/>
    </row>
    <row r="3" customFormat="false" ht="23.85" hidden="false" customHeight="false" outlineLevel="0" collapsed="false">
      <c r="A3" s="29" t="s">
        <v>503</v>
      </c>
      <c r="B3" s="29" t="s">
        <v>84</v>
      </c>
      <c r="C3" s="29" t="s">
        <v>504</v>
      </c>
      <c r="D3" s="29" t="s">
        <v>505</v>
      </c>
      <c r="E3" s="29" t="s">
        <v>506</v>
      </c>
      <c r="F3" s="29" t="s">
        <v>507</v>
      </c>
      <c r="G3" s="29" t="s">
        <v>508</v>
      </c>
      <c r="H3" s="29" t="s">
        <v>509</v>
      </c>
      <c r="I3" s="29" t="s">
        <v>510</v>
      </c>
    </row>
    <row r="4" customFormat="false" ht="15" hidden="false" customHeight="false" outlineLevel="0" collapsed="false">
      <c r="A4" s="7" t="n">
        <v>1</v>
      </c>
      <c r="B4" s="19"/>
      <c r="C4" s="7" t="n">
        <f aca="false">IFERROR('3. Research Subject Matrix'!M5,0)</f>
        <v>0</v>
      </c>
      <c r="D4" s="7" t="n">
        <f aca="false">IFERROR('3. Research Subject Matrix'!N5,0)</f>
        <v>0</v>
      </c>
      <c r="E4" s="30" t="n">
        <f aca="false">IFERROR(IF(C4&gt;0,-SUMPRODUCT(IF('3. Research Subject Matrix'!B5:L5&gt;0,('3. Research Subject Matrix'!B5:L5/C4)*LOG('3. Research Subject Matrix'!B5:L5/C4,2),0)),0),0)</f>
        <v>0</v>
      </c>
      <c r="F4" s="30" t="n">
        <f aca="false">IF(D4&gt;1,LOG(D4,2),0)</f>
        <v>0</v>
      </c>
      <c r="G4" s="31" t="n">
        <f aca="false">IFERROR(IF(F4&gt;0,E4/F4,0),0)</f>
        <v>0</v>
      </c>
      <c r="H4" s="26" t="n">
        <f aca="false">IFERROR(IF(MAX($E$4:$E$33)&gt;0,E4/MAX($E$4:$E$33)*100,0),0)</f>
        <v>0</v>
      </c>
      <c r="I4" s="15" t="str">
        <f aca="false">IF(H4&gt;=80,"Very High",IF(H4&gt;=60,"High",IF(H4&gt;=40,"Medium",IF(H4&gt;=20,"Low","Very Low"))))</f>
        <v>Very Low</v>
      </c>
    </row>
    <row r="5" customFormat="false" ht="15" hidden="false" customHeight="false" outlineLevel="0" collapsed="false">
      <c r="A5" s="4" t="n">
        <v>2</v>
      </c>
      <c r="B5" s="20"/>
      <c r="C5" s="4" t="n">
        <f aca="false">IFERROR('3. Research Subject Matrix'!M6,0)</f>
        <v>0</v>
      </c>
      <c r="D5" s="4" t="n">
        <f aca="false">IFERROR('3. Research Subject Matrix'!N6,0)</f>
        <v>0</v>
      </c>
      <c r="E5" s="32" t="n">
        <f aca="false">IFERROR(IF(C5&gt;0,-SUMPRODUCT(IF('3. Research Subject Matrix'!B6:L6&gt;0,('3. Research Subject Matrix'!B6:L6/C5)*LOG('3. Research Subject Matrix'!B6:L6/C5,2),0)),0),0)</f>
        <v>0</v>
      </c>
      <c r="F5" s="32" t="n">
        <f aca="false">IF(D5&gt;1,LOG(D5,2),0)</f>
        <v>0</v>
      </c>
      <c r="G5" s="33" t="n">
        <f aca="false">IFERROR(IF(F5&gt;0,E5/F5,0),0)</f>
        <v>0</v>
      </c>
      <c r="H5" s="25" t="n">
        <f aca="false">IFERROR(IF(MAX($E$4:$E$33)&gt;0,E5/MAX($E$4:$E$33)*100,0),0)</f>
        <v>0</v>
      </c>
      <c r="I5" s="16" t="str">
        <f aca="false">IF(H5&gt;=80,"Very High",IF(H5&gt;=60,"High",IF(H5&gt;=40,"Medium",IF(H5&gt;=20,"Low","Very Low"))))</f>
        <v>Very Low</v>
      </c>
    </row>
    <row r="6" customFormat="false" ht="15" hidden="false" customHeight="false" outlineLevel="0" collapsed="false">
      <c r="A6" s="7" t="n">
        <v>3</v>
      </c>
      <c r="B6" s="19"/>
      <c r="C6" s="7" t="n">
        <f aca="false">IFERROR('3. Research Subject Matrix'!M7,0)</f>
        <v>0</v>
      </c>
      <c r="D6" s="7" t="n">
        <f aca="false">IFERROR('3. Research Subject Matrix'!N7,0)</f>
        <v>0</v>
      </c>
      <c r="E6" s="30" t="n">
        <f aca="false">IFERROR(IF(C6&gt;0,-SUMPRODUCT(IF('3. Research Subject Matrix'!B7:L7&gt;0,('3. Research Subject Matrix'!B7:L7/C6)*LOG('3. Research Subject Matrix'!B7:L7/C6,2),0)),0),0)</f>
        <v>0</v>
      </c>
      <c r="F6" s="30" t="n">
        <f aca="false">IF(D6&gt;1,LOG(D6,2),0)</f>
        <v>0</v>
      </c>
      <c r="G6" s="31" t="n">
        <f aca="false">IFERROR(IF(F6&gt;0,E6/F6,0),0)</f>
        <v>0</v>
      </c>
      <c r="H6" s="26" t="n">
        <f aca="false">IFERROR(IF(MAX($E$4:$E$33)&gt;0,E6/MAX($E$4:$E$33)*100,0),0)</f>
        <v>0</v>
      </c>
      <c r="I6" s="15" t="str">
        <f aca="false">IF(H6&gt;=80,"Very High",IF(H6&gt;=60,"High",IF(H6&gt;=40,"Medium",IF(H6&gt;=20,"Low","Very Low"))))</f>
        <v>Very Low</v>
      </c>
    </row>
    <row r="7" customFormat="false" ht="15" hidden="false" customHeight="false" outlineLevel="0" collapsed="false">
      <c r="A7" s="4" t="n">
        <v>4</v>
      </c>
      <c r="B7" s="20"/>
      <c r="C7" s="4" t="n">
        <f aca="false">IFERROR('3. Research Subject Matrix'!M8,0)</f>
        <v>0</v>
      </c>
      <c r="D7" s="4" t="n">
        <f aca="false">IFERROR('3. Research Subject Matrix'!N8,0)</f>
        <v>0</v>
      </c>
      <c r="E7" s="32" t="n">
        <f aca="false">IFERROR(IF(C7&gt;0,-SUMPRODUCT(IF('3. Research Subject Matrix'!B8:L8&gt;0,('3. Research Subject Matrix'!B8:L8/C7)*LOG('3. Research Subject Matrix'!B8:L8/C7,2),0)),0),0)</f>
        <v>0</v>
      </c>
      <c r="F7" s="32" t="n">
        <f aca="false">IF(D7&gt;1,LOG(D7,2),0)</f>
        <v>0</v>
      </c>
      <c r="G7" s="33" t="n">
        <f aca="false">IFERROR(IF(F7&gt;0,E7/F7,0),0)</f>
        <v>0</v>
      </c>
      <c r="H7" s="25" t="n">
        <f aca="false">IFERROR(IF(MAX($E$4:$E$33)&gt;0,E7/MAX($E$4:$E$33)*100,0),0)</f>
        <v>0</v>
      </c>
      <c r="I7" s="16" t="str">
        <f aca="false">IF(H7&gt;=80,"Very High",IF(H7&gt;=60,"High",IF(H7&gt;=40,"Medium",IF(H7&gt;=20,"Low","Very Low"))))</f>
        <v>Very Low</v>
      </c>
    </row>
    <row r="8" customFormat="false" ht="15" hidden="false" customHeight="false" outlineLevel="0" collapsed="false">
      <c r="A8" s="7" t="n">
        <v>5</v>
      </c>
      <c r="B8" s="19"/>
      <c r="C8" s="7" t="n">
        <f aca="false">IFERROR('3. Research Subject Matrix'!M9,0)</f>
        <v>0</v>
      </c>
      <c r="D8" s="7" t="n">
        <f aca="false">IFERROR('3. Research Subject Matrix'!N9,0)</f>
        <v>0</v>
      </c>
      <c r="E8" s="30" t="n">
        <f aca="false">IFERROR(IF(C8&gt;0,-SUMPRODUCT(IF('3. Research Subject Matrix'!B9:L9&gt;0,('3. Research Subject Matrix'!B9:L9/C8)*LOG('3. Research Subject Matrix'!B9:L9/C8,2),0)),0),0)</f>
        <v>0</v>
      </c>
      <c r="F8" s="30" t="n">
        <f aca="false">IF(D8&gt;1,LOG(D8,2),0)</f>
        <v>0</v>
      </c>
      <c r="G8" s="31" t="n">
        <f aca="false">IFERROR(IF(F8&gt;0,E8/F8,0),0)</f>
        <v>0</v>
      </c>
      <c r="H8" s="26" t="n">
        <f aca="false">IFERROR(IF(MAX($E$4:$E$33)&gt;0,E8/MAX($E$4:$E$33)*100,0),0)</f>
        <v>0</v>
      </c>
      <c r="I8" s="15" t="str">
        <f aca="false">IF(H8&gt;=80,"Very High",IF(H8&gt;=60,"High",IF(H8&gt;=40,"Medium",IF(H8&gt;=20,"Low","Very Low"))))</f>
        <v>Very Low</v>
      </c>
    </row>
    <row r="9" customFormat="false" ht="15" hidden="false" customHeight="false" outlineLevel="0" collapsed="false">
      <c r="A9" s="4" t="n">
        <v>6</v>
      </c>
      <c r="B9" s="20"/>
      <c r="C9" s="4" t="n">
        <f aca="false">IFERROR('3. Research Subject Matrix'!M10,0)</f>
        <v>0</v>
      </c>
      <c r="D9" s="4" t="n">
        <f aca="false">IFERROR('3. Research Subject Matrix'!N10,0)</f>
        <v>0</v>
      </c>
      <c r="E9" s="32" t="n">
        <f aca="false">IFERROR(IF(C9&gt;0,-SUMPRODUCT(IF('3. Research Subject Matrix'!B10:L10&gt;0,('3. Research Subject Matrix'!B10:L10/C9)*LOG('3. Research Subject Matrix'!B10:L10/C9,2),0)),0),0)</f>
        <v>0</v>
      </c>
      <c r="F9" s="32" t="n">
        <f aca="false">IF(D9&gt;1,LOG(D9,2),0)</f>
        <v>0</v>
      </c>
      <c r="G9" s="33" t="n">
        <f aca="false">IFERROR(IF(F9&gt;0,E9/F9,0),0)</f>
        <v>0</v>
      </c>
      <c r="H9" s="25" t="n">
        <f aca="false">IFERROR(IF(MAX($E$4:$E$33)&gt;0,E9/MAX($E$4:$E$33)*100,0),0)</f>
        <v>0</v>
      </c>
      <c r="I9" s="16" t="str">
        <f aca="false">IF(H9&gt;=80,"Very High",IF(H9&gt;=60,"High",IF(H9&gt;=40,"Medium",IF(H9&gt;=20,"Low","Very Low"))))</f>
        <v>Very Low</v>
      </c>
    </row>
    <row r="10" customFormat="false" ht="15" hidden="false" customHeight="false" outlineLevel="0" collapsed="false">
      <c r="A10" s="7" t="n">
        <v>7</v>
      </c>
      <c r="B10" s="19"/>
      <c r="C10" s="7" t="n">
        <f aca="false">IFERROR('3. Research Subject Matrix'!M11,0)</f>
        <v>0</v>
      </c>
      <c r="D10" s="7" t="n">
        <f aca="false">IFERROR('3. Research Subject Matrix'!N11,0)</f>
        <v>0</v>
      </c>
      <c r="E10" s="30" t="n">
        <f aca="false">IFERROR(IF(C10&gt;0,-SUMPRODUCT(IF('3. Research Subject Matrix'!B11:L11&gt;0,('3. Research Subject Matrix'!B11:L11/C10)*LOG('3. Research Subject Matrix'!B11:L11/C10,2),0)),0),0)</f>
        <v>0</v>
      </c>
      <c r="F10" s="30" t="n">
        <f aca="false">IF(D10&gt;1,LOG(D10,2),0)</f>
        <v>0</v>
      </c>
      <c r="G10" s="31" t="n">
        <f aca="false">IFERROR(IF(F10&gt;0,E10/F10,0),0)</f>
        <v>0</v>
      </c>
      <c r="H10" s="26" t="n">
        <f aca="false">IFERROR(IF(MAX($E$4:$E$33)&gt;0,E10/MAX($E$4:$E$33)*100,0),0)</f>
        <v>0</v>
      </c>
      <c r="I10" s="15" t="str">
        <f aca="false">IF(H10&gt;=80,"Very High",IF(H10&gt;=60,"High",IF(H10&gt;=40,"Medium",IF(H10&gt;=20,"Low","Very Low"))))</f>
        <v>Very Low</v>
      </c>
    </row>
    <row r="11" customFormat="false" ht="15" hidden="false" customHeight="false" outlineLevel="0" collapsed="false">
      <c r="A11" s="4" t="n">
        <v>8</v>
      </c>
      <c r="B11" s="20"/>
      <c r="C11" s="4" t="n">
        <f aca="false">IFERROR('3. Research Subject Matrix'!M12,0)</f>
        <v>0</v>
      </c>
      <c r="D11" s="4" t="n">
        <f aca="false">IFERROR('3. Research Subject Matrix'!N12,0)</f>
        <v>0</v>
      </c>
      <c r="E11" s="32" t="n">
        <f aca="false">IFERROR(IF(C11&gt;0,-SUMPRODUCT(IF('3. Research Subject Matrix'!B12:L12&gt;0,('3. Research Subject Matrix'!B12:L12/C11)*LOG('3. Research Subject Matrix'!B12:L12/C11,2),0)),0),0)</f>
        <v>0</v>
      </c>
      <c r="F11" s="32" t="n">
        <f aca="false">IF(D11&gt;1,LOG(D11,2),0)</f>
        <v>0</v>
      </c>
      <c r="G11" s="33" t="n">
        <f aca="false">IFERROR(IF(F11&gt;0,E11/F11,0),0)</f>
        <v>0</v>
      </c>
      <c r="H11" s="25" t="n">
        <f aca="false">IFERROR(IF(MAX($E$4:$E$33)&gt;0,E11/MAX($E$4:$E$33)*100,0),0)</f>
        <v>0</v>
      </c>
      <c r="I11" s="16" t="str">
        <f aca="false">IF(H11&gt;=80,"Very High",IF(H11&gt;=60,"High",IF(H11&gt;=40,"Medium",IF(H11&gt;=20,"Low","Very Low"))))</f>
        <v>Very Low</v>
      </c>
    </row>
    <row r="12" customFormat="false" ht="15" hidden="false" customHeight="false" outlineLevel="0" collapsed="false">
      <c r="A12" s="7" t="n">
        <v>9</v>
      </c>
      <c r="B12" s="19"/>
      <c r="C12" s="7" t="n">
        <f aca="false">IFERROR('3. Research Subject Matrix'!M13,0)</f>
        <v>0</v>
      </c>
      <c r="D12" s="7" t="n">
        <f aca="false">IFERROR('3. Research Subject Matrix'!N13,0)</f>
        <v>0</v>
      </c>
      <c r="E12" s="30" t="n">
        <f aca="false">IFERROR(IF(C12&gt;0,-SUMPRODUCT(IF('3. Research Subject Matrix'!B13:L13&gt;0,('3. Research Subject Matrix'!B13:L13/C12)*LOG('3. Research Subject Matrix'!B13:L13/C12,2),0)),0),0)</f>
        <v>0</v>
      </c>
      <c r="F12" s="30" t="n">
        <f aca="false">IF(D12&gt;1,LOG(D12,2),0)</f>
        <v>0</v>
      </c>
      <c r="G12" s="31" t="n">
        <f aca="false">IFERROR(IF(F12&gt;0,E12/F12,0),0)</f>
        <v>0</v>
      </c>
      <c r="H12" s="26" t="n">
        <f aca="false">IFERROR(IF(MAX($E$4:$E$33)&gt;0,E12/MAX($E$4:$E$33)*100,0),0)</f>
        <v>0</v>
      </c>
      <c r="I12" s="15" t="str">
        <f aca="false">IF(H12&gt;=80,"Very High",IF(H12&gt;=60,"High",IF(H12&gt;=40,"Medium",IF(H12&gt;=20,"Low","Very Low"))))</f>
        <v>Very Low</v>
      </c>
    </row>
    <row r="13" customFormat="false" ht="15" hidden="false" customHeight="false" outlineLevel="0" collapsed="false">
      <c r="A13" s="4" t="n">
        <v>10</v>
      </c>
      <c r="B13" s="20"/>
      <c r="C13" s="4" t="n">
        <f aca="false">IFERROR('3. Research Subject Matrix'!M14,0)</f>
        <v>0</v>
      </c>
      <c r="D13" s="4" t="n">
        <f aca="false">IFERROR('3. Research Subject Matrix'!N14,0)</f>
        <v>0</v>
      </c>
      <c r="E13" s="32" t="n">
        <f aca="false">IFERROR(IF(C13&gt;0,-SUMPRODUCT(IF('3. Research Subject Matrix'!B14:L14&gt;0,('3. Research Subject Matrix'!B14:L14/C13)*LOG('3. Research Subject Matrix'!B14:L14/C13,2),0)),0),0)</f>
        <v>0</v>
      </c>
      <c r="F13" s="32" t="n">
        <f aca="false">IF(D13&gt;1,LOG(D13,2),0)</f>
        <v>0</v>
      </c>
      <c r="G13" s="33" t="n">
        <f aca="false">IFERROR(IF(F13&gt;0,E13/F13,0),0)</f>
        <v>0</v>
      </c>
      <c r="H13" s="25" t="n">
        <f aca="false">IFERROR(IF(MAX($E$4:$E$33)&gt;0,E13/MAX($E$4:$E$33)*100,0),0)</f>
        <v>0</v>
      </c>
      <c r="I13" s="16" t="str">
        <f aca="false">IF(H13&gt;=80,"Very High",IF(H13&gt;=60,"High",IF(H13&gt;=40,"Medium",IF(H13&gt;=20,"Low","Very Low"))))</f>
        <v>Very Low</v>
      </c>
    </row>
    <row r="14" customFormat="false" ht="15" hidden="false" customHeight="false" outlineLevel="0" collapsed="false">
      <c r="A14" s="7" t="n">
        <v>11</v>
      </c>
      <c r="B14" s="19"/>
      <c r="C14" s="7" t="n">
        <f aca="false">IFERROR('3. Research Subject Matrix'!M15,0)</f>
        <v>0</v>
      </c>
      <c r="D14" s="7" t="n">
        <f aca="false">IFERROR('3. Research Subject Matrix'!N15,0)</f>
        <v>0</v>
      </c>
      <c r="E14" s="30" t="n">
        <f aca="false">IFERROR(IF(C14&gt;0,-SUMPRODUCT(IF('3. Research Subject Matrix'!B15:L15&gt;0,('3. Research Subject Matrix'!B15:L15/C14)*LOG('3. Research Subject Matrix'!B15:L15/C14,2),0)),0),0)</f>
        <v>0</v>
      </c>
      <c r="F14" s="30" t="n">
        <f aca="false">IF(D14&gt;1,LOG(D14,2),0)</f>
        <v>0</v>
      </c>
      <c r="G14" s="31" t="n">
        <f aca="false">IFERROR(IF(F14&gt;0,E14/F14,0),0)</f>
        <v>0</v>
      </c>
      <c r="H14" s="26" t="n">
        <f aca="false">IFERROR(IF(MAX($E$4:$E$33)&gt;0,E14/MAX($E$4:$E$33)*100,0),0)</f>
        <v>0</v>
      </c>
      <c r="I14" s="15" t="str">
        <f aca="false">IF(H14&gt;=80,"Very High",IF(H14&gt;=60,"High",IF(H14&gt;=40,"Medium",IF(H14&gt;=20,"Low","Very Low"))))</f>
        <v>Very Low</v>
      </c>
    </row>
    <row r="15" customFormat="false" ht="15" hidden="false" customHeight="false" outlineLevel="0" collapsed="false">
      <c r="A15" s="4" t="n">
        <v>12</v>
      </c>
      <c r="B15" s="20"/>
      <c r="C15" s="4" t="n">
        <f aca="false">IFERROR('3. Research Subject Matrix'!M16,0)</f>
        <v>0</v>
      </c>
      <c r="D15" s="4" t="n">
        <f aca="false">IFERROR('3. Research Subject Matrix'!N16,0)</f>
        <v>0</v>
      </c>
      <c r="E15" s="32" t="n">
        <f aca="false">IFERROR(IF(C15&gt;0,-SUMPRODUCT(IF('3. Research Subject Matrix'!B16:L16&gt;0,('3. Research Subject Matrix'!B16:L16/C15)*LOG('3. Research Subject Matrix'!B16:L16/C15,2),0)),0),0)</f>
        <v>0</v>
      </c>
      <c r="F15" s="32" t="n">
        <f aca="false">IF(D15&gt;1,LOG(D15,2),0)</f>
        <v>0</v>
      </c>
      <c r="G15" s="33" t="n">
        <f aca="false">IFERROR(IF(F15&gt;0,E15/F15,0),0)</f>
        <v>0</v>
      </c>
      <c r="H15" s="25" t="n">
        <f aca="false">IFERROR(IF(MAX($E$4:$E$33)&gt;0,E15/MAX($E$4:$E$33)*100,0),0)</f>
        <v>0</v>
      </c>
      <c r="I15" s="16" t="str">
        <f aca="false">IF(H15&gt;=80,"Very High",IF(H15&gt;=60,"High",IF(H15&gt;=40,"Medium",IF(H15&gt;=20,"Low","Very Low"))))</f>
        <v>Very Low</v>
      </c>
    </row>
    <row r="16" customFormat="false" ht="15" hidden="false" customHeight="false" outlineLevel="0" collapsed="false">
      <c r="A16" s="7" t="n">
        <v>13</v>
      </c>
      <c r="B16" s="19"/>
      <c r="C16" s="7" t="n">
        <f aca="false">IFERROR('3. Research Subject Matrix'!M17,0)</f>
        <v>0</v>
      </c>
      <c r="D16" s="7" t="n">
        <f aca="false">IFERROR('3. Research Subject Matrix'!N17,0)</f>
        <v>0</v>
      </c>
      <c r="E16" s="30" t="n">
        <f aca="false">IFERROR(IF(C16&gt;0,-SUMPRODUCT(IF('3. Research Subject Matrix'!B17:L17&gt;0,('3. Research Subject Matrix'!B17:L17/C16)*LOG('3. Research Subject Matrix'!B17:L17/C16,2),0)),0),0)</f>
        <v>0</v>
      </c>
      <c r="F16" s="30" t="n">
        <f aca="false">IF(D16&gt;1,LOG(D16,2),0)</f>
        <v>0</v>
      </c>
      <c r="G16" s="31" t="n">
        <f aca="false">IFERROR(IF(F16&gt;0,E16/F16,0),0)</f>
        <v>0</v>
      </c>
      <c r="H16" s="26" t="n">
        <f aca="false">IFERROR(IF(MAX($E$4:$E$33)&gt;0,E16/MAX($E$4:$E$33)*100,0),0)</f>
        <v>0</v>
      </c>
      <c r="I16" s="15" t="str">
        <f aca="false">IF(H16&gt;=80,"Very High",IF(H16&gt;=60,"High",IF(H16&gt;=40,"Medium",IF(H16&gt;=20,"Low","Very Low"))))</f>
        <v>Very Low</v>
      </c>
    </row>
    <row r="17" customFormat="false" ht="15" hidden="false" customHeight="false" outlineLevel="0" collapsed="false">
      <c r="A17" s="4" t="n">
        <v>14</v>
      </c>
      <c r="B17" s="20"/>
      <c r="C17" s="4" t="n">
        <f aca="false">IFERROR('3. Research Subject Matrix'!M18,0)</f>
        <v>0</v>
      </c>
      <c r="D17" s="4" t="n">
        <f aca="false">IFERROR('3. Research Subject Matrix'!N18,0)</f>
        <v>0</v>
      </c>
      <c r="E17" s="32" t="n">
        <f aca="false">IFERROR(IF(C17&gt;0,-SUMPRODUCT(IF('3. Research Subject Matrix'!B18:L18&gt;0,('3. Research Subject Matrix'!B18:L18/C17)*LOG('3. Research Subject Matrix'!B18:L18/C17,2),0)),0),0)</f>
        <v>0</v>
      </c>
      <c r="F17" s="32" t="n">
        <f aca="false">IF(D17&gt;1,LOG(D17,2),0)</f>
        <v>0</v>
      </c>
      <c r="G17" s="33" t="n">
        <f aca="false">IFERROR(IF(F17&gt;0,E17/F17,0),0)</f>
        <v>0</v>
      </c>
      <c r="H17" s="25" t="n">
        <f aca="false">IFERROR(IF(MAX($E$4:$E$33)&gt;0,E17/MAX($E$4:$E$33)*100,0),0)</f>
        <v>0</v>
      </c>
      <c r="I17" s="16" t="str">
        <f aca="false">IF(H17&gt;=80,"Very High",IF(H17&gt;=60,"High",IF(H17&gt;=40,"Medium",IF(H17&gt;=20,"Low","Very Low"))))</f>
        <v>Very Low</v>
      </c>
    </row>
    <row r="18" customFormat="false" ht="15" hidden="false" customHeight="false" outlineLevel="0" collapsed="false">
      <c r="A18" s="7" t="n">
        <v>15</v>
      </c>
      <c r="B18" s="19"/>
      <c r="C18" s="7" t="n">
        <f aca="false">IFERROR('3. Research Subject Matrix'!M19,0)</f>
        <v>0</v>
      </c>
      <c r="D18" s="7" t="n">
        <f aca="false">IFERROR('3. Research Subject Matrix'!N19,0)</f>
        <v>0</v>
      </c>
      <c r="E18" s="30" t="n">
        <f aca="false">IFERROR(IF(C18&gt;0,-SUMPRODUCT(IF('3. Research Subject Matrix'!B19:L19&gt;0,('3. Research Subject Matrix'!B19:L19/C18)*LOG('3. Research Subject Matrix'!B19:L19/C18,2),0)),0),0)</f>
        <v>0</v>
      </c>
      <c r="F18" s="30" t="n">
        <f aca="false">IF(D18&gt;1,LOG(D18,2),0)</f>
        <v>0</v>
      </c>
      <c r="G18" s="31" t="n">
        <f aca="false">IFERROR(IF(F18&gt;0,E18/F18,0),0)</f>
        <v>0</v>
      </c>
      <c r="H18" s="26" t="n">
        <f aca="false">IFERROR(IF(MAX($E$4:$E$33)&gt;0,E18/MAX($E$4:$E$33)*100,0),0)</f>
        <v>0</v>
      </c>
      <c r="I18" s="15" t="str">
        <f aca="false">IF(H18&gt;=80,"Very High",IF(H18&gt;=60,"High",IF(H18&gt;=40,"Medium",IF(H18&gt;=20,"Low","Very Low"))))</f>
        <v>Very Low</v>
      </c>
    </row>
    <row r="19" customFormat="false" ht="15" hidden="false" customHeight="false" outlineLevel="0" collapsed="false">
      <c r="A19" s="4" t="n">
        <v>16</v>
      </c>
      <c r="B19" s="20"/>
      <c r="C19" s="4" t="n">
        <f aca="false">IFERROR('3. Research Subject Matrix'!M20,0)</f>
        <v>0</v>
      </c>
      <c r="D19" s="4" t="n">
        <f aca="false">IFERROR('3. Research Subject Matrix'!N20,0)</f>
        <v>0</v>
      </c>
      <c r="E19" s="32" t="n">
        <f aca="false">IFERROR(IF(C19&gt;0,-SUMPRODUCT(IF('3. Research Subject Matrix'!B20:L20&gt;0,('3. Research Subject Matrix'!B20:L20/C19)*LOG('3. Research Subject Matrix'!B20:L20/C19,2),0)),0),0)</f>
        <v>0</v>
      </c>
      <c r="F19" s="32" t="n">
        <f aca="false">IF(D19&gt;1,LOG(D19,2),0)</f>
        <v>0</v>
      </c>
      <c r="G19" s="33" t="n">
        <f aca="false">IFERROR(IF(F19&gt;0,E19/F19,0),0)</f>
        <v>0</v>
      </c>
      <c r="H19" s="25" t="n">
        <f aca="false">IFERROR(IF(MAX($E$4:$E$33)&gt;0,E19/MAX($E$4:$E$33)*100,0),0)</f>
        <v>0</v>
      </c>
      <c r="I19" s="16" t="str">
        <f aca="false">IF(H19&gt;=80,"Very High",IF(H19&gt;=60,"High",IF(H19&gt;=40,"Medium",IF(H19&gt;=20,"Low","Very Low"))))</f>
        <v>Very Low</v>
      </c>
    </row>
    <row r="20" customFormat="false" ht="15" hidden="false" customHeight="false" outlineLevel="0" collapsed="false">
      <c r="A20" s="7" t="n">
        <v>17</v>
      </c>
      <c r="B20" s="19"/>
      <c r="C20" s="7" t="n">
        <f aca="false">IFERROR('3. Research Subject Matrix'!M21,0)</f>
        <v>0</v>
      </c>
      <c r="D20" s="7" t="n">
        <f aca="false">IFERROR('3. Research Subject Matrix'!N21,0)</f>
        <v>0</v>
      </c>
      <c r="E20" s="30" t="n">
        <f aca="false">IFERROR(IF(C20&gt;0,-SUMPRODUCT(IF('3. Research Subject Matrix'!B21:L21&gt;0,('3. Research Subject Matrix'!B21:L21/C20)*LOG('3. Research Subject Matrix'!B21:L21/C20,2),0)),0),0)</f>
        <v>0</v>
      </c>
      <c r="F20" s="30" t="n">
        <f aca="false">IF(D20&gt;1,LOG(D20,2),0)</f>
        <v>0</v>
      </c>
      <c r="G20" s="31" t="n">
        <f aca="false">IFERROR(IF(F20&gt;0,E20/F20,0),0)</f>
        <v>0</v>
      </c>
      <c r="H20" s="26" t="n">
        <f aca="false">IFERROR(IF(MAX($E$4:$E$33)&gt;0,E20/MAX($E$4:$E$33)*100,0),0)</f>
        <v>0</v>
      </c>
      <c r="I20" s="15" t="str">
        <f aca="false">IF(H20&gt;=80,"Very High",IF(H20&gt;=60,"High",IF(H20&gt;=40,"Medium",IF(H20&gt;=20,"Low","Very Low"))))</f>
        <v>Very Low</v>
      </c>
    </row>
    <row r="21" customFormat="false" ht="15" hidden="false" customHeight="false" outlineLevel="0" collapsed="false">
      <c r="A21" s="4" t="n">
        <v>18</v>
      </c>
      <c r="B21" s="20"/>
      <c r="C21" s="4" t="n">
        <f aca="false">IFERROR('3. Research Subject Matrix'!M22,0)</f>
        <v>0</v>
      </c>
      <c r="D21" s="4" t="n">
        <f aca="false">IFERROR('3. Research Subject Matrix'!N22,0)</f>
        <v>0</v>
      </c>
      <c r="E21" s="32" t="n">
        <f aca="false">IFERROR(IF(C21&gt;0,-SUMPRODUCT(IF('3. Research Subject Matrix'!B22:L22&gt;0,('3. Research Subject Matrix'!B22:L22/C21)*LOG('3. Research Subject Matrix'!B22:L22/C21,2),0)),0),0)</f>
        <v>0</v>
      </c>
      <c r="F21" s="32" t="n">
        <f aca="false">IF(D21&gt;1,LOG(D21,2),0)</f>
        <v>0</v>
      </c>
      <c r="G21" s="33" t="n">
        <f aca="false">IFERROR(IF(F21&gt;0,E21/F21,0),0)</f>
        <v>0</v>
      </c>
      <c r="H21" s="25" t="n">
        <f aca="false">IFERROR(IF(MAX($E$4:$E$33)&gt;0,E21/MAX($E$4:$E$33)*100,0),0)</f>
        <v>0</v>
      </c>
      <c r="I21" s="16" t="str">
        <f aca="false">IF(H21&gt;=80,"Very High",IF(H21&gt;=60,"High",IF(H21&gt;=40,"Medium",IF(H21&gt;=20,"Low","Very Low"))))</f>
        <v>Very Low</v>
      </c>
    </row>
    <row r="22" customFormat="false" ht="15" hidden="false" customHeight="false" outlineLevel="0" collapsed="false">
      <c r="A22" s="7" t="n">
        <v>19</v>
      </c>
      <c r="B22" s="19"/>
      <c r="C22" s="7" t="n">
        <f aca="false">IFERROR('3. Research Subject Matrix'!M23,0)</f>
        <v>0</v>
      </c>
      <c r="D22" s="7" t="n">
        <f aca="false">IFERROR('3. Research Subject Matrix'!N23,0)</f>
        <v>0</v>
      </c>
      <c r="E22" s="30" t="n">
        <f aca="false">IFERROR(IF(C22&gt;0,-SUMPRODUCT(IF('3. Research Subject Matrix'!B23:L23&gt;0,('3. Research Subject Matrix'!B23:L23/C22)*LOG('3. Research Subject Matrix'!B23:L23/C22,2),0)),0),0)</f>
        <v>0</v>
      </c>
      <c r="F22" s="30" t="n">
        <f aca="false">IF(D22&gt;1,LOG(D22,2),0)</f>
        <v>0</v>
      </c>
      <c r="G22" s="31" t="n">
        <f aca="false">IFERROR(IF(F22&gt;0,E22/F22,0),0)</f>
        <v>0</v>
      </c>
      <c r="H22" s="26" t="n">
        <f aca="false">IFERROR(IF(MAX($E$4:$E$33)&gt;0,E22/MAX($E$4:$E$33)*100,0),0)</f>
        <v>0</v>
      </c>
      <c r="I22" s="15" t="str">
        <f aca="false">IF(H22&gt;=80,"Very High",IF(H22&gt;=60,"High",IF(H22&gt;=40,"Medium",IF(H22&gt;=20,"Low","Very Low"))))</f>
        <v>Very Low</v>
      </c>
    </row>
    <row r="23" customFormat="false" ht="15" hidden="false" customHeight="false" outlineLevel="0" collapsed="false">
      <c r="A23" s="4" t="n">
        <v>20</v>
      </c>
      <c r="B23" s="20"/>
      <c r="C23" s="4" t="n">
        <f aca="false">IFERROR('3. Research Subject Matrix'!M24,0)</f>
        <v>0</v>
      </c>
      <c r="D23" s="4" t="n">
        <f aca="false">IFERROR('3. Research Subject Matrix'!N24,0)</f>
        <v>0</v>
      </c>
      <c r="E23" s="32" t="n">
        <f aca="false">IFERROR(IF(C23&gt;0,-SUMPRODUCT(IF('3. Research Subject Matrix'!B24:L24&gt;0,('3. Research Subject Matrix'!B24:L24/C23)*LOG('3. Research Subject Matrix'!B24:L24/C23,2),0)),0),0)</f>
        <v>0</v>
      </c>
      <c r="F23" s="32" t="n">
        <f aca="false">IF(D23&gt;1,LOG(D23,2),0)</f>
        <v>0</v>
      </c>
      <c r="G23" s="33" t="n">
        <f aca="false">IFERROR(IF(F23&gt;0,E23/F23,0),0)</f>
        <v>0</v>
      </c>
      <c r="H23" s="25" t="n">
        <f aca="false">IFERROR(IF(MAX($E$4:$E$33)&gt;0,E23/MAX($E$4:$E$33)*100,0),0)</f>
        <v>0</v>
      </c>
      <c r="I23" s="16" t="str">
        <f aca="false">IF(H23&gt;=80,"Very High",IF(H23&gt;=60,"High",IF(H23&gt;=40,"Medium",IF(H23&gt;=20,"Low","Very Low"))))</f>
        <v>Very Low</v>
      </c>
    </row>
    <row r="24" customFormat="false" ht="15" hidden="false" customHeight="false" outlineLevel="0" collapsed="false">
      <c r="A24" s="7" t="n">
        <v>21</v>
      </c>
      <c r="B24" s="19"/>
      <c r="C24" s="7" t="n">
        <f aca="false">IFERROR('3. Research Subject Matrix'!M25,0)</f>
        <v>0</v>
      </c>
      <c r="D24" s="7" t="n">
        <f aca="false">IFERROR('3. Research Subject Matrix'!N25,0)</f>
        <v>0</v>
      </c>
      <c r="E24" s="30" t="n">
        <f aca="false">IFERROR(IF(C24&gt;0,-SUMPRODUCT(IF('3. Research Subject Matrix'!B25:L25&gt;0,('3. Research Subject Matrix'!B25:L25/C24)*LOG('3. Research Subject Matrix'!B25:L25/C24,2),0)),0),0)</f>
        <v>0</v>
      </c>
      <c r="F24" s="30" t="n">
        <f aca="false">IF(D24&gt;1,LOG(D24,2),0)</f>
        <v>0</v>
      </c>
      <c r="G24" s="31" t="n">
        <f aca="false">IFERROR(IF(F24&gt;0,E24/F24,0),0)</f>
        <v>0</v>
      </c>
      <c r="H24" s="26" t="n">
        <f aca="false">IFERROR(IF(MAX($E$4:$E$33)&gt;0,E24/MAX($E$4:$E$33)*100,0),0)</f>
        <v>0</v>
      </c>
      <c r="I24" s="15" t="str">
        <f aca="false">IF(H24&gt;=80,"Very High",IF(H24&gt;=60,"High",IF(H24&gt;=40,"Medium",IF(H24&gt;=20,"Low","Very Low"))))</f>
        <v>Very Low</v>
      </c>
    </row>
    <row r="25" customFormat="false" ht="15" hidden="false" customHeight="false" outlineLevel="0" collapsed="false">
      <c r="A25" s="4" t="n">
        <v>22</v>
      </c>
      <c r="B25" s="20"/>
      <c r="C25" s="4" t="n">
        <f aca="false">IFERROR('3. Research Subject Matrix'!M26,0)</f>
        <v>0</v>
      </c>
      <c r="D25" s="4" t="n">
        <f aca="false">IFERROR('3. Research Subject Matrix'!N26,0)</f>
        <v>0</v>
      </c>
      <c r="E25" s="32" t="n">
        <f aca="false">IFERROR(IF(C25&gt;0,-SUMPRODUCT(IF('3. Research Subject Matrix'!B26:L26&gt;0,('3. Research Subject Matrix'!B26:L26/C25)*LOG('3. Research Subject Matrix'!B26:L26/C25,2),0)),0),0)</f>
        <v>0</v>
      </c>
      <c r="F25" s="32" t="n">
        <f aca="false">IF(D25&gt;1,LOG(D25,2),0)</f>
        <v>0</v>
      </c>
      <c r="G25" s="33" t="n">
        <f aca="false">IFERROR(IF(F25&gt;0,E25/F25,0),0)</f>
        <v>0</v>
      </c>
      <c r="H25" s="25" t="n">
        <f aca="false">IFERROR(IF(MAX($E$4:$E$33)&gt;0,E25/MAX($E$4:$E$33)*100,0),0)</f>
        <v>0</v>
      </c>
      <c r="I25" s="16" t="str">
        <f aca="false">IF(H25&gt;=80,"Very High",IF(H25&gt;=60,"High",IF(H25&gt;=40,"Medium",IF(H25&gt;=20,"Low","Very Low"))))</f>
        <v>Very Low</v>
      </c>
    </row>
    <row r="26" customFormat="false" ht="15" hidden="false" customHeight="false" outlineLevel="0" collapsed="false">
      <c r="A26" s="7" t="n">
        <v>23</v>
      </c>
      <c r="B26" s="19"/>
      <c r="C26" s="7" t="n">
        <f aca="false">IFERROR('3. Research Subject Matrix'!M27,0)</f>
        <v>0</v>
      </c>
      <c r="D26" s="7" t="n">
        <f aca="false">IFERROR('3. Research Subject Matrix'!N27,0)</f>
        <v>0</v>
      </c>
      <c r="E26" s="30" t="n">
        <f aca="false">IFERROR(IF(C26&gt;0,-SUMPRODUCT(IF('3. Research Subject Matrix'!B27:L27&gt;0,('3. Research Subject Matrix'!B27:L27/C26)*LOG('3. Research Subject Matrix'!B27:L27/C26,2),0)),0),0)</f>
        <v>0</v>
      </c>
      <c r="F26" s="30" t="n">
        <f aca="false">IF(D26&gt;1,LOG(D26,2),0)</f>
        <v>0</v>
      </c>
      <c r="G26" s="31" t="n">
        <f aca="false">IFERROR(IF(F26&gt;0,E26/F26,0),0)</f>
        <v>0</v>
      </c>
      <c r="H26" s="26" t="n">
        <f aca="false">IFERROR(IF(MAX($E$4:$E$33)&gt;0,E26/MAX($E$4:$E$33)*100,0),0)</f>
        <v>0</v>
      </c>
      <c r="I26" s="15" t="str">
        <f aca="false">IF(H26&gt;=80,"Very High",IF(H26&gt;=60,"High",IF(H26&gt;=40,"Medium",IF(H26&gt;=20,"Low","Very Low"))))</f>
        <v>Very Low</v>
      </c>
    </row>
    <row r="27" customFormat="false" ht="15" hidden="false" customHeight="false" outlineLevel="0" collapsed="false">
      <c r="A27" s="4" t="n">
        <v>24</v>
      </c>
      <c r="B27" s="20"/>
      <c r="C27" s="4" t="n">
        <f aca="false">IFERROR('3. Research Subject Matrix'!M28,0)</f>
        <v>0</v>
      </c>
      <c r="D27" s="4" t="n">
        <f aca="false">IFERROR('3. Research Subject Matrix'!N28,0)</f>
        <v>0</v>
      </c>
      <c r="E27" s="32" t="n">
        <f aca="false">IFERROR(IF(C27&gt;0,-SUMPRODUCT(IF('3. Research Subject Matrix'!B28:L28&gt;0,('3. Research Subject Matrix'!B28:L28/C27)*LOG('3. Research Subject Matrix'!B28:L28/C27,2),0)),0),0)</f>
        <v>0</v>
      </c>
      <c r="F27" s="32" t="n">
        <f aca="false">IF(D27&gt;1,LOG(D27,2),0)</f>
        <v>0</v>
      </c>
      <c r="G27" s="33" t="n">
        <f aca="false">IFERROR(IF(F27&gt;0,E27/F27,0),0)</f>
        <v>0</v>
      </c>
      <c r="H27" s="25" t="n">
        <f aca="false">IFERROR(IF(MAX($E$4:$E$33)&gt;0,E27/MAX($E$4:$E$33)*100,0),0)</f>
        <v>0</v>
      </c>
      <c r="I27" s="16" t="str">
        <f aca="false">IF(H27&gt;=80,"Very High",IF(H27&gt;=60,"High",IF(H27&gt;=40,"Medium",IF(H27&gt;=20,"Low","Very Low"))))</f>
        <v>Very Low</v>
      </c>
    </row>
    <row r="28" customFormat="false" ht="15" hidden="false" customHeight="false" outlineLevel="0" collapsed="false">
      <c r="A28" s="7" t="n">
        <v>25</v>
      </c>
      <c r="B28" s="19"/>
      <c r="C28" s="7" t="n">
        <f aca="false">IFERROR('3. Research Subject Matrix'!M29,0)</f>
        <v>0</v>
      </c>
      <c r="D28" s="7" t="n">
        <f aca="false">IFERROR('3. Research Subject Matrix'!N29,0)</f>
        <v>0</v>
      </c>
      <c r="E28" s="30" t="n">
        <f aca="false">IFERROR(IF(C28&gt;0,-SUMPRODUCT(IF('3. Research Subject Matrix'!B29:L29&gt;0,('3. Research Subject Matrix'!B29:L29/C28)*LOG('3. Research Subject Matrix'!B29:L29/C28,2),0)),0),0)</f>
        <v>0</v>
      </c>
      <c r="F28" s="30" t="n">
        <f aca="false">IF(D28&gt;1,LOG(D28,2),0)</f>
        <v>0</v>
      </c>
      <c r="G28" s="31" t="n">
        <f aca="false">IFERROR(IF(F28&gt;0,E28/F28,0),0)</f>
        <v>0</v>
      </c>
      <c r="H28" s="26" t="n">
        <f aca="false">IFERROR(IF(MAX($E$4:$E$33)&gt;0,E28/MAX($E$4:$E$33)*100,0),0)</f>
        <v>0</v>
      </c>
      <c r="I28" s="15" t="str">
        <f aca="false">IF(H28&gt;=80,"Very High",IF(H28&gt;=60,"High",IF(H28&gt;=40,"Medium",IF(H28&gt;=20,"Low","Very Low"))))</f>
        <v>Very Low</v>
      </c>
    </row>
    <row r="29" customFormat="false" ht="15" hidden="false" customHeight="false" outlineLevel="0" collapsed="false">
      <c r="A29" s="4" t="n">
        <v>26</v>
      </c>
      <c r="B29" s="20"/>
      <c r="C29" s="4" t="n">
        <f aca="false">IFERROR('3. Research Subject Matrix'!M30,0)</f>
        <v>0</v>
      </c>
      <c r="D29" s="4" t="n">
        <f aca="false">IFERROR('3. Research Subject Matrix'!N30,0)</f>
        <v>0</v>
      </c>
      <c r="E29" s="32" t="n">
        <f aca="false">IFERROR(IF(C29&gt;0,-SUMPRODUCT(IF('3. Research Subject Matrix'!B30:L30&gt;0,('3. Research Subject Matrix'!B30:L30/C29)*LOG('3. Research Subject Matrix'!B30:L30/C29,2),0)),0),0)</f>
        <v>0</v>
      </c>
      <c r="F29" s="32" t="n">
        <f aca="false">IF(D29&gt;1,LOG(D29,2),0)</f>
        <v>0</v>
      </c>
      <c r="G29" s="33" t="n">
        <f aca="false">IFERROR(IF(F29&gt;0,E29/F29,0),0)</f>
        <v>0</v>
      </c>
      <c r="H29" s="25" t="n">
        <f aca="false">IFERROR(IF(MAX($E$4:$E$33)&gt;0,E29/MAX($E$4:$E$33)*100,0),0)</f>
        <v>0</v>
      </c>
      <c r="I29" s="16" t="str">
        <f aca="false">IF(H29&gt;=80,"Very High",IF(H29&gt;=60,"High",IF(H29&gt;=40,"Medium",IF(H29&gt;=20,"Low","Very Low"))))</f>
        <v>Very Low</v>
      </c>
    </row>
    <row r="30" customFormat="false" ht="15" hidden="false" customHeight="false" outlineLevel="0" collapsed="false">
      <c r="A30" s="7" t="n">
        <v>27</v>
      </c>
      <c r="B30" s="19"/>
      <c r="C30" s="7" t="n">
        <f aca="false">IFERROR('3. Research Subject Matrix'!M31,0)</f>
        <v>0</v>
      </c>
      <c r="D30" s="7" t="n">
        <f aca="false">IFERROR('3. Research Subject Matrix'!N31,0)</f>
        <v>0</v>
      </c>
      <c r="E30" s="30" t="n">
        <f aca="false">IFERROR(IF(C30&gt;0,-SUMPRODUCT(IF('3. Research Subject Matrix'!B31:L31&gt;0,('3. Research Subject Matrix'!B31:L31/C30)*LOG('3. Research Subject Matrix'!B31:L31/C30,2),0)),0),0)</f>
        <v>0</v>
      </c>
      <c r="F30" s="30" t="n">
        <f aca="false">IF(D30&gt;1,LOG(D30,2),0)</f>
        <v>0</v>
      </c>
      <c r="G30" s="31" t="n">
        <f aca="false">IFERROR(IF(F30&gt;0,E30/F30,0),0)</f>
        <v>0</v>
      </c>
      <c r="H30" s="26" t="n">
        <f aca="false">IFERROR(IF(MAX($E$4:$E$33)&gt;0,E30/MAX($E$4:$E$33)*100,0),0)</f>
        <v>0</v>
      </c>
      <c r="I30" s="15" t="str">
        <f aca="false">IF(H30&gt;=80,"Very High",IF(H30&gt;=60,"High",IF(H30&gt;=40,"Medium",IF(H30&gt;=20,"Low","Very Low"))))</f>
        <v>Very Low</v>
      </c>
    </row>
    <row r="31" customFormat="false" ht="15" hidden="false" customHeight="false" outlineLevel="0" collapsed="false">
      <c r="A31" s="4" t="n">
        <v>28</v>
      </c>
      <c r="B31" s="20"/>
      <c r="C31" s="4" t="n">
        <f aca="false">IFERROR('3. Research Subject Matrix'!M32,0)</f>
        <v>0</v>
      </c>
      <c r="D31" s="4" t="n">
        <f aca="false">IFERROR('3. Research Subject Matrix'!N32,0)</f>
        <v>0</v>
      </c>
      <c r="E31" s="32" t="n">
        <f aca="false">IFERROR(IF(C31&gt;0,-SUMPRODUCT(IF('3. Research Subject Matrix'!B32:L32&gt;0,('3. Research Subject Matrix'!B32:L32/C31)*LOG('3. Research Subject Matrix'!B32:L32/C31,2),0)),0),0)</f>
        <v>0</v>
      </c>
      <c r="F31" s="32" t="n">
        <f aca="false">IF(D31&gt;1,LOG(D31,2),0)</f>
        <v>0</v>
      </c>
      <c r="G31" s="33" t="n">
        <f aca="false">IFERROR(IF(F31&gt;0,E31/F31,0),0)</f>
        <v>0</v>
      </c>
      <c r="H31" s="25" t="n">
        <f aca="false">IFERROR(IF(MAX($E$4:$E$33)&gt;0,E31/MAX($E$4:$E$33)*100,0),0)</f>
        <v>0</v>
      </c>
      <c r="I31" s="16" t="str">
        <f aca="false">IF(H31&gt;=80,"Very High",IF(H31&gt;=60,"High",IF(H31&gt;=40,"Medium",IF(H31&gt;=20,"Low","Very Low"))))</f>
        <v>Very Low</v>
      </c>
    </row>
    <row r="32" customFormat="false" ht="15" hidden="false" customHeight="false" outlineLevel="0" collapsed="false">
      <c r="A32" s="7" t="n">
        <v>29</v>
      </c>
      <c r="B32" s="19"/>
      <c r="C32" s="7" t="n">
        <f aca="false">IFERROR('3. Research Subject Matrix'!M33,0)</f>
        <v>0</v>
      </c>
      <c r="D32" s="7" t="n">
        <f aca="false">IFERROR('3. Research Subject Matrix'!N33,0)</f>
        <v>0</v>
      </c>
      <c r="E32" s="30" t="n">
        <f aca="false">IFERROR(IF(C32&gt;0,-SUMPRODUCT(IF('3. Research Subject Matrix'!B33:L33&gt;0,('3. Research Subject Matrix'!B33:L33/C32)*LOG('3. Research Subject Matrix'!B33:L33/C32,2),0)),0),0)</f>
        <v>0</v>
      </c>
      <c r="F32" s="30" t="n">
        <f aca="false">IF(D32&gt;1,LOG(D32,2),0)</f>
        <v>0</v>
      </c>
      <c r="G32" s="31" t="n">
        <f aca="false">IFERROR(IF(F32&gt;0,E32/F32,0),0)</f>
        <v>0</v>
      </c>
      <c r="H32" s="26" t="n">
        <f aca="false">IFERROR(IF(MAX($E$4:$E$33)&gt;0,E32/MAX($E$4:$E$33)*100,0),0)</f>
        <v>0</v>
      </c>
      <c r="I32" s="15" t="str">
        <f aca="false">IF(H32&gt;=80,"Very High",IF(H32&gt;=60,"High",IF(H32&gt;=40,"Medium",IF(H32&gt;=20,"Low","Very Low"))))</f>
        <v>Very Low</v>
      </c>
    </row>
    <row r="33" customFormat="false" ht="15" hidden="false" customHeight="false" outlineLevel="0" collapsed="false">
      <c r="A33" s="4" t="n">
        <v>30</v>
      </c>
      <c r="B33" s="20"/>
      <c r="C33" s="4" t="n">
        <f aca="false">IFERROR('3. Research Subject Matrix'!M34,0)</f>
        <v>0</v>
      </c>
      <c r="D33" s="4" t="n">
        <f aca="false">IFERROR('3. Research Subject Matrix'!N34,0)</f>
        <v>0</v>
      </c>
      <c r="E33" s="32" t="n">
        <f aca="false">IFERROR(IF(C33&gt;0,-SUMPRODUCT(IF('3. Research Subject Matrix'!B34:L34&gt;0,('3. Research Subject Matrix'!B34:L34/C33)*LOG('3. Research Subject Matrix'!B34:L34/C33,2),0)),0),0)</f>
        <v>0</v>
      </c>
      <c r="F33" s="32" t="n">
        <f aca="false">IF(D33&gt;1,LOG(D33,2),0)</f>
        <v>0</v>
      </c>
      <c r="G33" s="33" t="n">
        <f aca="false">IFERROR(IF(F33&gt;0,E33/F33,0),0)</f>
        <v>0</v>
      </c>
      <c r="H33" s="25" t="n">
        <f aca="false">IFERROR(IF(MAX($E$4:$E$33)&gt;0,E33/MAX($E$4:$E$33)*100,0),0)</f>
        <v>0</v>
      </c>
      <c r="I33" s="16" t="str">
        <f aca="false">IF(H33&gt;=80,"Very High",IF(H33&gt;=60,"High",IF(H33&gt;=40,"Medium",IF(H33&gt;=20,"Low","Very Low"))))</f>
        <v>Very Low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8" min="5" style="0" width="20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34" t="s">
        <v>511</v>
      </c>
      <c r="B1" s="34"/>
      <c r="C1" s="34"/>
      <c r="D1" s="34"/>
      <c r="E1" s="34"/>
      <c r="F1" s="34"/>
      <c r="G1" s="34"/>
      <c r="H1" s="34"/>
      <c r="I1" s="34"/>
    </row>
    <row r="2" customFormat="false" ht="25.5" hidden="false" customHeight="true" outlineLevel="0" collapsed="false">
      <c r="A2" s="35" t="s">
        <v>512</v>
      </c>
      <c r="B2" s="35"/>
      <c r="C2" s="35"/>
      <c r="D2" s="35"/>
      <c r="E2" s="35"/>
      <c r="F2" s="35"/>
      <c r="G2" s="35"/>
      <c r="H2" s="35"/>
      <c r="I2" s="35"/>
    </row>
    <row r="3" customFormat="false" ht="23.85" hidden="false" customHeight="false" outlineLevel="0" collapsed="false">
      <c r="A3" s="36" t="s">
        <v>503</v>
      </c>
      <c r="B3" s="36" t="s">
        <v>84</v>
      </c>
      <c r="C3" s="36" t="s">
        <v>513</v>
      </c>
      <c r="D3" s="36" t="s">
        <v>505</v>
      </c>
      <c r="E3" s="36" t="s">
        <v>506</v>
      </c>
      <c r="F3" s="36" t="s">
        <v>507</v>
      </c>
      <c r="G3" s="36" t="s">
        <v>508</v>
      </c>
      <c r="H3" s="36" t="s">
        <v>509</v>
      </c>
      <c r="I3" s="36" t="s">
        <v>510</v>
      </c>
    </row>
    <row r="4" customFormat="false" ht="15" hidden="false" customHeight="false" outlineLevel="0" collapsed="false">
      <c r="A4" s="7" t="n">
        <v>1</v>
      </c>
      <c r="B4" s="19"/>
      <c r="C4" s="7" t="n">
        <f aca="false">IFERROR('4. Teaching Subject Matrix'!M5,0)</f>
        <v>0</v>
      </c>
      <c r="D4" s="7" t="n">
        <f aca="false">IFERROR('4. Teaching Subject Matrix'!N5,0)</f>
        <v>0</v>
      </c>
      <c r="E4" s="30" t="n">
        <f aca="false">IFERROR(IF(C4&gt;0,-SUMPRODUCT(IF('4. Teaching Subject Matrix'!B5:L5&gt;0,('4. Teaching Subject Matrix'!B5:L5/C4)*LOG('4. Teaching Subject Matrix'!B5:L5/C4,2),0)),0),0)</f>
        <v>0</v>
      </c>
      <c r="F4" s="30" t="n">
        <f aca="false">IF(D4&gt;1,LOG(D4,2),0)</f>
        <v>0</v>
      </c>
      <c r="G4" s="31" t="n">
        <f aca="false">IFERROR(IF(F4&gt;0,E4/F4,0),0)</f>
        <v>0</v>
      </c>
      <c r="H4" s="26" t="n">
        <f aca="false">IFERROR(IF(MAX($E$4:$E$33)&gt;0,E4/MAX($E$4:$E$33)*100,0),0)</f>
        <v>0</v>
      </c>
      <c r="I4" s="15" t="str">
        <f aca="false">IF(H4&gt;=80,"Very High",IF(H4&gt;=60,"High",IF(H4&gt;=40,"Medium",IF(H4&gt;=20,"Low","Very Low"))))</f>
        <v>Very Low</v>
      </c>
    </row>
    <row r="5" customFormat="false" ht="15" hidden="false" customHeight="false" outlineLevel="0" collapsed="false">
      <c r="A5" s="4" t="n">
        <v>2</v>
      </c>
      <c r="B5" s="20"/>
      <c r="C5" s="4" t="n">
        <f aca="false">IFERROR('4. Teaching Subject Matrix'!M6,0)</f>
        <v>0</v>
      </c>
      <c r="D5" s="4" t="n">
        <f aca="false">IFERROR('4. Teaching Subject Matrix'!N6,0)</f>
        <v>0</v>
      </c>
      <c r="E5" s="32" t="n">
        <f aca="false">IFERROR(IF(C5&gt;0,-SUMPRODUCT(IF('4. Teaching Subject Matrix'!B6:L6&gt;0,('4. Teaching Subject Matrix'!B6:L6/C5)*LOG('4. Teaching Subject Matrix'!B6:L6/C5,2),0)),0),0)</f>
        <v>0</v>
      </c>
      <c r="F5" s="32" t="n">
        <f aca="false">IF(D5&gt;1,LOG(D5,2),0)</f>
        <v>0</v>
      </c>
      <c r="G5" s="33" t="n">
        <f aca="false">IFERROR(IF(F5&gt;0,E5/F5,0),0)</f>
        <v>0</v>
      </c>
      <c r="H5" s="25" t="n">
        <f aca="false">IFERROR(IF(MAX($E$4:$E$33)&gt;0,E5/MAX($E$4:$E$33)*100,0),0)</f>
        <v>0</v>
      </c>
      <c r="I5" s="16" t="str">
        <f aca="false">IF(H5&gt;=80,"Very High",IF(H5&gt;=60,"High",IF(H5&gt;=40,"Medium",IF(H5&gt;=20,"Low","Very Low"))))</f>
        <v>Very Low</v>
      </c>
    </row>
    <row r="6" customFormat="false" ht="15" hidden="false" customHeight="false" outlineLevel="0" collapsed="false">
      <c r="A6" s="7" t="n">
        <v>3</v>
      </c>
      <c r="B6" s="19"/>
      <c r="C6" s="7" t="n">
        <f aca="false">IFERROR('4. Teaching Subject Matrix'!M7,0)</f>
        <v>0</v>
      </c>
      <c r="D6" s="7" t="n">
        <f aca="false">IFERROR('4. Teaching Subject Matrix'!N7,0)</f>
        <v>0</v>
      </c>
      <c r="E6" s="30" t="n">
        <f aca="false">IFERROR(IF(C6&gt;0,-SUMPRODUCT(IF('4. Teaching Subject Matrix'!B7:L7&gt;0,('4. Teaching Subject Matrix'!B7:L7/C6)*LOG('4. Teaching Subject Matrix'!B7:L7/C6,2),0)),0),0)</f>
        <v>0</v>
      </c>
      <c r="F6" s="30" t="n">
        <f aca="false">IF(D6&gt;1,LOG(D6,2),0)</f>
        <v>0</v>
      </c>
      <c r="G6" s="31" t="n">
        <f aca="false">IFERROR(IF(F6&gt;0,E6/F6,0),0)</f>
        <v>0</v>
      </c>
      <c r="H6" s="26" t="n">
        <f aca="false">IFERROR(IF(MAX($E$4:$E$33)&gt;0,E6/MAX($E$4:$E$33)*100,0),0)</f>
        <v>0</v>
      </c>
      <c r="I6" s="15" t="str">
        <f aca="false">IF(H6&gt;=80,"Very High",IF(H6&gt;=60,"High",IF(H6&gt;=40,"Medium",IF(H6&gt;=20,"Low","Very Low"))))</f>
        <v>Very Low</v>
      </c>
    </row>
    <row r="7" customFormat="false" ht="15" hidden="false" customHeight="false" outlineLevel="0" collapsed="false">
      <c r="A7" s="4" t="n">
        <v>4</v>
      </c>
      <c r="B7" s="20"/>
      <c r="C7" s="4" t="n">
        <f aca="false">IFERROR('4. Teaching Subject Matrix'!M8,0)</f>
        <v>0</v>
      </c>
      <c r="D7" s="4" t="n">
        <f aca="false">IFERROR('4. Teaching Subject Matrix'!N8,0)</f>
        <v>0</v>
      </c>
      <c r="E7" s="32" t="n">
        <f aca="false">IFERROR(IF(C7&gt;0,-SUMPRODUCT(IF('4. Teaching Subject Matrix'!B8:L8&gt;0,('4. Teaching Subject Matrix'!B8:L8/C7)*LOG('4. Teaching Subject Matrix'!B8:L8/C7,2),0)),0),0)</f>
        <v>0</v>
      </c>
      <c r="F7" s="32" t="n">
        <f aca="false">IF(D7&gt;1,LOG(D7,2),0)</f>
        <v>0</v>
      </c>
      <c r="G7" s="33" t="n">
        <f aca="false">IFERROR(IF(F7&gt;0,E7/F7,0),0)</f>
        <v>0</v>
      </c>
      <c r="H7" s="25" t="n">
        <f aca="false">IFERROR(IF(MAX($E$4:$E$33)&gt;0,E7/MAX($E$4:$E$33)*100,0),0)</f>
        <v>0</v>
      </c>
      <c r="I7" s="16" t="str">
        <f aca="false">IF(H7&gt;=80,"Very High",IF(H7&gt;=60,"High",IF(H7&gt;=40,"Medium",IF(H7&gt;=20,"Low","Very Low"))))</f>
        <v>Very Low</v>
      </c>
    </row>
    <row r="8" customFormat="false" ht="15" hidden="false" customHeight="false" outlineLevel="0" collapsed="false">
      <c r="A8" s="7" t="n">
        <v>5</v>
      </c>
      <c r="B8" s="19"/>
      <c r="C8" s="7" t="n">
        <f aca="false">IFERROR('4. Teaching Subject Matrix'!M9,0)</f>
        <v>0</v>
      </c>
      <c r="D8" s="7" t="n">
        <f aca="false">IFERROR('4. Teaching Subject Matrix'!N9,0)</f>
        <v>0</v>
      </c>
      <c r="E8" s="30" t="n">
        <f aca="false">IFERROR(IF(C8&gt;0,-SUMPRODUCT(IF('4. Teaching Subject Matrix'!B9:L9&gt;0,('4. Teaching Subject Matrix'!B9:L9/C8)*LOG('4. Teaching Subject Matrix'!B9:L9/C8,2),0)),0),0)</f>
        <v>0</v>
      </c>
      <c r="F8" s="30" t="n">
        <f aca="false">IF(D8&gt;1,LOG(D8,2),0)</f>
        <v>0</v>
      </c>
      <c r="G8" s="31" t="n">
        <f aca="false">IFERROR(IF(F8&gt;0,E8/F8,0),0)</f>
        <v>0</v>
      </c>
      <c r="H8" s="26" t="n">
        <f aca="false">IFERROR(IF(MAX($E$4:$E$33)&gt;0,E8/MAX($E$4:$E$33)*100,0),0)</f>
        <v>0</v>
      </c>
      <c r="I8" s="15" t="str">
        <f aca="false">IF(H8&gt;=80,"Very High",IF(H8&gt;=60,"High",IF(H8&gt;=40,"Medium",IF(H8&gt;=20,"Low","Very Low"))))</f>
        <v>Very Low</v>
      </c>
    </row>
    <row r="9" customFormat="false" ht="15" hidden="false" customHeight="false" outlineLevel="0" collapsed="false">
      <c r="A9" s="4" t="n">
        <v>6</v>
      </c>
      <c r="B9" s="20"/>
      <c r="C9" s="4" t="n">
        <f aca="false">IFERROR('4. Teaching Subject Matrix'!M10,0)</f>
        <v>0</v>
      </c>
      <c r="D9" s="4" t="n">
        <f aca="false">IFERROR('4. Teaching Subject Matrix'!N10,0)</f>
        <v>0</v>
      </c>
      <c r="E9" s="32" t="n">
        <f aca="false">IFERROR(IF(C9&gt;0,-SUMPRODUCT(IF('4. Teaching Subject Matrix'!B10:L10&gt;0,('4. Teaching Subject Matrix'!B10:L10/C9)*LOG('4. Teaching Subject Matrix'!B10:L10/C9,2),0)),0),0)</f>
        <v>0</v>
      </c>
      <c r="F9" s="32" t="n">
        <f aca="false">IF(D9&gt;1,LOG(D9,2),0)</f>
        <v>0</v>
      </c>
      <c r="G9" s="33" t="n">
        <f aca="false">IFERROR(IF(F9&gt;0,E9/F9,0),0)</f>
        <v>0</v>
      </c>
      <c r="H9" s="25" t="n">
        <f aca="false">IFERROR(IF(MAX($E$4:$E$33)&gt;0,E9/MAX($E$4:$E$33)*100,0),0)</f>
        <v>0</v>
      </c>
      <c r="I9" s="16" t="str">
        <f aca="false">IF(H9&gt;=80,"Very High",IF(H9&gt;=60,"High",IF(H9&gt;=40,"Medium",IF(H9&gt;=20,"Low","Very Low"))))</f>
        <v>Very Low</v>
      </c>
    </row>
    <row r="10" customFormat="false" ht="15" hidden="false" customHeight="false" outlineLevel="0" collapsed="false">
      <c r="A10" s="7" t="n">
        <v>7</v>
      </c>
      <c r="B10" s="19"/>
      <c r="C10" s="7" t="n">
        <f aca="false">IFERROR('4. Teaching Subject Matrix'!M11,0)</f>
        <v>0</v>
      </c>
      <c r="D10" s="7" t="n">
        <f aca="false">IFERROR('4. Teaching Subject Matrix'!N11,0)</f>
        <v>0</v>
      </c>
      <c r="E10" s="30" t="n">
        <f aca="false">IFERROR(IF(C10&gt;0,-SUMPRODUCT(IF('4. Teaching Subject Matrix'!B11:L11&gt;0,('4. Teaching Subject Matrix'!B11:L11/C10)*LOG('4. Teaching Subject Matrix'!B11:L11/C10,2),0)),0),0)</f>
        <v>0</v>
      </c>
      <c r="F10" s="30" t="n">
        <f aca="false">IF(D10&gt;1,LOG(D10,2),0)</f>
        <v>0</v>
      </c>
      <c r="G10" s="31" t="n">
        <f aca="false">IFERROR(IF(F10&gt;0,E10/F10,0),0)</f>
        <v>0</v>
      </c>
      <c r="H10" s="26" t="n">
        <f aca="false">IFERROR(IF(MAX($E$4:$E$33)&gt;0,E10/MAX($E$4:$E$33)*100,0),0)</f>
        <v>0</v>
      </c>
      <c r="I10" s="15" t="str">
        <f aca="false">IF(H10&gt;=80,"Very High",IF(H10&gt;=60,"High",IF(H10&gt;=40,"Medium",IF(H10&gt;=20,"Low","Very Low"))))</f>
        <v>Very Low</v>
      </c>
    </row>
    <row r="11" customFormat="false" ht="15" hidden="false" customHeight="false" outlineLevel="0" collapsed="false">
      <c r="A11" s="4" t="n">
        <v>8</v>
      </c>
      <c r="B11" s="20"/>
      <c r="C11" s="4" t="n">
        <f aca="false">IFERROR('4. Teaching Subject Matrix'!M12,0)</f>
        <v>0</v>
      </c>
      <c r="D11" s="4" t="n">
        <f aca="false">IFERROR('4. Teaching Subject Matrix'!N12,0)</f>
        <v>0</v>
      </c>
      <c r="E11" s="32" t="n">
        <f aca="false">IFERROR(IF(C11&gt;0,-SUMPRODUCT(IF('4. Teaching Subject Matrix'!B12:L12&gt;0,('4. Teaching Subject Matrix'!B12:L12/C11)*LOG('4. Teaching Subject Matrix'!B12:L12/C11,2),0)),0),0)</f>
        <v>0</v>
      </c>
      <c r="F11" s="32" t="n">
        <f aca="false">IF(D11&gt;1,LOG(D11,2),0)</f>
        <v>0</v>
      </c>
      <c r="G11" s="33" t="n">
        <f aca="false">IFERROR(IF(F11&gt;0,E11/F11,0),0)</f>
        <v>0</v>
      </c>
      <c r="H11" s="25" t="n">
        <f aca="false">IFERROR(IF(MAX($E$4:$E$33)&gt;0,E11/MAX($E$4:$E$33)*100,0),0)</f>
        <v>0</v>
      </c>
      <c r="I11" s="16" t="str">
        <f aca="false">IF(H11&gt;=80,"Very High",IF(H11&gt;=60,"High",IF(H11&gt;=40,"Medium",IF(H11&gt;=20,"Low","Very Low"))))</f>
        <v>Very Low</v>
      </c>
    </row>
    <row r="12" customFormat="false" ht="15" hidden="false" customHeight="false" outlineLevel="0" collapsed="false">
      <c r="A12" s="7" t="n">
        <v>9</v>
      </c>
      <c r="B12" s="19"/>
      <c r="C12" s="7" t="n">
        <f aca="false">IFERROR('4. Teaching Subject Matrix'!M13,0)</f>
        <v>0</v>
      </c>
      <c r="D12" s="7" t="n">
        <f aca="false">IFERROR('4. Teaching Subject Matrix'!N13,0)</f>
        <v>0</v>
      </c>
      <c r="E12" s="30" t="n">
        <f aca="false">IFERROR(IF(C12&gt;0,-SUMPRODUCT(IF('4. Teaching Subject Matrix'!B13:L13&gt;0,('4. Teaching Subject Matrix'!B13:L13/C12)*LOG('4. Teaching Subject Matrix'!B13:L13/C12,2),0)),0),0)</f>
        <v>0</v>
      </c>
      <c r="F12" s="30" t="n">
        <f aca="false">IF(D12&gt;1,LOG(D12,2),0)</f>
        <v>0</v>
      </c>
      <c r="G12" s="31" t="n">
        <f aca="false">IFERROR(IF(F12&gt;0,E12/F12,0),0)</f>
        <v>0</v>
      </c>
      <c r="H12" s="26" t="n">
        <f aca="false">IFERROR(IF(MAX($E$4:$E$33)&gt;0,E12/MAX($E$4:$E$33)*100,0),0)</f>
        <v>0</v>
      </c>
      <c r="I12" s="15" t="str">
        <f aca="false">IF(H12&gt;=80,"Very High",IF(H12&gt;=60,"High",IF(H12&gt;=40,"Medium",IF(H12&gt;=20,"Low","Very Low"))))</f>
        <v>Very Low</v>
      </c>
    </row>
    <row r="13" customFormat="false" ht="15" hidden="false" customHeight="false" outlineLevel="0" collapsed="false">
      <c r="A13" s="4" t="n">
        <v>10</v>
      </c>
      <c r="B13" s="20"/>
      <c r="C13" s="4" t="n">
        <f aca="false">IFERROR('4. Teaching Subject Matrix'!M14,0)</f>
        <v>0</v>
      </c>
      <c r="D13" s="4" t="n">
        <f aca="false">IFERROR('4. Teaching Subject Matrix'!N14,0)</f>
        <v>0</v>
      </c>
      <c r="E13" s="32" t="n">
        <f aca="false">IFERROR(IF(C13&gt;0,-SUMPRODUCT(IF('4. Teaching Subject Matrix'!B14:L14&gt;0,('4. Teaching Subject Matrix'!B14:L14/C13)*LOG('4. Teaching Subject Matrix'!B14:L14/C13,2),0)),0),0)</f>
        <v>0</v>
      </c>
      <c r="F13" s="32" t="n">
        <f aca="false">IF(D13&gt;1,LOG(D13,2),0)</f>
        <v>0</v>
      </c>
      <c r="G13" s="33" t="n">
        <f aca="false">IFERROR(IF(F13&gt;0,E13/F13,0),0)</f>
        <v>0</v>
      </c>
      <c r="H13" s="25" t="n">
        <f aca="false">IFERROR(IF(MAX($E$4:$E$33)&gt;0,E13/MAX($E$4:$E$33)*100,0),0)</f>
        <v>0</v>
      </c>
      <c r="I13" s="16" t="str">
        <f aca="false">IF(H13&gt;=80,"Very High",IF(H13&gt;=60,"High",IF(H13&gt;=40,"Medium",IF(H13&gt;=20,"Low","Very Low"))))</f>
        <v>Very Low</v>
      </c>
    </row>
    <row r="14" customFormat="false" ht="15" hidden="false" customHeight="false" outlineLevel="0" collapsed="false">
      <c r="A14" s="7" t="n">
        <v>11</v>
      </c>
      <c r="B14" s="19"/>
      <c r="C14" s="7" t="n">
        <f aca="false">IFERROR('4. Teaching Subject Matrix'!M15,0)</f>
        <v>0</v>
      </c>
      <c r="D14" s="7" t="n">
        <f aca="false">IFERROR('4. Teaching Subject Matrix'!N15,0)</f>
        <v>0</v>
      </c>
      <c r="E14" s="30" t="n">
        <f aca="false">IFERROR(IF(C14&gt;0,-SUMPRODUCT(IF('4. Teaching Subject Matrix'!B15:L15&gt;0,('4. Teaching Subject Matrix'!B15:L15/C14)*LOG('4. Teaching Subject Matrix'!B15:L15/C14,2),0)),0),0)</f>
        <v>0</v>
      </c>
      <c r="F14" s="30" t="n">
        <f aca="false">IF(D14&gt;1,LOG(D14,2),0)</f>
        <v>0</v>
      </c>
      <c r="G14" s="31" t="n">
        <f aca="false">IFERROR(IF(F14&gt;0,E14/F14,0),0)</f>
        <v>0</v>
      </c>
      <c r="H14" s="26" t="n">
        <f aca="false">IFERROR(IF(MAX($E$4:$E$33)&gt;0,E14/MAX($E$4:$E$33)*100,0),0)</f>
        <v>0</v>
      </c>
      <c r="I14" s="15" t="str">
        <f aca="false">IF(H14&gt;=80,"Very High",IF(H14&gt;=60,"High",IF(H14&gt;=40,"Medium",IF(H14&gt;=20,"Low","Very Low"))))</f>
        <v>Very Low</v>
      </c>
    </row>
    <row r="15" customFormat="false" ht="15" hidden="false" customHeight="false" outlineLevel="0" collapsed="false">
      <c r="A15" s="4" t="n">
        <v>12</v>
      </c>
      <c r="B15" s="20"/>
      <c r="C15" s="4" t="n">
        <f aca="false">IFERROR('4. Teaching Subject Matrix'!M16,0)</f>
        <v>0</v>
      </c>
      <c r="D15" s="4" t="n">
        <f aca="false">IFERROR('4. Teaching Subject Matrix'!N16,0)</f>
        <v>0</v>
      </c>
      <c r="E15" s="32" t="n">
        <f aca="false">IFERROR(IF(C15&gt;0,-SUMPRODUCT(IF('4. Teaching Subject Matrix'!B16:L16&gt;0,('4. Teaching Subject Matrix'!B16:L16/C15)*LOG('4. Teaching Subject Matrix'!B16:L16/C15,2),0)),0),0)</f>
        <v>0</v>
      </c>
      <c r="F15" s="32" t="n">
        <f aca="false">IF(D15&gt;1,LOG(D15,2),0)</f>
        <v>0</v>
      </c>
      <c r="G15" s="33" t="n">
        <f aca="false">IFERROR(IF(F15&gt;0,E15/F15,0),0)</f>
        <v>0</v>
      </c>
      <c r="H15" s="25" t="n">
        <f aca="false">IFERROR(IF(MAX($E$4:$E$33)&gt;0,E15/MAX($E$4:$E$33)*100,0),0)</f>
        <v>0</v>
      </c>
      <c r="I15" s="16" t="str">
        <f aca="false">IF(H15&gt;=80,"Very High",IF(H15&gt;=60,"High",IF(H15&gt;=40,"Medium",IF(H15&gt;=20,"Low","Very Low"))))</f>
        <v>Very Low</v>
      </c>
    </row>
    <row r="16" customFormat="false" ht="15" hidden="false" customHeight="false" outlineLevel="0" collapsed="false">
      <c r="A16" s="7" t="n">
        <v>13</v>
      </c>
      <c r="B16" s="19"/>
      <c r="C16" s="7" t="n">
        <f aca="false">IFERROR('4. Teaching Subject Matrix'!M17,0)</f>
        <v>0</v>
      </c>
      <c r="D16" s="7" t="n">
        <f aca="false">IFERROR('4. Teaching Subject Matrix'!N17,0)</f>
        <v>0</v>
      </c>
      <c r="E16" s="30" t="n">
        <f aca="false">IFERROR(IF(C16&gt;0,-SUMPRODUCT(IF('4. Teaching Subject Matrix'!B17:L17&gt;0,('4. Teaching Subject Matrix'!B17:L17/C16)*LOG('4. Teaching Subject Matrix'!B17:L17/C16,2),0)),0),0)</f>
        <v>0</v>
      </c>
      <c r="F16" s="30" t="n">
        <f aca="false">IF(D16&gt;1,LOG(D16,2),0)</f>
        <v>0</v>
      </c>
      <c r="G16" s="31" t="n">
        <f aca="false">IFERROR(IF(F16&gt;0,E16/F16,0),0)</f>
        <v>0</v>
      </c>
      <c r="H16" s="26" t="n">
        <f aca="false">IFERROR(IF(MAX($E$4:$E$33)&gt;0,E16/MAX($E$4:$E$33)*100,0),0)</f>
        <v>0</v>
      </c>
      <c r="I16" s="15" t="str">
        <f aca="false">IF(H16&gt;=80,"Very High",IF(H16&gt;=60,"High",IF(H16&gt;=40,"Medium",IF(H16&gt;=20,"Low","Very Low"))))</f>
        <v>Very Low</v>
      </c>
    </row>
    <row r="17" customFormat="false" ht="15" hidden="false" customHeight="false" outlineLevel="0" collapsed="false">
      <c r="A17" s="4" t="n">
        <v>14</v>
      </c>
      <c r="B17" s="20"/>
      <c r="C17" s="4" t="n">
        <f aca="false">IFERROR('4. Teaching Subject Matrix'!M18,0)</f>
        <v>0</v>
      </c>
      <c r="D17" s="4" t="n">
        <f aca="false">IFERROR('4. Teaching Subject Matrix'!N18,0)</f>
        <v>0</v>
      </c>
      <c r="E17" s="32" t="n">
        <f aca="false">IFERROR(IF(C17&gt;0,-SUMPRODUCT(IF('4. Teaching Subject Matrix'!B18:L18&gt;0,('4. Teaching Subject Matrix'!B18:L18/C17)*LOG('4. Teaching Subject Matrix'!B18:L18/C17,2),0)),0),0)</f>
        <v>0</v>
      </c>
      <c r="F17" s="32" t="n">
        <f aca="false">IF(D17&gt;1,LOG(D17,2),0)</f>
        <v>0</v>
      </c>
      <c r="G17" s="33" t="n">
        <f aca="false">IFERROR(IF(F17&gt;0,E17/F17,0),0)</f>
        <v>0</v>
      </c>
      <c r="H17" s="25" t="n">
        <f aca="false">IFERROR(IF(MAX($E$4:$E$33)&gt;0,E17/MAX($E$4:$E$33)*100,0),0)</f>
        <v>0</v>
      </c>
      <c r="I17" s="16" t="str">
        <f aca="false">IF(H17&gt;=80,"Very High",IF(H17&gt;=60,"High",IF(H17&gt;=40,"Medium",IF(H17&gt;=20,"Low","Very Low"))))</f>
        <v>Very Low</v>
      </c>
    </row>
    <row r="18" customFormat="false" ht="15" hidden="false" customHeight="false" outlineLevel="0" collapsed="false">
      <c r="A18" s="7" t="n">
        <v>15</v>
      </c>
      <c r="B18" s="19"/>
      <c r="C18" s="7" t="n">
        <f aca="false">IFERROR('4. Teaching Subject Matrix'!M19,0)</f>
        <v>0</v>
      </c>
      <c r="D18" s="7" t="n">
        <f aca="false">IFERROR('4. Teaching Subject Matrix'!N19,0)</f>
        <v>0</v>
      </c>
      <c r="E18" s="30" t="n">
        <f aca="false">IFERROR(IF(C18&gt;0,-SUMPRODUCT(IF('4. Teaching Subject Matrix'!B19:L19&gt;0,('4. Teaching Subject Matrix'!B19:L19/C18)*LOG('4. Teaching Subject Matrix'!B19:L19/C18,2),0)),0),0)</f>
        <v>0</v>
      </c>
      <c r="F18" s="30" t="n">
        <f aca="false">IF(D18&gt;1,LOG(D18,2),0)</f>
        <v>0</v>
      </c>
      <c r="G18" s="31" t="n">
        <f aca="false">IFERROR(IF(F18&gt;0,E18/F18,0),0)</f>
        <v>0</v>
      </c>
      <c r="H18" s="26" t="n">
        <f aca="false">IFERROR(IF(MAX($E$4:$E$33)&gt;0,E18/MAX($E$4:$E$33)*100,0),0)</f>
        <v>0</v>
      </c>
      <c r="I18" s="15" t="str">
        <f aca="false">IF(H18&gt;=80,"Very High",IF(H18&gt;=60,"High",IF(H18&gt;=40,"Medium",IF(H18&gt;=20,"Low","Very Low"))))</f>
        <v>Very Low</v>
      </c>
    </row>
    <row r="19" customFormat="false" ht="15" hidden="false" customHeight="false" outlineLevel="0" collapsed="false">
      <c r="A19" s="4" t="n">
        <v>16</v>
      </c>
      <c r="B19" s="20"/>
      <c r="C19" s="4" t="n">
        <f aca="false">IFERROR('4. Teaching Subject Matrix'!M20,0)</f>
        <v>0</v>
      </c>
      <c r="D19" s="4" t="n">
        <f aca="false">IFERROR('4. Teaching Subject Matrix'!N20,0)</f>
        <v>0</v>
      </c>
      <c r="E19" s="32" t="n">
        <f aca="false">IFERROR(IF(C19&gt;0,-SUMPRODUCT(IF('4. Teaching Subject Matrix'!B20:L20&gt;0,('4. Teaching Subject Matrix'!B20:L20/C19)*LOG('4. Teaching Subject Matrix'!B20:L20/C19,2),0)),0),0)</f>
        <v>0</v>
      </c>
      <c r="F19" s="32" t="n">
        <f aca="false">IF(D19&gt;1,LOG(D19,2),0)</f>
        <v>0</v>
      </c>
      <c r="G19" s="33" t="n">
        <f aca="false">IFERROR(IF(F19&gt;0,E19/F19,0),0)</f>
        <v>0</v>
      </c>
      <c r="H19" s="25" t="n">
        <f aca="false">IFERROR(IF(MAX($E$4:$E$33)&gt;0,E19/MAX($E$4:$E$33)*100,0),0)</f>
        <v>0</v>
      </c>
      <c r="I19" s="16" t="str">
        <f aca="false">IF(H19&gt;=80,"Very High",IF(H19&gt;=60,"High",IF(H19&gt;=40,"Medium",IF(H19&gt;=20,"Low","Very Low"))))</f>
        <v>Very Low</v>
      </c>
    </row>
    <row r="20" customFormat="false" ht="15" hidden="false" customHeight="false" outlineLevel="0" collapsed="false">
      <c r="A20" s="7" t="n">
        <v>17</v>
      </c>
      <c r="B20" s="19"/>
      <c r="C20" s="7" t="n">
        <f aca="false">IFERROR('4. Teaching Subject Matrix'!M21,0)</f>
        <v>0</v>
      </c>
      <c r="D20" s="7" t="n">
        <f aca="false">IFERROR('4. Teaching Subject Matrix'!N21,0)</f>
        <v>0</v>
      </c>
      <c r="E20" s="30" t="n">
        <f aca="false">IFERROR(IF(C20&gt;0,-SUMPRODUCT(IF('4. Teaching Subject Matrix'!B21:L21&gt;0,('4. Teaching Subject Matrix'!B21:L21/C20)*LOG('4. Teaching Subject Matrix'!B21:L21/C20,2),0)),0),0)</f>
        <v>0</v>
      </c>
      <c r="F20" s="30" t="n">
        <f aca="false">IF(D20&gt;1,LOG(D20,2),0)</f>
        <v>0</v>
      </c>
      <c r="G20" s="31" t="n">
        <f aca="false">IFERROR(IF(F20&gt;0,E20/F20,0),0)</f>
        <v>0</v>
      </c>
      <c r="H20" s="26" t="n">
        <f aca="false">IFERROR(IF(MAX($E$4:$E$33)&gt;0,E20/MAX($E$4:$E$33)*100,0),0)</f>
        <v>0</v>
      </c>
      <c r="I20" s="15" t="str">
        <f aca="false">IF(H20&gt;=80,"Very High",IF(H20&gt;=60,"High",IF(H20&gt;=40,"Medium",IF(H20&gt;=20,"Low","Very Low"))))</f>
        <v>Very Low</v>
      </c>
    </row>
    <row r="21" customFormat="false" ht="15" hidden="false" customHeight="false" outlineLevel="0" collapsed="false">
      <c r="A21" s="4" t="n">
        <v>18</v>
      </c>
      <c r="B21" s="20"/>
      <c r="C21" s="4" t="n">
        <f aca="false">IFERROR('4. Teaching Subject Matrix'!M22,0)</f>
        <v>0</v>
      </c>
      <c r="D21" s="4" t="n">
        <f aca="false">IFERROR('4. Teaching Subject Matrix'!N22,0)</f>
        <v>0</v>
      </c>
      <c r="E21" s="32" t="n">
        <f aca="false">IFERROR(IF(C21&gt;0,-SUMPRODUCT(IF('4. Teaching Subject Matrix'!B22:L22&gt;0,('4. Teaching Subject Matrix'!B22:L22/C21)*LOG('4. Teaching Subject Matrix'!B22:L22/C21,2),0)),0),0)</f>
        <v>0</v>
      </c>
      <c r="F21" s="32" t="n">
        <f aca="false">IF(D21&gt;1,LOG(D21,2),0)</f>
        <v>0</v>
      </c>
      <c r="G21" s="33" t="n">
        <f aca="false">IFERROR(IF(F21&gt;0,E21/F21,0),0)</f>
        <v>0</v>
      </c>
      <c r="H21" s="25" t="n">
        <f aca="false">IFERROR(IF(MAX($E$4:$E$33)&gt;0,E21/MAX($E$4:$E$33)*100,0),0)</f>
        <v>0</v>
      </c>
      <c r="I21" s="16" t="str">
        <f aca="false">IF(H21&gt;=80,"Very High",IF(H21&gt;=60,"High",IF(H21&gt;=40,"Medium",IF(H21&gt;=20,"Low","Very Low"))))</f>
        <v>Very Low</v>
      </c>
    </row>
    <row r="22" customFormat="false" ht="15" hidden="false" customHeight="false" outlineLevel="0" collapsed="false">
      <c r="A22" s="7" t="n">
        <v>19</v>
      </c>
      <c r="B22" s="19"/>
      <c r="C22" s="7" t="n">
        <f aca="false">IFERROR('4. Teaching Subject Matrix'!M23,0)</f>
        <v>0</v>
      </c>
      <c r="D22" s="7" t="n">
        <f aca="false">IFERROR('4. Teaching Subject Matrix'!N23,0)</f>
        <v>0</v>
      </c>
      <c r="E22" s="30" t="n">
        <f aca="false">IFERROR(IF(C22&gt;0,-SUMPRODUCT(IF('4. Teaching Subject Matrix'!B23:L23&gt;0,('4. Teaching Subject Matrix'!B23:L23/C22)*LOG('4. Teaching Subject Matrix'!B23:L23/C22,2),0)),0),0)</f>
        <v>0</v>
      </c>
      <c r="F22" s="30" t="n">
        <f aca="false">IF(D22&gt;1,LOG(D22,2),0)</f>
        <v>0</v>
      </c>
      <c r="G22" s="31" t="n">
        <f aca="false">IFERROR(IF(F22&gt;0,E22/F22,0),0)</f>
        <v>0</v>
      </c>
      <c r="H22" s="26" t="n">
        <f aca="false">IFERROR(IF(MAX($E$4:$E$33)&gt;0,E22/MAX($E$4:$E$33)*100,0),0)</f>
        <v>0</v>
      </c>
      <c r="I22" s="15" t="str">
        <f aca="false">IF(H22&gt;=80,"Very High",IF(H22&gt;=60,"High",IF(H22&gt;=40,"Medium",IF(H22&gt;=20,"Low","Very Low"))))</f>
        <v>Very Low</v>
      </c>
    </row>
    <row r="23" customFormat="false" ht="15" hidden="false" customHeight="false" outlineLevel="0" collapsed="false">
      <c r="A23" s="4" t="n">
        <v>20</v>
      </c>
      <c r="B23" s="20"/>
      <c r="C23" s="4" t="n">
        <f aca="false">IFERROR('4. Teaching Subject Matrix'!M24,0)</f>
        <v>0</v>
      </c>
      <c r="D23" s="4" t="n">
        <f aca="false">IFERROR('4. Teaching Subject Matrix'!N24,0)</f>
        <v>0</v>
      </c>
      <c r="E23" s="32" t="n">
        <f aca="false">IFERROR(IF(C23&gt;0,-SUMPRODUCT(IF('4. Teaching Subject Matrix'!B24:L24&gt;0,('4. Teaching Subject Matrix'!B24:L24/C23)*LOG('4. Teaching Subject Matrix'!B24:L24/C23,2),0)),0),0)</f>
        <v>0</v>
      </c>
      <c r="F23" s="32" t="n">
        <f aca="false">IF(D23&gt;1,LOG(D23,2),0)</f>
        <v>0</v>
      </c>
      <c r="G23" s="33" t="n">
        <f aca="false">IFERROR(IF(F23&gt;0,E23/F23,0),0)</f>
        <v>0</v>
      </c>
      <c r="H23" s="25" t="n">
        <f aca="false">IFERROR(IF(MAX($E$4:$E$33)&gt;0,E23/MAX($E$4:$E$33)*100,0),0)</f>
        <v>0</v>
      </c>
      <c r="I23" s="16" t="str">
        <f aca="false">IF(H23&gt;=80,"Very High",IF(H23&gt;=60,"High",IF(H23&gt;=40,"Medium",IF(H23&gt;=20,"Low","Very Low"))))</f>
        <v>Very Low</v>
      </c>
    </row>
    <row r="24" customFormat="false" ht="15" hidden="false" customHeight="false" outlineLevel="0" collapsed="false">
      <c r="A24" s="7" t="n">
        <v>21</v>
      </c>
      <c r="B24" s="19"/>
      <c r="C24" s="7" t="n">
        <f aca="false">IFERROR('4. Teaching Subject Matrix'!M25,0)</f>
        <v>0</v>
      </c>
      <c r="D24" s="7" t="n">
        <f aca="false">IFERROR('4. Teaching Subject Matrix'!N25,0)</f>
        <v>0</v>
      </c>
      <c r="E24" s="30" t="n">
        <f aca="false">IFERROR(IF(C24&gt;0,-SUMPRODUCT(IF('4. Teaching Subject Matrix'!B25:L25&gt;0,('4. Teaching Subject Matrix'!B25:L25/C24)*LOG('4. Teaching Subject Matrix'!B25:L25/C24,2),0)),0),0)</f>
        <v>0</v>
      </c>
      <c r="F24" s="30" t="n">
        <f aca="false">IF(D24&gt;1,LOG(D24,2),0)</f>
        <v>0</v>
      </c>
      <c r="G24" s="31" t="n">
        <f aca="false">IFERROR(IF(F24&gt;0,E24/F24,0),0)</f>
        <v>0</v>
      </c>
      <c r="H24" s="26" t="n">
        <f aca="false">IFERROR(IF(MAX($E$4:$E$33)&gt;0,E24/MAX($E$4:$E$33)*100,0),0)</f>
        <v>0</v>
      </c>
      <c r="I24" s="15" t="str">
        <f aca="false">IF(H24&gt;=80,"Very High",IF(H24&gt;=60,"High",IF(H24&gt;=40,"Medium",IF(H24&gt;=20,"Low","Very Low"))))</f>
        <v>Very Low</v>
      </c>
    </row>
    <row r="25" customFormat="false" ht="15" hidden="false" customHeight="false" outlineLevel="0" collapsed="false">
      <c r="A25" s="4" t="n">
        <v>22</v>
      </c>
      <c r="B25" s="20"/>
      <c r="C25" s="4" t="n">
        <f aca="false">IFERROR('4. Teaching Subject Matrix'!M26,0)</f>
        <v>0</v>
      </c>
      <c r="D25" s="4" t="n">
        <f aca="false">IFERROR('4. Teaching Subject Matrix'!N26,0)</f>
        <v>0</v>
      </c>
      <c r="E25" s="32" t="n">
        <f aca="false">IFERROR(IF(C25&gt;0,-SUMPRODUCT(IF('4. Teaching Subject Matrix'!B26:L26&gt;0,('4. Teaching Subject Matrix'!B26:L26/C25)*LOG('4. Teaching Subject Matrix'!B26:L26/C25,2),0)),0),0)</f>
        <v>0</v>
      </c>
      <c r="F25" s="32" t="n">
        <f aca="false">IF(D25&gt;1,LOG(D25,2),0)</f>
        <v>0</v>
      </c>
      <c r="G25" s="33" t="n">
        <f aca="false">IFERROR(IF(F25&gt;0,E25/F25,0),0)</f>
        <v>0</v>
      </c>
      <c r="H25" s="25" t="n">
        <f aca="false">IFERROR(IF(MAX($E$4:$E$33)&gt;0,E25/MAX($E$4:$E$33)*100,0),0)</f>
        <v>0</v>
      </c>
      <c r="I25" s="16" t="str">
        <f aca="false">IF(H25&gt;=80,"Very High",IF(H25&gt;=60,"High",IF(H25&gt;=40,"Medium",IF(H25&gt;=20,"Low","Very Low"))))</f>
        <v>Very Low</v>
      </c>
    </row>
    <row r="26" customFormat="false" ht="15" hidden="false" customHeight="false" outlineLevel="0" collapsed="false">
      <c r="A26" s="7" t="n">
        <v>23</v>
      </c>
      <c r="B26" s="19"/>
      <c r="C26" s="7" t="n">
        <f aca="false">IFERROR('4. Teaching Subject Matrix'!M27,0)</f>
        <v>0</v>
      </c>
      <c r="D26" s="7" t="n">
        <f aca="false">IFERROR('4. Teaching Subject Matrix'!N27,0)</f>
        <v>0</v>
      </c>
      <c r="E26" s="30" t="n">
        <f aca="false">IFERROR(IF(C26&gt;0,-SUMPRODUCT(IF('4. Teaching Subject Matrix'!B27:L27&gt;0,('4. Teaching Subject Matrix'!B27:L27/C26)*LOG('4. Teaching Subject Matrix'!B27:L27/C26,2),0)),0),0)</f>
        <v>0</v>
      </c>
      <c r="F26" s="30" t="n">
        <f aca="false">IF(D26&gt;1,LOG(D26,2),0)</f>
        <v>0</v>
      </c>
      <c r="G26" s="31" t="n">
        <f aca="false">IFERROR(IF(F26&gt;0,E26/F26,0),0)</f>
        <v>0</v>
      </c>
      <c r="H26" s="26" t="n">
        <f aca="false">IFERROR(IF(MAX($E$4:$E$33)&gt;0,E26/MAX($E$4:$E$33)*100,0),0)</f>
        <v>0</v>
      </c>
      <c r="I26" s="15" t="str">
        <f aca="false">IF(H26&gt;=80,"Very High",IF(H26&gt;=60,"High",IF(H26&gt;=40,"Medium",IF(H26&gt;=20,"Low","Very Low"))))</f>
        <v>Very Low</v>
      </c>
    </row>
    <row r="27" customFormat="false" ht="15" hidden="false" customHeight="false" outlineLevel="0" collapsed="false">
      <c r="A27" s="4" t="n">
        <v>24</v>
      </c>
      <c r="B27" s="20"/>
      <c r="C27" s="4" t="n">
        <f aca="false">IFERROR('4. Teaching Subject Matrix'!M28,0)</f>
        <v>0</v>
      </c>
      <c r="D27" s="4" t="n">
        <f aca="false">IFERROR('4. Teaching Subject Matrix'!N28,0)</f>
        <v>0</v>
      </c>
      <c r="E27" s="32" t="n">
        <f aca="false">IFERROR(IF(C27&gt;0,-SUMPRODUCT(IF('4. Teaching Subject Matrix'!B28:L28&gt;0,('4. Teaching Subject Matrix'!B28:L28/C27)*LOG('4. Teaching Subject Matrix'!B28:L28/C27,2),0)),0),0)</f>
        <v>0</v>
      </c>
      <c r="F27" s="32" t="n">
        <f aca="false">IF(D27&gt;1,LOG(D27,2),0)</f>
        <v>0</v>
      </c>
      <c r="G27" s="33" t="n">
        <f aca="false">IFERROR(IF(F27&gt;0,E27/F27,0),0)</f>
        <v>0</v>
      </c>
      <c r="H27" s="25" t="n">
        <f aca="false">IFERROR(IF(MAX($E$4:$E$33)&gt;0,E27/MAX($E$4:$E$33)*100,0),0)</f>
        <v>0</v>
      </c>
      <c r="I27" s="16" t="str">
        <f aca="false">IF(H27&gt;=80,"Very High",IF(H27&gt;=60,"High",IF(H27&gt;=40,"Medium",IF(H27&gt;=20,"Low","Very Low"))))</f>
        <v>Very Low</v>
      </c>
    </row>
    <row r="28" customFormat="false" ht="15" hidden="false" customHeight="false" outlineLevel="0" collapsed="false">
      <c r="A28" s="7" t="n">
        <v>25</v>
      </c>
      <c r="B28" s="19"/>
      <c r="C28" s="7" t="n">
        <f aca="false">IFERROR('4. Teaching Subject Matrix'!M29,0)</f>
        <v>0</v>
      </c>
      <c r="D28" s="7" t="n">
        <f aca="false">IFERROR('4. Teaching Subject Matrix'!N29,0)</f>
        <v>0</v>
      </c>
      <c r="E28" s="30" t="n">
        <f aca="false">IFERROR(IF(C28&gt;0,-SUMPRODUCT(IF('4. Teaching Subject Matrix'!B29:L29&gt;0,('4. Teaching Subject Matrix'!B29:L29/C28)*LOG('4. Teaching Subject Matrix'!B29:L29/C28,2),0)),0),0)</f>
        <v>0</v>
      </c>
      <c r="F28" s="30" t="n">
        <f aca="false">IF(D28&gt;1,LOG(D28,2),0)</f>
        <v>0</v>
      </c>
      <c r="G28" s="31" t="n">
        <f aca="false">IFERROR(IF(F28&gt;0,E28/F28,0),0)</f>
        <v>0</v>
      </c>
      <c r="H28" s="26" t="n">
        <f aca="false">IFERROR(IF(MAX($E$4:$E$33)&gt;0,E28/MAX($E$4:$E$33)*100,0),0)</f>
        <v>0</v>
      </c>
      <c r="I28" s="15" t="str">
        <f aca="false">IF(H28&gt;=80,"Very High",IF(H28&gt;=60,"High",IF(H28&gt;=40,"Medium",IF(H28&gt;=20,"Low","Very Low"))))</f>
        <v>Very Low</v>
      </c>
    </row>
    <row r="29" customFormat="false" ht="15" hidden="false" customHeight="false" outlineLevel="0" collapsed="false">
      <c r="A29" s="4" t="n">
        <v>26</v>
      </c>
      <c r="B29" s="20"/>
      <c r="C29" s="4" t="n">
        <f aca="false">IFERROR('4. Teaching Subject Matrix'!M30,0)</f>
        <v>0</v>
      </c>
      <c r="D29" s="4" t="n">
        <f aca="false">IFERROR('4. Teaching Subject Matrix'!N30,0)</f>
        <v>0</v>
      </c>
      <c r="E29" s="32" t="n">
        <f aca="false">IFERROR(IF(C29&gt;0,-SUMPRODUCT(IF('4. Teaching Subject Matrix'!B30:L30&gt;0,('4. Teaching Subject Matrix'!B30:L30/C29)*LOG('4. Teaching Subject Matrix'!B30:L30/C29,2),0)),0),0)</f>
        <v>0</v>
      </c>
      <c r="F29" s="32" t="n">
        <f aca="false">IF(D29&gt;1,LOG(D29,2),0)</f>
        <v>0</v>
      </c>
      <c r="G29" s="33" t="n">
        <f aca="false">IFERROR(IF(F29&gt;0,E29/F29,0),0)</f>
        <v>0</v>
      </c>
      <c r="H29" s="25" t="n">
        <f aca="false">IFERROR(IF(MAX($E$4:$E$33)&gt;0,E29/MAX($E$4:$E$33)*100,0),0)</f>
        <v>0</v>
      </c>
      <c r="I29" s="16" t="str">
        <f aca="false">IF(H29&gt;=80,"Very High",IF(H29&gt;=60,"High",IF(H29&gt;=40,"Medium",IF(H29&gt;=20,"Low","Very Low"))))</f>
        <v>Very Low</v>
      </c>
    </row>
    <row r="30" customFormat="false" ht="15" hidden="false" customHeight="false" outlineLevel="0" collapsed="false">
      <c r="A30" s="7" t="n">
        <v>27</v>
      </c>
      <c r="B30" s="19"/>
      <c r="C30" s="7" t="n">
        <f aca="false">IFERROR('4. Teaching Subject Matrix'!M31,0)</f>
        <v>0</v>
      </c>
      <c r="D30" s="7" t="n">
        <f aca="false">IFERROR('4. Teaching Subject Matrix'!N31,0)</f>
        <v>0</v>
      </c>
      <c r="E30" s="30" t="n">
        <f aca="false">IFERROR(IF(C30&gt;0,-SUMPRODUCT(IF('4. Teaching Subject Matrix'!B31:L31&gt;0,('4. Teaching Subject Matrix'!B31:L31/C30)*LOG('4. Teaching Subject Matrix'!B31:L31/C30,2),0)),0),0)</f>
        <v>0</v>
      </c>
      <c r="F30" s="30" t="n">
        <f aca="false">IF(D30&gt;1,LOG(D30,2),0)</f>
        <v>0</v>
      </c>
      <c r="G30" s="31" t="n">
        <f aca="false">IFERROR(IF(F30&gt;0,E30/F30,0),0)</f>
        <v>0</v>
      </c>
      <c r="H30" s="26" t="n">
        <f aca="false">IFERROR(IF(MAX($E$4:$E$33)&gt;0,E30/MAX($E$4:$E$33)*100,0),0)</f>
        <v>0</v>
      </c>
      <c r="I30" s="15" t="str">
        <f aca="false">IF(H30&gt;=80,"Very High",IF(H30&gt;=60,"High",IF(H30&gt;=40,"Medium",IF(H30&gt;=20,"Low","Very Low"))))</f>
        <v>Very Low</v>
      </c>
    </row>
    <row r="31" customFormat="false" ht="15" hidden="false" customHeight="false" outlineLevel="0" collapsed="false">
      <c r="A31" s="4" t="n">
        <v>28</v>
      </c>
      <c r="B31" s="20"/>
      <c r="C31" s="4" t="n">
        <f aca="false">IFERROR('4. Teaching Subject Matrix'!M32,0)</f>
        <v>0</v>
      </c>
      <c r="D31" s="4" t="n">
        <f aca="false">IFERROR('4. Teaching Subject Matrix'!N32,0)</f>
        <v>0</v>
      </c>
      <c r="E31" s="32" t="n">
        <f aca="false">IFERROR(IF(C31&gt;0,-SUMPRODUCT(IF('4. Teaching Subject Matrix'!B32:L32&gt;0,('4. Teaching Subject Matrix'!B32:L32/C31)*LOG('4. Teaching Subject Matrix'!B32:L32/C31,2),0)),0),0)</f>
        <v>0</v>
      </c>
      <c r="F31" s="32" t="n">
        <f aca="false">IF(D31&gt;1,LOG(D31,2),0)</f>
        <v>0</v>
      </c>
      <c r="G31" s="33" t="n">
        <f aca="false">IFERROR(IF(F31&gt;0,E31/F31,0),0)</f>
        <v>0</v>
      </c>
      <c r="H31" s="25" t="n">
        <f aca="false">IFERROR(IF(MAX($E$4:$E$33)&gt;0,E31/MAX($E$4:$E$33)*100,0),0)</f>
        <v>0</v>
      </c>
      <c r="I31" s="16" t="str">
        <f aca="false">IF(H31&gt;=80,"Very High",IF(H31&gt;=60,"High",IF(H31&gt;=40,"Medium",IF(H31&gt;=20,"Low","Very Low"))))</f>
        <v>Very Low</v>
      </c>
    </row>
    <row r="32" customFormat="false" ht="15" hidden="false" customHeight="false" outlineLevel="0" collapsed="false">
      <c r="A32" s="7" t="n">
        <v>29</v>
      </c>
      <c r="B32" s="19"/>
      <c r="C32" s="7" t="n">
        <f aca="false">IFERROR('4. Teaching Subject Matrix'!M33,0)</f>
        <v>0</v>
      </c>
      <c r="D32" s="7" t="n">
        <f aca="false">IFERROR('4. Teaching Subject Matrix'!N33,0)</f>
        <v>0</v>
      </c>
      <c r="E32" s="30" t="n">
        <f aca="false">IFERROR(IF(C32&gt;0,-SUMPRODUCT(IF('4. Teaching Subject Matrix'!B33:L33&gt;0,('4. Teaching Subject Matrix'!B33:L33/C32)*LOG('4. Teaching Subject Matrix'!B33:L33/C32,2),0)),0),0)</f>
        <v>0</v>
      </c>
      <c r="F32" s="30" t="n">
        <f aca="false">IF(D32&gt;1,LOG(D32,2),0)</f>
        <v>0</v>
      </c>
      <c r="G32" s="31" t="n">
        <f aca="false">IFERROR(IF(F32&gt;0,E32/F32,0),0)</f>
        <v>0</v>
      </c>
      <c r="H32" s="26" t="n">
        <f aca="false">IFERROR(IF(MAX($E$4:$E$33)&gt;0,E32/MAX($E$4:$E$33)*100,0),0)</f>
        <v>0</v>
      </c>
      <c r="I32" s="15" t="str">
        <f aca="false">IF(H32&gt;=80,"Very High",IF(H32&gt;=60,"High",IF(H32&gt;=40,"Medium",IF(H32&gt;=20,"Low","Very Low"))))</f>
        <v>Very Low</v>
      </c>
    </row>
    <row r="33" customFormat="false" ht="15" hidden="false" customHeight="false" outlineLevel="0" collapsed="false">
      <c r="A33" s="4" t="n">
        <v>30</v>
      </c>
      <c r="B33" s="20"/>
      <c r="C33" s="4" t="n">
        <f aca="false">IFERROR('4. Teaching Subject Matrix'!M34,0)</f>
        <v>0</v>
      </c>
      <c r="D33" s="4" t="n">
        <f aca="false">IFERROR('4. Teaching Subject Matrix'!N34,0)</f>
        <v>0</v>
      </c>
      <c r="E33" s="32" t="n">
        <f aca="false">IFERROR(IF(C33&gt;0,-SUMPRODUCT(IF('4. Teaching Subject Matrix'!B34:L34&gt;0,('4. Teaching Subject Matrix'!B34:L34/C33)*LOG('4. Teaching Subject Matrix'!B34:L34/C33,2),0)),0),0)</f>
        <v>0</v>
      </c>
      <c r="F33" s="32" t="n">
        <f aca="false">IF(D33&gt;1,LOG(D33,2),0)</f>
        <v>0</v>
      </c>
      <c r="G33" s="33" t="n">
        <f aca="false">IFERROR(IF(F33&gt;0,E33/F33,0),0)</f>
        <v>0</v>
      </c>
      <c r="H33" s="25" t="n">
        <f aca="false">IFERROR(IF(MAX($E$4:$E$33)&gt;0,E33/MAX($E$4:$E$33)*100,0),0)</f>
        <v>0</v>
      </c>
      <c r="I33" s="16" t="str">
        <f aca="false">IF(H33&gt;=80,"Very High",IF(H33&gt;=60,"High",IF(H33&gt;=40,"Medium",IF(H33&gt;=20,"Low","Very Low"))))</f>
        <v>Very Low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7" t="s">
        <v>514</v>
      </c>
      <c r="B1" s="37"/>
      <c r="C1" s="37"/>
      <c r="D1" s="37"/>
      <c r="E1" s="37"/>
      <c r="F1" s="37"/>
      <c r="G1" s="37"/>
    </row>
    <row r="2" customFormat="false" ht="25.5" hidden="false" customHeight="true" outlineLevel="0" collapsed="false">
      <c r="A2" s="22" t="s">
        <v>515</v>
      </c>
      <c r="B2" s="22"/>
      <c r="C2" s="22"/>
      <c r="D2" s="22"/>
      <c r="E2" s="22"/>
      <c r="F2" s="22"/>
      <c r="G2" s="22"/>
    </row>
    <row r="3" customFormat="false" ht="23.85" hidden="false" customHeight="false" outlineLevel="0" collapsed="false">
      <c r="A3" s="24" t="s">
        <v>503</v>
      </c>
      <c r="B3" s="24" t="s">
        <v>84</v>
      </c>
      <c r="C3" s="24" t="s">
        <v>516</v>
      </c>
      <c r="D3" s="24" t="s">
        <v>517</v>
      </c>
      <c r="E3" s="24" t="s">
        <v>518</v>
      </c>
      <c r="F3" s="24" t="s">
        <v>519</v>
      </c>
      <c r="G3" s="24" t="s">
        <v>520</v>
      </c>
    </row>
    <row r="4" customFormat="false" ht="15" hidden="false" customHeight="false" outlineLevel="0" collapsed="false">
      <c r="B4" s="38" t="s">
        <v>521</v>
      </c>
      <c r="C4" s="39" t="n">
        <f aca="false">2/3</f>
        <v>0.666666666666667</v>
      </c>
      <c r="D4" s="39" t="n">
        <f aca="false">1/3</f>
        <v>0.333333333333333</v>
      </c>
    </row>
    <row r="5" customFormat="false" ht="15" hidden="false" customHeight="false" outlineLevel="0" collapsed="false">
      <c r="A5" s="4" t="n">
        <v>1</v>
      </c>
      <c r="B5" s="20"/>
      <c r="C5" s="40" t="n">
        <f aca="false">IFERROR(VLOOKUP(B5,'5. Research Subject Entropy'!$B$4:$H$33,7,FALSE()),0)</f>
        <v>0</v>
      </c>
      <c r="D5" s="40" t="n">
        <f aca="false">IFERROR(VLOOKUP(B5,'6. Teaching Subject Entropy'!$B$4:$H$33,7,FALSE()),0)</f>
        <v>0</v>
      </c>
      <c r="E5" s="25" t="n">
        <f aca="false">C5*$C$4+D5*$D$4</f>
        <v>0</v>
      </c>
      <c r="F5" s="16" t="n">
        <f aca="false">IFERROR(RANK(E5,$E$5:$E$34,0),"")</f>
        <v>1</v>
      </c>
      <c r="G5" s="16" t="str">
        <f aca="false">IF(E5&gt;=80,"Very High",IF(E5&gt;=60,"High",IF(E5&gt;=40,"Medium",IF(E5&gt;=20,"Low","Very Low"))))</f>
        <v>Very Low</v>
      </c>
    </row>
    <row r="6" customFormat="false" ht="15" hidden="false" customHeight="false" outlineLevel="0" collapsed="false">
      <c r="A6" s="7" t="n">
        <v>2</v>
      </c>
      <c r="B6" s="19"/>
      <c r="C6" s="41" t="n">
        <f aca="false">IFERROR(VLOOKUP(B6,'5. Research Subject Entropy'!$B$4:$H$33,7,FALSE()),0)</f>
        <v>0</v>
      </c>
      <c r="D6" s="41" t="n">
        <f aca="false">IFERROR(VLOOKUP(B6,'6. Teaching Subject Entropy'!$B$4:$H$33,7,FALSE()),0)</f>
        <v>0</v>
      </c>
      <c r="E6" s="26" t="n">
        <f aca="false">C6*$C$4+D6*$D$4</f>
        <v>0</v>
      </c>
      <c r="F6" s="15" t="n">
        <f aca="false">IFERROR(RANK(E6,$E$5:$E$34,0),"")</f>
        <v>1</v>
      </c>
      <c r="G6" s="15" t="str">
        <f aca="false">IF(E6&gt;=80,"Very High",IF(E6&gt;=60,"High",IF(E6&gt;=40,"Medium",IF(E6&gt;=20,"Low","Very Low"))))</f>
        <v>Very Low</v>
      </c>
    </row>
    <row r="7" customFormat="false" ht="15" hidden="false" customHeight="false" outlineLevel="0" collapsed="false">
      <c r="A7" s="4" t="n">
        <v>3</v>
      </c>
      <c r="B7" s="20"/>
      <c r="C7" s="40" t="n">
        <f aca="false">IFERROR(VLOOKUP(B7,'5. Research Subject Entropy'!$B$4:$H$33,7,FALSE()),0)</f>
        <v>0</v>
      </c>
      <c r="D7" s="40" t="n">
        <f aca="false">IFERROR(VLOOKUP(B7,'6. Teaching Subject Entropy'!$B$4:$H$33,7,FALSE()),0)</f>
        <v>0</v>
      </c>
      <c r="E7" s="25" t="n">
        <f aca="false">C7*$C$4+D7*$D$4</f>
        <v>0</v>
      </c>
      <c r="F7" s="16" t="n">
        <f aca="false">IFERROR(RANK(E7,$E$5:$E$34,0),"")</f>
        <v>1</v>
      </c>
      <c r="G7" s="16" t="str">
        <f aca="false">IF(E7&gt;=80,"Very High",IF(E7&gt;=60,"High",IF(E7&gt;=40,"Medium",IF(E7&gt;=20,"Low","Very Low"))))</f>
        <v>Very Low</v>
      </c>
    </row>
    <row r="8" customFormat="false" ht="15" hidden="false" customHeight="false" outlineLevel="0" collapsed="false">
      <c r="A8" s="7" t="n">
        <v>4</v>
      </c>
      <c r="B8" s="19"/>
      <c r="C8" s="41" t="n">
        <f aca="false">IFERROR(VLOOKUP(B8,'5. Research Subject Entropy'!$B$4:$H$33,7,FALSE()),0)</f>
        <v>0</v>
      </c>
      <c r="D8" s="41" t="n">
        <f aca="false">IFERROR(VLOOKUP(B8,'6. Teaching Subject Entropy'!$B$4:$H$33,7,FALSE()),0)</f>
        <v>0</v>
      </c>
      <c r="E8" s="26" t="n">
        <f aca="false">C8*$C$4+D8*$D$4</f>
        <v>0</v>
      </c>
      <c r="F8" s="15" t="n">
        <f aca="false">IFERROR(RANK(E8,$E$5:$E$34,0),"")</f>
        <v>1</v>
      </c>
      <c r="G8" s="15" t="str">
        <f aca="false">IF(E8&gt;=80,"Very High",IF(E8&gt;=60,"High",IF(E8&gt;=40,"Medium",IF(E8&gt;=20,"Low","Very Low"))))</f>
        <v>Very Low</v>
      </c>
    </row>
    <row r="9" customFormat="false" ht="15" hidden="false" customHeight="false" outlineLevel="0" collapsed="false">
      <c r="A9" s="4" t="n">
        <v>5</v>
      </c>
      <c r="B9" s="20"/>
      <c r="C9" s="40" t="n">
        <f aca="false">IFERROR(VLOOKUP(B9,'5. Research Subject Entropy'!$B$4:$H$33,7,FALSE()),0)</f>
        <v>0</v>
      </c>
      <c r="D9" s="40" t="n">
        <f aca="false">IFERROR(VLOOKUP(B9,'6. Teaching Subject Entropy'!$B$4:$H$33,7,FALSE()),0)</f>
        <v>0</v>
      </c>
      <c r="E9" s="25" t="n">
        <f aca="false">C9*$C$4+D9*$D$4</f>
        <v>0</v>
      </c>
      <c r="F9" s="16" t="n">
        <f aca="false">IFERROR(RANK(E9,$E$5:$E$34,0),"")</f>
        <v>1</v>
      </c>
      <c r="G9" s="16" t="str">
        <f aca="false">IF(E9&gt;=80,"Very High",IF(E9&gt;=60,"High",IF(E9&gt;=40,"Medium",IF(E9&gt;=20,"Low","Very Low"))))</f>
        <v>Very Low</v>
      </c>
    </row>
    <row r="10" customFormat="false" ht="15" hidden="false" customHeight="false" outlineLevel="0" collapsed="false">
      <c r="A10" s="7" t="n">
        <v>6</v>
      </c>
      <c r="B10" s="19"/>
      <c r="C10" s="41" t="n">
        <f aca="false">IFERROR(VLOOKUP(B10,'5. Research Subject Entropy'!$B$4:$H$33,7,FALSE()),0)</f>
        <v>0</v>
      </c>
      <c r="D10" s="41" t="n">
        <f aca="false">IFERROR(VLOOKUP(B10,'6. Teaching Subject Entropy'!$B$4:$H$33,7,FALSE()),0)</f>
        <v>0</v>
      </c>
      <c r="E10" s="26" t="n">
        <f aca="false">C10*$C$4+D10*$D$4</f>
        <v>0</v>
      </c>
      <c r="F10" s="15" t="n">
        <f aca="false">IFERROR(RANK(E10,$E$5:$E$34,0),"")</f>
        <v>1</v>
      </c>
      <c r="G10" s="15" t="str">
        <f aca="false">IF(E10&gt;=80,"Very High",IF(E10&gt;=60,"High",IF(E10&gt;=40,"Medium",IF(E10&gt;=20,"Low","Very Low"))))</f>
        <v>Very Low</v>
      </c>
    </row>
    <row r="11" customFormat="false" ht="15" hidden="false" customHeight="false" outlineLevel="0" collapsed="false">
      <c r="A11" s="4" t="n">
        <v>7</v>
      </c>
      <c r="B11" s="20"/>
      <c r="C11" s="40" t="n">
        <f aca="false">IFERROR(VLOOKUP(B11,'5. Research Subject Entropy'!$B$4:$H$33,7,FALSE()),0)</f>
        <v>0</v>
      </c>
      <c r="D11" s="40" t="n">
        <f aca="false">IFERROR(VLOOKUP(B11,'6. Teaching Subject Entropy'!$B$4:$H$33,7,FALSE()),0)</f>
        <v>0</v>
      </c>
      <c r="E11" s="25" t="n">
        <f aca="false">C11*$C$4+D11*$D$4</f>
        <v>0</v>
      </c>
      <c r="F11" s="16" t="n">
        <f aca="false">IFERROR(RANK(E11,$E$5:$E$34,0),"")</f>
        <v>1</v>
      </c>
      <c r="G11" s="16" t="str">
        <f aca="false">IF(E11&gt;=80,"Very High",IF(E11&gt;=60,"High",IF(E11&gt;=40,"Medium",IF(E11&gt;=20,"Low","Very Low"))))</f>
        <v>Very Low</v>
      </c>
    </row>
    <row r="12" customFormat="false" ht="15" hidden="false" customHeight="false" outlineLevel="0" collapsed="false">
      <c r="A12" s="7" t="n">
        <v>8</v>
      </c>
      <c r="B12" s="19"/>
      <c r="C12" s="41" t="n">
        <f aca="false">IFERROR(VLOOKUP(B12,'5. Research Subject Entropy'!$B$4:$H$33,7,FALSE()),0)</f>
        <v>0</v>
      </c>
      <c r="D12" s="41" t="n">
        <f aca="false">IFERROR(VLOOKUP(B12,'6. Teaching Subject Entropy'!$B$4:$H$33,7,FALSE()),0)</f>
        <v>0</v>
      </c>
      <c r="E12" s="26" t="n">
        <f aca="false">C12*$C$4+D12*$D$4</f>
        <v>0</v>
      </c>
      <c r="F12" s="15" t="n">
        <f aca="false">IFERROR(RANK(E12,$E$5:$E$34,0),"")</f>
        <v>1</v>
      </c>
      <c r="G12" s="15" t="str">
        <f aca="false">IF(E12&gt;=80,"Very High",IF(E12&gt;=60,"High",IF(E12&gt;=40,"Medium",IF(E12&gt;=20,"Low","Very Low"))))</f>
        <v>Very Low</v>
      </c>
    </row>
    <row r="13" customFormat="false" ht="15" hidden="false" customHeight="false" outlineLevel="0" collapsed="false">
      <c r="A13" s="4" t="n">
        <v>9</v>
      </c>
      <c r="B13" s="20"/>
      <c r="C13" s="40" t="n">
        <f aca="false">IFERROR(VLOOKUP(B13,'5. Research Subject Entropy'!$B$4:$H$33,7,FALSE()),0)</f>
        <v>0</v>
      </c>
      <c r="D13" s="40" t="n">
        <f aca="false">IFERROR(VLOOKUP(B13,'6. Teaching Subject Entropy'!$B$4:$H$33,7,FALSE()),0)</f>
        <v>0</v>
      </c>
      <c r="E13" s="25" t="n">
        <f aca="false">C13*$C$4+D13*$D$4</f>
        <v>0</v>
      </c>
      <c r="F13" s="16" t="n">
        <f aca="false">IFERROR(RANK(E13,$E$5:$E$34,0),"")</f>
        <v>1</v>
      </c>
      <c r="G13" s="16" t="str">
        <f aca="false">IF(E13&gt;=80,"Very High",IF(E13&gt;=60,"High",IF(E13&gt;=40,"Medium",IF(E13&gt;=20,"Low","Very Low"))))</f>
        <v>Very Low</v>
      </c>
    </row>
    <row r="14" customFormat="false" ht="15" hidden="false" customHeight="false" outlineLevel="0" collapsed="false">
      <c r="A14" s="7" t="n">
        <v>10</v>
      </c>
      <c r="B14" s="19"/>
      <c r="C14" s="41" t="n">
        <f aca="false">IFERROR(VLOOKUP(B14,'5. Research Subject Entropy'!$B$4:$H$33,7,FALSE()),0)</f>
        <v>0</v>
      </c>
      <c r="D14" s="41" t="n">
        <f aca="false">IFERROR(VLOOKUP(B14,'6. Teaching Subject Entropy'!$B$4:$H$33,7,FALSE()),0)</f>
        <v>0</v>
      </c>
      <c r="E14" s="26" t="n">
        <f aca="false">C14*$C$4+D14*$D$4</f>
        <v>0</v>
      </c>
      <c r="F14" s="15" t="n">
        <f aca="false">IFERROR(RANK(E14,$E$5:$E$34,0),"")</f>
        <v>1</v>
      </c>
      <c r="G14" s="15" t="str">
        <f aca="false">IF(E14&gt;=80,"Very High",IF(E14&gt;=60,"High",IF(E14&gt;=40,"Medium",IF(E14&gt;=20,"Low","Very Low"))))</f>
        <v>Very Low</v>
      </c>
    </row>
    <row r="15" customFormat="false" ht="15" hidden="false" customHeight="false" outlineLevel="0" collapsed="false">
      <c r="A15" s="4" t="n">
        <v>11</v>
      </c>
      <c r="B15" s="20"/>
      <c r="C15" s="40" t="n">
        <f aca="false">IFERROR(VLOOKUP(B15,'5. Research Subject Entropy'!$B$4:$H$33,7,FALSE()),0)</f>
        <v>0</v>
      </c>
      <c r="D15" s="40" t="n">
        <f aca="false">IFERROR(VLOOKUP(B15,'6. Teaching Subject Entropy'!$B$4:$H$33,7,FALSE()),0)</f>
        <v>0</v>
      </c>
      <c r="E15" s="25" t="n">
        <f aca="false">C15*$C$4+D15*$D$4</f>
        <v>0</v>
      </c>
      <c r="F15" s="16" t="n">
        <f aca="false">IFERROR(RANK(E15,$E$5:$E$34,0),"")</f>
        <v>1</v>
      </c>
      <c r="G15" s="16" t="str">
        <f aca="false">IF(E15&gt;=80,"Very High",IF(E15&gt;=60,"High",IF(E15&gt;=40,"Medium",IF(E15&gt;=20,"Low","Very Low"))))</f>
        <v>Very Low</v>
      </c>
    </row>
    <row r="16" customFormat="false" ht="15" hidden="false" customHeight="false" outlineLevel="0" collapsed="false">
      <c r="A16" s="7" t="n">
        <v>12</v>
      </c>
      <c r="B16" s="19"/>
      <c r="C16" s="41" t="n">
        <f aca="false">IFERROR(VLOOKUP(B16,'5. Research Subject Entropy'!$B$4:$H$33,7,FALSE()),0)</f>
        <v>0</v>
      </c>
      <c r="D16" s="41" t="n">
        <f aca="false">IFERROR(VLOOKUP(B16,'6. Teaching Subject Entropy'!$B$4:$H$33,7,FALSE()),0)</f>
        <v>0</v>
      </c>
      <c r="E16" s="26" t="n">
        <f aca="false">C16*$C$4+D16*$D$4</f>
        <v>0</v>
      </c>
      <c r="F16" s="15" t="n">
        <f aca="false">IFERROR(RANK(E16,$E$5:$E$34,0),"")</f>
        <v>1</v>
      </c>
      <c r="G16" s="15" t="str">
        <f aca="false">IF(E16&gt;=80,"Very High",IF(E16&gt;=60,"High",IF(E16&gt;=40,"Medium",IF(E16&gt;=20,"Low","Very Low"))))</f>
        <v>Very Low</v>
      </c>
    </row>
    <row r="17" customFormat="false" ht="15" hidden="false" customHeight="false" outlineLevel="0" collapsed="false">
      <c r="A17" s="4" t="n">
        <v>13</v>
      </c>
      <c r="B17" s="20"/>
      <c r="C17" s="40" t="n">
        <f aca="false">IFERROR(VLOOKUP(B17,'5. Research Subject Entropy'!$B$4:$H$33,7,FALSE()),0)</f>
        <v>0</v>
      </c>
      <c r="D17" s="40" t="n">
        <f aca="false">IFERROR(VLOOKUP(B17,'6. Teaching Subject Entropy'!$B$4:$H$33,7,FALSE()),0)</f>
        <v>0</v>
      </c>
      <c r="E17" s="25" t="n">
        <f aca="false">C17*$C$4+D17*$D$4</f>
        <v>0</v>
      </c>
      <c r="F17" s="16" t="n">
        <f aca="false">IFERROR(RANK(E17,$E$5:$E$34,0),"")</f>
        <v>1</v>
      </c>
      <c r="G17" s="16" t="str">
        <f aca="false">IF(E17&gt;=80,"Very High",IF(E17&gt;=60,"High",IF(E17&gt;=40,"Medium",IF(E17&gt;=20,"Low","Very Low"))))</f>
        <v>Very Low</v>
      </c>
    </row>
    <row r="18" customFormat="false" ht="15" hidden="false" customHeight="false" outlineLevel="0" collapsed="false">
      <c r="A18" s="7" t="n">
        <v>14</v>
      </c>
      <c r="B18" s="19"/>
      <c r="C18" s="41" t="n">
        <f aca="false">IFERROR(VLOOKUP(B18,'5. Research Subject Entropy'!$B$4:$H$33,7,FALSE()),0)</f>
        <v>0</v>
      </c>
      <c r="D18" s="41" t="n">
        <f aca="false">IFERROR(VLOOKUP(B18,'6. Teaching Subject Entropy'!$B$4:$H$33,7,FALSE()),0)</f>
        <v>0</v>
      </c>
      <c r="E18" s="26" t="n">
        <f aca="false">C18*$C$4+D18*$D$4</f>
        <v>0</v>
      </c>
      <c r="F18" s="15" t="n">
        <f aca="false">IFERROR(RANK(E18,$E$5:$E$34,0),"")</f>
        <v>1</v>
      </c>
      <c r="G18" s="15" t="str">
        <f aca="false">IF(E18&gt;=80,"Very High",IF(E18&gt;=60,"High",IF(E18&gt;=40,"Medium",IF(E18&gt;=20,"Low","Very Low"))))</f>
        <v>Very Low</v>
      </c>
    </row>
    <row r="19" customFormat="false" ht="15" hidden="false" customHeight="false" outlineLevel="0" collapsed="false">
      <c r="A19" s="4" t="n">
        <v>15</v>
      </c>
      <c r="B19" s="20"/>
      <c r="C19" s="40" t="n">
        <f aca="false">IFERROR(VLOOKUP(B19,'5. Research Subject Entropy'!$B$4:$H$33,7,FALSE()),0)</f>
        <v>0</v>
      </c>
      <c r="D19" s="40" t="n">
        <f aca="false">IFERROR(VLOOKUP(B19,'6. Teaching Subject Entropy'!$B$4:$H$33,7,FALSE()),0)</f>
        <v>0</v>
      </c>
      <c r="E19" s="25" t="n">
        <f aca="false">C19*$C$4+D19*$D$4</f>
        <v>0</v>
      </c>
      <c r="F19" s="16" t="n">
        <f aca="false">IFERROR(RANK(E19,$E$5:$E$34,0),"")</f>
        <v>1</v>
      </c>
      <c r="G19" s="16" t="str">
        <f aca="false">IF(E19&gt;=80,"Very High",IF(E19&gt;=60,"High",IF(E19&gt;=40,"Medium",IF(E19&gt;=20,"Low","Very Low"))))</f>
        <v>Very Low</v>
      </c>
    </row>
    <row r="20" customFormat="false" ht="15" hidden="false" customHeight="false" outlineLevel="0" collapsed="false">
      <c r="A20" s="7" t="n">
        <v>16</v>
      </c>
      <c r="B20" s="19"/>
      <c r="C20" s="41" t="n">
        <f aca="false">IFERROR(VLOOKUP(B20,'5. Research Subject Entropy'!$B$4:$H$33,7,FALSE()),0)</f>
        <v>0</v>
      </c>
      <c r="D20" s="41" t="n">
        <f aca="false">IFERROR(VLOOKUP(B20,'6. Teaching Subject Entropy'!$B$4:$H$33,7,FALSE()),0)</f>
        <v>0</v>
      </c>
      <c r="E20" s="26" t="n">
        <f aca="false">C20*$C$4+D20*$D$4</f>
        <v>0</v>
      </c>
      <c r="F20" s="15" t="n">
        <f aca="false">IFERROR(RANK(E20,$E$5:$E$34,0),"")</f>
        <v>1</v>
      </c>
      <c r="G20" s="15" t="str">
        <f aca="false">IF(E20&gt;=80,"Very High",IF(E20&gt;=60,"High",IF(E20&gt;=40,"Medium",IF(E20&gt;=20,"Low","Very Low"))))</f>
        <v>Very Low</v>
      </c>
    </row>
    <row r="21" customFormat="false" ht="15" hidden="false" customHeight="false" outlineLevel="0" collapsed="false">
      <c r="A21" s="4" t="n">
        <v>17</v>
      </c>
      <c r="B21" s="20"/>
      <c r="C21" s="40" t="n">
        <f aca="false">IFERROR(VLOOKUP(B21,'5. Research Subject Entropy'!$B$4:$H$33,7,FALSE()),0)</f>
        <v>0</v>
      </c>
      <c r="D21" s="40" t="n">
        <f aca="false">IFERROR(VLOOKUP(B21,'6. Teaching Subject Entropy'!$B$4:$H$33,7,FALSE()),0)</f>
        <v>0</v>
      </c>
      <c r="E21" s="25" t="n">
        <f aca="false">C21*$C$4+D21*$D$4</f>
        <v>0</v>
      </c>
      <c r="F21" s="16" t="n">
        <f aca="false">IFERROR(RANK(E21,$E$5:$E$34,0),"")</f>
        <v>1</v>
      </c>
      <c r="G21" s="16" t="str">
        <f aca="false">IF(E21&gt;=80,"Very High",IF(E21&gt;=60,"High",IF(E21&gt;=40,"Medium",IF(E21&gt;=20,"Low","Very Low"))))</f>
        <v>Very Low</v>
      </c>
    </row>
    <row r="22" customFormat="false" ht="15" hidden="false" customHeight="false" outlineLevel="0" collapsed="false">
      <c r="A22" s="7" t="n">
        <v>18</v>
      </c>
      <c r="B22" s="19"/>
      <c r="C22" s="41" t="n">
        <f aca="false">IFERROR(VLOOKUP(B22,'5. Research Subject Entropy'!$B$4:$H$33,7,FALSE()),0)</f>
        <v>0</v>
      </c>
      <c r="D22" s="41" t="n">
        <f aca="false">IFERROR(VLOOKUP(B22,'6. Teaching Subject Entropy'!$B$4:$H$33,7,FALSE()),0)</f>
        <v>0</v>
      </c>
      <c r="E22" s="26" t="n">
        <f aca="false">C22*$C$4+D22*$D$4</f>
        <v>0</v>
      </c>
      <c r="F22" s="15" t="n">
        <f aca="false">IFERROR(RANK(E22,$E$5:$E$34,0),"")</f>
        <v>1</v>
      </c>
      <c r="G22" s="15" t="str">
        <f aca="false">IF(E22&gt;=80,"Very High",IF(E22&gt;=60,"High",IF(E22&gt;=40,"Medium",IF(E22&gt;=20,"Low","Very Low"))))</f>
        <v>Very Low</v>
      </c>
    </row>
    <row r="23" customFormat="false" ht="15" hidden="false" customHeight="false" outlineLevel="0" collapsed="false">
      <c r="A23" s="4" t="n">
        <v>19</v>
      </c>
      <c r="B23" s="20"/>
      <c r="C23" s="40" t="n">
        <f aca="false">IFERROR(VLOOKUP(B23,'5. Research Subject Entropy'!$B$4:$H$33,7,FALSE()),0)</f>
        <v>0</v>
      </c>
      <c r="D23" s="40" t="n">
        <f aca="false">IFERROR(VLOOKUP(B23,'6. Teaching Subject Entropy'!$B$4:$H$33,7,FALSE()),0)</f>
        <v>0</v>
      </c>
      <c r="E23" s="25" t="n">
        <f aca="false">C23*$C$4+D23*$D$4</f>
        <v>0</v>
      </c>
      <c r="F23" s="16" t="n">
        <f aca="false">IFERROR(RANK(E23,$E$5:$E$34,0),"")</f>
        <v>1</v>
      </c>
      <c r="G23" s="16" t="str">
        <f aca="false">IF(E23&gt;=80,"Very High",IF(E23&gt;=60,"High",IF(E23&gt;=40,"Medium",IF(E23&gt;=20,"Low","Very Low"))))</f>
        <v>Very Low</v>
      </c>
    </row>
    <row r="24" customFormat="false" ht="15" hidden="false" customHeight="false" outlineLevel="0" collapsed="false">
      <c r="A24" s="7" t="n">
        <v>20</v>
      </c>
      <c r="B24" s="19"/>
      <c r="C24" s="41" t="n">
        <f aca="false">IFERROR(VLOOKUP(B24,'5. Research Subject Entropy'!$B$4:$H$33,7,FALSE()),0)</f>
        <v>0</v>
      </c>
      <c r="D24" s="41" t="n">
        <f aca="false">IFERROR(VLOOKUP(B24,'6. Teaching Subject Entropy'!$B$4:$H$33,7,FALSE()),0)</f>
        <v>0</v>
      </c>
      <c r="E24" s="26" t="n">
        <f aca="false">C24*$C$4+D24*$D$4</f>
        <v>0</v>
      </c>
      <c r="F24" s="15" t="n">
        <f aca="false">IFERROR(RANK(E24,$E$5:$E$34,0),"")</f>
        <v>1</v>
      </c>
      <c r="G24" s="15" t="str">
        <f aca="false">IF(E24&gt;=80,"Very High",IF(E24&gt;=60,"High",IF(E24&gt;=40,"Medium",IF(E24&gt;=20,"Low","Very Low"))))</f>
        <v>Very Low</v>
      </c>
    </row>
    <row r="25" customFormat="false" ht="15" hidden="false" customHeight="false" outlineLevel="0" collapsed="false">
      <c r="A25" s="4" t="n">
        <v>21</v>
      </c>
      <c r="B25" s="20"/>
      <c r="C25" s="40" t="n">
        <f aca="false">IFERROR(VLOOKUP(B25,'5. Research Subject Entropy'!$B$4:$H$33,7,FALSE()),0)</f>
        <v>0</v>
      </c>
      <c r="D25" s="40" t="n">
        <f aca="false">IFERROR(VLOOKUP(B25,'6. Teaching Subject Entropy'!$B$4:$H$33,7,FALSE()),0)</f>
        <v>0</v>
      </c>
      <c r="E25" s="25" t="n">
        <f aca="false">C25*$C$4+D25*$D$4</f>
        <v>0</v>
      </c>
      <c r="F25" s="16" t="n">
        <f aca="false">IFERROR(RANK(E25,$E$5:$E$34,0),"")</f>
        <v>1</v>
      </c>
      <c r="G25" s="16" t="str">
        <f aca="false">IF(E25&gt;=80,"Very High",IF(E25&gt;=60,"High",IF(E25&gt;=40,"Medium",IF(E25&gt;=20,"Low","Very Low"))))</f>
        <v>Very Low</v>
      </c>
    </row>
    <row r="26" customFormat="false" ht="15" hidden="false" customHeight="false" outlineLevel="0" collapsed="false">
      <c r="A26" s="7" t="n">
        <v>22</v>
      </c>
      <c r="B26" s="19"/>
      <c r="C26" s="41" t="n">
        <f aca="false">IFERROR(VLOOKUP(B26,'5. Research Subject Entropy'!$B$4:$H$33,7,FALSE()),0)</f>
        <v>0</v>
      </c>
      <c r="D26" s="41" t="n">
        <f aca="false">IFERROR(VLOOKUP(B26,'6. Teaching Subject Entropy'!$B$4:$H$33,7,FALSE()),0)</f>
        <v>0</v>
      </c>
      <c r="E26" s="26" t="n">
        <f aca="false">C26*$C$4+D26*$D$4</f>
        <v>0</v>
      </c>
      <c r="F26" s="15" t="n">
        <f aca="false">IFERROR(RANK(E26,$E$5:$E$34,0),"")</f>
        <v>1</v>
      </c>
      <c r="G26" s="15" t="str">
        <f aca="false">IF(E26&gt;=80,"Very High",IF(E26&gt;=60,"High",IF(E26&gt;=40,"Medium",IF(E26&gt;=20,"Low","Very Low"))))</f>
        <v>Very Low</v>
      </c>
    </row>
    <row r="27" customFormat="false" ht="15" hidden="false" customHeight="false" outlineLevel="0" collapsed="false">
      <c r="A27" s="4" t="n">
        <v>23</v>
      </c>
      <c r="B27" s="20"/>
      <c r="C27" s="40" t="n">
        <f aca="false">IFERROR(VLOOKUP(B27,'5. Research Subject Entropy'!$B$4:$H$33,7,FALSE()),0)</f>
        <v>0</v>
      </c>
      <c r="D27" s="40" t="n">
        <f aca="false">IFERROR(VLOOKUP(B27,'6. Teaching Subject Entropy'!$B$4:$H$33,7,FALSE()),0)</f>
        <v>0</v>
      </c>
      <c r="E27" s="25" t="n">
        <f aca="false">C27*$C$4+D27*$D$4</f>
        <v>0</v>
      </c>
      <c r="F27" s="16" t="n">
        <f aca="false">IFERROR(RANK(E27,$E$5:$E$34,0),"")</f>
        <v>1</v>
      </c>
      <c r="G27" s="16" t="str">
        <f aca="false">IF(E27&gt;=80,"Very High",IF(E27&gt;=60,"High",IF(E27&gt;=40,"Medium",IF(E27&gt;=20,"Low","Very Low"))))</f>
        <v>Very Low</v>
      </c>
    </row>
    <row r="28" customFormat="false" ht="15" hidden="false" customHeight="false" outlineLevel="0" collapsed="false">
      <c r="A28" s="7" t="n">
        <v>24</v>
      </c>
      <c r="B28" s="19"/>
      <c r="C28" s="41" t="n">
        <f aca="false">IFERROR(VLOOKUP(B28,'5. Research Subject Entropy'!$B$4:$H$33,7,FALSE()),0)</f>
        <v>0</v>
      </c>
      <c r="D28" s="41" t="n">
        <f aca="false">IFERROR(VLOOKUP(B28,'6. Teaching Subject Entropy'!$B$4:$H$33,7,FALSE()),0)</f>
        <v>0</v>
      </c>
      <c r="E28" s="26" t="n">
        <f aca="false">C28*$C$4+D28*$D$4</f>
        <v>0</v>
      </c>
      <c r="F28" s="15" t="n">
        <f aca="false">IFERROR(RANK(E28,$E$5:$E$34,0),"")</f>
        <v>1</v>
      </c>
      <c r="G28" s="15" t="str">
        <f aca="false">IF(E28&gt;=80,"Very High",IF(E28&gt;=60,"High",IF(E28&gt;=40,"Medium",IF(E28&gt;=20,"Low","Very Low"))))</f>
        <v>Very Low</v>
      </c>
    </row>
    <row r="29" customFormat="false" ht="15" hidden="false" customHeight="false" outlineLevel="0" collapsed="false">
      <c r="A29" s="4" t="n">
        <v>25</v>
      </c>
      <c r="B29" s="20"/>
      <c r="C29" s="40" t="n">
        <f aca="false">IFERROR(VLOOKUP(B29,'5. Research Subject Entropy'!$B$4:$H$33,7,FALSE()),0)</f>
        <v>0</v>
      </c>
      <c r="D29" s="40" t="n">
        <f aca="false">IFERROR(VLOOKUP(B29,'6. Teaching Subject Entropy'!$B$4:$H$33,7,FALSE()),0)</f>
        <v>0</v>
      </c>
      <c r="E29" s="25" t="n">
        <f aca="false">C29*$C$4+D29*$D$4</f>
        <v>0</v>
      </c>
      <c r="F29" s="16" t="n">
        <f aca="false">IFERROR(RANK(E29,$E$5:$E$34,0),"")</f>
        <v>1</v>
      </c>
      <c r="G29" s="16" t="str">
        <f aca="false">IF(E29&gt;=80,"Very High",IF(E29&gt;=60,"High",IF(E29&gt;=40,"Medium",IF(E29&gt;=20,"Low","Very Low"))))</f>
        <v>Very Low</v>
      </c>
    </row>
    <row r="30" customFormat="false" ht="15" hidden="false" customHeight="false" outlineLevel="0" collapsed="false">
      <c r="A30" s="7" t="n">
        <v>26</v>
      </c>
      <c r="B30" s="19"/>
      <c r="C30" s="41" t="n">
        <f aca="false">IFERROR(VLOOKUP(B30,'5. Research Subject Entropy'!$B$4:$H$33,7,FALSE()),0)</f>
        <v>0</v>
      </c>
      <c r="D30" s="41" t="n">
        <f aca="false">IFERROR(VLOOKUP(B30,'6. Teaching Subject Entropy'!$B$4:$H$33,7,FALSE()),0)</f>
        <v>0</v>
      </c>
      <c r="E30" s="26" t="n">
        <f aca="false">C30*$C$4+D30*$D$4</f>
        <v>0</v>
      </c>
      <c r="F30" s="15" t="n">
        <f aca="false">IFERROR(RANK(E30,$E$5:$E$34,0),"")</f>
        <v>1</v>
      </c>
      <c r="G30" s="15" t="str">
        <f aca="false">IF(E30&gt;=80,"Very High",IF(E30&gt;=60,"High",IF(E30&gt;=40,"Medium",IF(E30&gt;=20,"Low","Very Low"))))</f>
        <v>Very Low</v>
      </c>
    </row>
    <row r="31" customFormat="false" ht="15" hidden="false" customHeight="false" outlineLevel="0" collapsed="false">
      <c r="A31" s="4" t="n">
        <v>27</v>
      </c>
      <c r="B31" s="20"/>
      <c r="C31" s="40" t="n">
        <f aca="false">IFERROR(VLOOKUP(B31,'5. Research Subject Entropy'!$B$4:$H$33,7,FALSE()),0)</f>
        <v>0</v>
      </c>
      <c r="D31" s="40" t="n">
        <f aca="false">IFERROR(VLOOKUP(B31,'6. Teaching Subject Entropy'!$B$4:$H$33,7,FALSE()),0)</f>
        <v>0</v>
      </c>
      <c r="E31" s="25" t="n">
        <f aca="false">C31*$C$4+D31*$D$4</f>
        <v>0</v>
      </c>
      <c r="F31" s="16" t="n">
        <f aca="false">IFERROR(RANK(E31,$E$5:$E$34,0),"")</f>
        <v>1</v>
      </c>
      <c r="G31" s="16" t="str">
        <f aca="false">IF(E31&gt;=80,"Very High",IF(E31&gt;=60,"High",IF(E31&gt;=40,"Medium",IF(E31&gt;=20,"Low","Very Low"))))</f>
        <v>Very Low</v>
      </c>
    </row>
    <row r="32" customFormat="false" ht="15" hidden="false" customHeight="false" outlineLevel="0" collapsed="false">
      <c r="A32" s="7" t="n">
        <v>28</v>
      </c>
      <c r="B32" s="19"/>
      <c r="C32" s="41" t="n">
        <f aca="false">IFERROR(VLOOKUP(B32,'5. Research Subject Entropy'!$B$4:$H$33,7,FALSE()),0)</f>
        <v>0</v>
      </c>
      <c r="D32" s="41" t="n">
        <f aca="false">IFERROR(VLOOKUP(B32,'6. Teaching Subject Entropy'!$B$4:$H$33,7,FALSE()),0)</f>
        <v>0</v>
      </c>
      <c r="E32" s="26" t="n">
        <f aca="false">C32*$C$4+D32*$D$4</f>
        <v>0</v>
      </c>
      <c r="F32" s="15" t="n">
        <f aca="false">IFERROR(RANK(E32,$E$5:$E$34,0),"")</f>
        <v>1</v>
      </c>
      <c r="G32" s="15" t="str">
        <f aca="false">IF(E32&gt;=80,"Very High",IF(E32&gt;=60,"High",IF(E32&gt;=40,"Medium",IF(E32&gt;=20,"Low","Very Low"))))</f>
        <v>Very Low</v>
      </c>
    </row>
    <row r="33" customFormat="false" ht="15" hidden="false" customHeight="false" outlineLevel="0" collapsed="false">
      <c r="A33" s="4" t="n">
        <v>29</v>
      </c>
      <c r="B33" s="20"/>
      <c r="C33" s="40" t="n">
        <f aca="false">IFERROR(VLOOKUP(B33,'5. Research Subject Entropy'!$B$4:$H$33,7,FALSE()),0)</f>
        <v>0</v>
      </c>
      <c r="D33" s="40" t="n">
        <f aca="false">IFERROR(VLOOKUP(B33,'6. Teaching Subject Entropy'!$B$4:$H$33,7,FALSE()),0)</f>
        <v>0</v>
      </c>
      <c r="E33" s="25" t="n">
        <f aca="false">C33*$C$4+D33*$D$4</f>
        <v>0</v>
      </c>
      <c r="F33" s="16" t="n">
        <f aca="false">IFERROR(RANK(E33,$E$5:$E$34,0),"")</f>
        <v>1</v>
      </c>
      <c r="G33" s="16" t="str">
        <f aca="false">IF(E33&gt;=80,"Very High",IF(E33&gt;=60,"High",IF(E33&gt;=40,"Medium",IF(E33&gt;=20,"Low","Very Low"))))</f>
        <v>Very Low</v>
      </c>
    </row>
    <row r="34" customFormat="false" ht="15" hidden="false" customHeight="false" outlineLevel="0" collapsed="false">
      <c r="A34" s="7" t="n">
        <v>30</v>
      </c>
      <c r="B34" s="19"/>
      <c r="C34" s="41" t="n">
        <f aca="false">IFERROR(VLOOKUP(B34,'5. Research Subject Entropy'!$B$4:$H$33,7,FALSE()),0)</f>
        <v>0</v>
      </c>
      <c r="D34" s="41" t="n">
        <f aca="false">IFERROR(VLOOKUP(B34,'6. Teaching Subject Entropy'!$B$4:$H$33,7,FALSE()),0)</f>
        <v>0</v>
      </c>
      <c r="E34" s="26" t="n">
        <f aca="false">C34*$C$4+D34*$D$4</f>
        <v>0</v>
      </c>
      <c r="F34" s="15" t="n">
        <f aca="false">IFERROR(RANK(E34,$E$5:$E$34,0),"")</f>
        <v>1</v>
      </c>
      <c r="G34" s="15" t="str">
        <f aca="false">IF(E34&gt;=80,"Very High",IF(E34&gt;=60,"High",IF(E34&gt;=40,"Medium",IF(E34&gt;=20,"Low","Very Low"))))</f>
        <v>Very Low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13" min="3" style="0" width="14"/>
    <col collapsed="false" customWidth="true" hidden="false" outlineLevel="0" max="14" min="14" style="0" width="18"/>
    <col collapsed="false" customWidth="true" hidden="false" outlineLevel="0" max="15" min="15" style="0" width="20"/>
  </cols>
  <sheetData>
    <row r="1" customFormat="false" ht="33.75" hidden="false" customHeight="true" outlineLevel="0" collapsed="false">
      <c r="A1" s="42" t="s">
        <v>522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customFormat="false" ht="25.5" hidden="false" customHeight="true" outlineLevel="0" collapsed="false">
      <c r="A2" s="43" t="s">
        <v>523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4" customFormat="false" ht="23.85" hidden="false" customHeight="false" outlineLevel="0" collapsed="false">
      <c r="A4" s="44" t="s">
        <v>503</v>
      </c>
      <c r="B4" s="44" t="s">
        <v>524</v>
      </c>
      <c r="C4" s="44" t="s">
        <v>525</v>
      </c>
      <c r="D4" s="44" t="s">
        <v>526</v>
      </c>
      <c r="E4" s="44" t="s">
        <v>527</v>
      </c>
      <c r="F4" s="44" t="s">
        <v>528</v>
      </c>
      <c r="G4" s="44" t="s">
        <v>529</v>
      </c>
      <c r="H4" s="44" t="s">
        <v>530</v>
      </c>
      <c r="I4" s="44" t="s">
        <v>531</v>
      </c>
      <c r="J4" s="44" t="s">
        <v>532</v>
      </c>
      <c r="K4" s="44" t="s">
        <v>533</v>
      </c>
      <c r="L4" s="44" t="s">
        <v>534</v>
      </c>
      <c r="M4" s="44" t="s">
        <v>535</v>
      </c>
      <c r="N4" s="24" t="s">
        <v>536</v>
      </c>
      <c r="O4" s="24" t="s">
        <v>537</v>
      </c>
    </row>
    <row r="5" customFormat="false" ht="23.85" hidden="false" customHeight="false" outlineLevel="0" collapsed="false">
      <c r="A5" s="4" t="n">
        <v>1</v>
      </c>
      <c r="B5" s="20"/>
      <c r="C5" s="40" t="n">
        <f aca="false">IFERROR('3. Research Subject Matrix'!B6/'3. Research Subject Matrix'!M6*100,0)</f>
        <v>0</v>
      </c>
      <c r="D5" s="40" t="n">
        <f aca="false">IFERROR('3. Research Subject Matrix'!C6/'3. Research Subject Matrix'!M6*100,0)</f>
        <v>0</v>
      </c>
      <c r="E5" s="40" t="n">
        <f aca="false">IFERROR('3. Research Subject Matrix'!D6/'3. Research Subject Matrix'!M6*100,0)</f>
        <v>0</v>
      </c>
      <c r="F5" s="40" t="n">
        <f aca="false">IFERROR('3. Research Subject Matrix'!E6/'3. Research Subject Matrix'!M6*100,0)</f>
        <v>0</v>
      </c>
      <c r="G5" s="40" t="n">
        <f aca="false">IFERROR('3. Research Subject Matrix'!F6/'3. Research Subject Matrix'!M6*100,0)</f>
        <v>0</v>
      </c>
      <c r="H5" s="40" t="n">
        <f aca="false">IFERROR('3. Research Subject Matrix'!G6/'3. Research Subject Matrix'!M6*100,0)</f>
        <v>0</v>
      </c>
      <c r="I5" s="40" t="n">
        <f aca="false">IFERROR('3. Research Subject Matrix'!H6/'3. Research Subject Matrix'!M6*100,0)</f>
        <v>0</v>
      </c>
      <c r="J5" s="40" t="n">
        <f aca="false">IFERROR('3. Research Subject Matrix'!I6/'3. Research Subject Matrix'!M6*100,0)</f>
        <v>0</v>
      </c>
      <c r="K5" s="40" t="n">
        <f aca="false">IFERROR('3. Research Subject Matrix'!J6/'3. Research Subject Matrix'!M6*100,0)</f>
        <v>0</v>
      </c>
      <c r="L5" s="40" t="n">
        <f aca="false">IFERROR('3. Research Subject Matrix'!K6/'3. Research Subject Matrix'!M6*100,0)</f>
        <v>0</v>
      </c>
      <c r="M5" s="40" t="n">
        <f aca="false">IFERROR('3. Research Subject Matrix'!L6/'3. Research Subject Matrix'!M6*100,0)</f>
        <v>0</v>
      </c>
      <c r="N5" s="16" t="str">
        <f aca="false">IFERROR(INDEX({"AH","BE","CH","CS","ED","EN","LW","LS","PS","PY","SS"},MATCH(MAX(C5:M5),C5:M5,0)),"")</f>
        <v>AH</v>
      </c>
      <c r="O5" s="4" t="str">
        <f aca="false">COUNTIF(C5:M5,0)&amp;" of 11 subjects missing"</f>
        <v>11 of 11 subjects missing</v>
      </c>
    </row>
    <row r="6" customFormat="false" ht="23.85" hidden="false" customHeight="false" outlineLevel="0" collapsed="false">
      <c r="A6" s="7" t="n">
        <v>2</v>
      </c>
      <c r="B6" s="19"/>
      <c r="C6" s="41" t="n">
        <f aca="false">IFERROR('3. Research Subject Matrix'!B7/'3. Research Subject Matrix'!M7*100,0)</f>
        <v>0</v>
      </c>
      <c r="D6" s="41" t="n">
        <f aca="false">IFERROR('3. Research Subject Matrix'!C7/'3. Research Subject Matrix'!M7*100,0)</f>
        <v>0</v>
      </c>
      <c r="E6" s="41" t="n">
        <f aca="false">IFERROR('3. Research Subject Matrix'!D7/'3. Research Subject Matrix'!M7*100,0)</f>
        <v>0</v>
      </c>
      <c r="F6" s="41" t="n">
        <f aca="false">IFERROR('3. Research Subject Matrix'!E7/'3. Research Subject Matrix'!M7*100,0)</f>
        <v>0</v>
      </c>
      <c r="G6" s="41" t="n">
        <f aca="false">IFERROR('3. Research Subject Matrix'!F7/'3. Research Subject Matrix'!M7*100,0)</f>
        <v>0</v>
      </c>
      <c r="H6" s="41" t="n">
        <f aca="false">IFERROR('3. Research Subject Matrix'!G7/'3. Research Subject Matrix'!M7*100,0)</f>
        <v>0</v>
      </c>
      <c r="I6" s="41" t="n">
        <f aca="false">IFERROR('3. Research Subject Matrix'!H7/'3. Research Subject Matrix'!M7*100,0)</f>
        <v>0</v>
      </c>
      <c r="J6" s="41" t="n">
        <f aca="false">IFERROR('3. Research Subject Matrix'!I7/'3. Research Subject Matrix'!M7*100,0)</f>
        <v>0</v>
      </c>
      <c r="K6" s="41" t="n">
        <f aca="false">IFERROR('3. Research Subject Matrix'!J7/'3. Research Subject Matrix'!M7*100,0)</f>
        <v>0</v>
      </c>
      <c r="L6" s="41" t="n">
        <f aca="false">IFERROR('3. Research Subject Matrix'!K7/'3. Research Subject Matrix'!M7*100,0)</f>
        <v>0</v>
      </c>
      <c r="M6" s="41" t="n">
        <f aca="false">IFERROR('3. Research Subject Matrix'!L7/'3. Research Subject Matrix'!M7*100,0)</f>
        <v>0</v>
      </c>
      <c r="N6" s="15" t="str">
        <f aca="false">IFERROR(INDEX({"AH","BE","CH","CS","ED","EN","LW","LS","PS","PY","SS"},MATCH(MAX(C6:M6),C6:M6,0)),"")</f>
        <v>AH</v>
      </c>
      <c r="O6" s="7" t="str">
        <f aca="false">COUNTIF(C6:M6,0)&amp;" of 11 subjects missing"</f>
        <v>11 of 11 subjects missing</v>
      </c>
    </row>
    <row r="7" customFormat="false" ht="23.85" hidden="false" customHeight="false" outlineLevel="0" collapsed="false">
      <c r="A7" s="4" t="n">
        <v>3</v>
      </c>
      <c r="B7" s="20"/>
      <c r="C7" s="40" t="n">
        <f aca="false">IFERROR('3. Research Subject Matrix'!B8/'3. Research Subject Matrix'!M8*100,0)</f>
        <v>0</v>
      </c>
      <c r="D7" s="40" t="n">
        <f aca="false">IFERROR('3. Research Subject Matrix'!C8/'3. Research Subject Matrix'!M8*100,0)</f>
        <v>0</v>
      </c>
      <c r="E7" s="40" t="n">
        <f aca="false">IFERROR('3. Research Subject Matrix'!D8/'3. Research Subject Matrix'!M8*100,0)</f>
        <v>0</v>
      </c>
      <c r="F7" s="40" t="n">
        <f aca="false">IFERROR('3. Research Subject Matrix'!E8/'3. Research Subject Matrix'!M8*100,0)</f>
        <v>0</v>
      </c>
      <c r="G7" s="40" t="n">
        <f aca="false">IFERROR('3. Research Subject Matrix'!F8/'3. Research Subject Matrix'!M8*100,0)</f>
        <v>0</v>
      </c>
      <c r="H7" s="40" t="n">
        <f aca="false">IFERROR('3. Research Subject Matrix'!G8/'3. Research Subject Matrix'!M8*100,0)</f>
        <v>0</v>
      </c>
      <c r="I7" s="40" t="n">
        <f aca="false">IFERROR('3. Research Subject Matrix'!H8/'3. Research Subject Matrix'!M8*100,0)</f>
        <v>0</v>
      </c>
      <c r="J7" s="40" t="n">
        <f aca="false">IFERROR('3. Research Subject Matrix'!I8/'3. Research Subject Matrix'!M8*100,0)</f>
        <v>0</v>
      </c>
      <c r="K7" s="40" t="n">
        <f aca="false">IFERROR('3. Research Subject Matrix'!J8/'3. Research Subject Matrix'!M8*100,0)</f>
        <v>0</v>
      </c>
      <c r="L7" s="40" t="n">
        <f aca="false">IFERROR('3. Research Subject Matrix'!K8/'3. Research Subject Matrix'!M8*100,0)</f>
        <v>0</v>
      </c>
      <c r="M7" s="40" t="n">
        <f aca="false">IFERROR('3. Research Subject Matrix'!L8/'3. Research Subject Matrix'!M8*100,0)</f>
        <v>0</v>
      </c>
      <c r="N7" s="16" t="str">
        <f aca="false">IFERROR(INDEX({"AH","BE","CH","CS","ED","EN","LW","LS","PS","PY","SS"},MATCH(MAX(C7:M7),C7:M7,0)),"")</f>
        <v>AH</v>
      </c>
      <c r="O7" s="4" t="str">
        <f aca="false">COUNTIF(C7:M7,0)&amp;" of 11 subjects missing"</f>
        <v>11 of 11 subjects missing</v>
      </c>
    </row>
    <row r="8" customFormat="false" ht="23.85" hidden="false" customHeight="false" outlineLevel="0" collapsed="false">
      <c r="A8" s="7" t="n">
        <v>4</v>
      </c>
      <c r="B8" s="19"/>
      <c r="C8" s="41" t="n">
        <f aca="false">IFERROR('3. Research Subject Matrix'!B9/'3. Research Subject Matrix'!M9*100,0)</f>
        <v>0</v>
      </c>
      <c r="D8" s="41" t="n">
        <f aca="false">IFERROR('3. Research Subject Matrix'!C9/'3. Research Subject Matrix'!M9*100,0)</f>
        <v>0</v>
      </c>
      <c r="E8" s="41" t="n">
        <f aca="false">IFERROR('3. Research Subject Matrix'!D9/'3. Research Subject Matrix'!M9*100,0)</f>
        <v>0</v>
      </c>
      <c r="F8" s="41" t="n">
        <f aca="false">IFERROR('3. Research Subject Matrix'!E9/'3. Research Subject Matrix'!M9*100,0)</f>
        <v>0</v>
      </c>
      <c r="G8" s="41" t="n">
        <f aca="false">IFERROR('3. Research Subject Matrix'!F9/'3. Research Subject Matrix'!M9*100,0)</f>
        <v>0</v>
      </c>
      <c r="H8" s="41" t="n">
        <f aca="false">IFERROR('3. Research Subject Matrix'!G9/'3. Research Subject Matrix'!M9*100,0)</f>
        <v>0</v>
      </c>
      <c r="I8" s="41" t="n">
        <f aca="false">IFERROR('3. Research Subject Matrix'!H9/'3. Research Subject Matrix'!M9*100,0)</f>
        <v>0</v>
      </c>
      <c r="J8" s="41" t="n">
        <f aca="false">IFERROR('3. Research Subject Matrix'!I9/'3. Research Subject Matrix'!M9*100,0)</f>
        <v>0</v>
      </c>
      <c r="K8" s="41" t="n">
        <f aca="false">IFERROR('3. Research Subject Matrix'!J9/'3. Research Subject Matrix'!M9*100,0)</f>
        <v>0</v>
      </c>
      <c r="L8" s="41" t="n">
        <f aca="false">IFERROR('3. Research Subject Matrix'!K9/'3. Research Subject Matrix'!M9*100,0)</f>
        <v>0</v>
      </c>
      <c r="M8" s="41" t="n">
        <f aca="false">IFERROR('3. Research Subject Matrix'!L9/'3. Research Subject Matrix'!M9*100,0)</f>
        <v>0</v>
      </c>
      <c r="N8" s="15" t="str">
        <f aca="false">IFERROR(INDEX({"AH","BE","CH","CS","ED","EN","LW","LS","PS","PY","SS"},MATCH(MAX(C8:M8),C8:M8,0)),"")</f>
        <v>AH</v>
      </c>
      <c r="O8" s="7" t="str">
        <f aca="false">COUNTIF(C8:M8,0)&amp;" of 11 subjects missing"</f>
        <v>11 of 11 subjects missing</v>
      </c>
    </row>
    <row r="9" customFormat="false" ht="23.85" hidden="false" customHeight="false" outlineLevel="0" collapsed="false">
      <c r="A9" s="4" t="n">
        <v>5</v>
      </c>
      <c r="B9" s="20"/>
      <c r="C9" s="40" t="n">
        <f aca="false">IFERROR('3. Research Subject Matrix'!B10/'3. Research Subject Matrix'!M10*100,0)</f>
        <v>0</v>
      </c>
      <c r="D9" s="40" t="n">
        <f aca="false">IFERROR('3. Research Subject Matrix'!C10/'3. Research Subject Matrix'!M10*100,0)</f>
        <v>0</v>
      </c>
      <c r="E9" s="40" t="n">
        <f aca="false">IFERROR('3. Research Subject Matrix'!D10/'3. Research Subject Matrix'!M10*100,0)</f>
        <v>0</v>
      </c>
      <c r="F9" s="40" t="n">
        <f aca="false">IFERROR('3. Research Subject Matrix'!E10/'3. Research Subject Matrix'!M10*100,0)</f>
        <v>0</v>
      </c>
      <c r="G9" s="40" t="n">
        <f aca="false">IFERROR('3. Research Subject Matrix'!F10/'3. Research Subject Matrix'!M10*100,0)</f>
        <v>0</v>
      </c>
      <c r="H9" s="40" t="n">
        <f aca="false">IFERROR('3. Research Subject Matrix'!G10/'3. Research Subject Matrix'!M10*100,0)</f>
        <v>0</v>
      </c>
      <c r="I9" s="40" t="n">
        <f aca="false">IFERROR('3. Research Subject Matrix'!H10/'3. Research Subject Matrix'!M10*100,0)</f>
        <v>0</v>
      </c>
      <c r="J9" s="40" t="n">
        <f aca="false">IFERROR('3. Research Subject Matrix'!I10/'3. Research Subject Matrix'!M10*100,0)</f>
        <v>0</v>
      </c>
      <c r="K9" s="40" t="n">
        <f aca="false">IFERROR('3. Research Subject Matrix'!J10/'3. Research Subject Matrix'!M10*100,0)</f>
        <v>0</v>
      </c>
      <c r="L9" s="40" t="n">
        <f aca="false">IFERROR('3. Research Subject Matrix'!K10/'3. Research Subject Matrix'!M10*100,0)</f>
        <v>0</v>
      </c>
      <c r="M9" s="40" t="n">
        <f aca="false">IFERROR('3. Research Subject Matrix'!L10/'3. Research Subject Matrix'!M10*100,0)</f>
        <v>0</v>
      </c>
      <c r="N9" s="16" t="str">
        <f aca="false">IFERROR(INDEX({"AH","BE","CH","CS","ED","EN","LW","LS","PS","PY","SS"},MATCH(MAX(C9:M9),C9:M9,0)),"")</f>
        <v>AH</v>
      </c>
      <c r="O9" s="4" t="str">
        <f aca="false">COUNTIF(C9:M9,0)&amp;" of 11 subjects missing"</f>
        <v>11 of 11 subjects missing</v>
      </c>
    </row>
    <row r="10" customFormat="false" ht="23.85" hidden="false" customHeight="false" outlineLevel="0" collapsed="false">
      <c r="A10" s="7" t="n">
        <v>6</v>
      </c>
      <c r="B10" s="19"/>
      <c r="C10" s="41" t="n">
        <f aca="false">IFERROR('3. Research Subject Matrix'!B11/'3. Research Subject Matrix'!M11*100,0)</f>
        <v>0</v>
      </c>
      <c r="D10" s="41" t="n">
        <f aca="false">IFERROR('3. Research Subject Matrix'!C11/'3. Research Subject Matrix'!M11*100,0)</f>
        <v>0</v>
      </c>
      <c r="E10" s="41" t="n">
        <f aca="false">IFERROR('3. Research Subject Matrix'!D11/'3. Research Subject Matrix'!M11*100,0)</f>
        <v>0</v>
      </c>
      <c r="F10" s="41" t="n">
        <f aca="false">IFERROR('3. Research Subject Matrix'!E11/'3. Research Subject Matrix'!M11*100,0)</f>
        <v>0</v>
      </c>
      <c r="G10" s="41" t="n">
        <f aca="false">IFERROR('3. Research Subject Matrix'!F11/'3. Research Subject Matrix'!M11*100,0)</f>
        <v>0</v>
      </c>
      <c r="H10" s="41" t="n">
        <f aca="false">IFERROR('3. Research Subject Matrix'!G11/'3. Research Subject Matrix'!M11*100,0)</f>
        <v>0</v>
      </c>
      <c r="I10" s="41" t="n">
        <f aca="false">IFERROR('3. Research Subject Matrix'!H11/'3. Research Subject Matrix'!M11*100,0)</f>
        <v>0</v>
      </c>
      <c r="J10" s="41" t="n">
        <f aca="false">IFERROR('3. Research Subject Matrix'!I11/'3. Research Subject Matrix'!M11*100,0)</f>
        <v>0</v>
      </c>
      <c r="K10" s="41" t="n">
        <f aca="false">IFERROR('3. Research Subject Matrix'!J11/'3. Research Subject Matrix'!M11*100,0)</f>
        <v>0</v>
      </c>
      <c r="L10" s="41" t="n">
        <f aca="false">IFERROR('3. Research Subject Matrix'!K11/'3. Research Subject Matrix'!M11*100,0)</f>
        <v>0</v>
      </c>
      <c r="M10" s="41" t="n">
        <f aca="false">IFERROR('3. Research Subject Matrix'!L11/'3. Research Subject Matrix'!M11*100,0)</f>
        <v>0</v>
      </c>
      <c r="N10" s="15" t="str">
        <f aca="false">IFERROR(INDEX({"AH","BE","CH","CS","ED","EN","LW","LS","PS","PY","SS"},MATCH(MAX(C10:M10),C10:M10,0)),"")</f>
        <v>AH</v>
      </c>
      <c r="O10" s="7" t="str">
        <f aca="false">COUNTIF(C10:M10,0)&amp;" of 11 subjects missing"</f>
        <v>11 of 11 subjects missing</v>
      </c>
    </row>
    <row r="11" customFormat="false" ht="23.85" hidden="false" customHeight="false" outlineLevel="0" collapsed="false">
      <c r="A11" s="4" t="n">
        <v>7</v>
      </c>
      <c r="B11" s="20"/>
      <c r="C11" s="40" t="n">
        <f aca="false">IFERROR('3. Research Subject Matrix'!B12/'3. Research Subject Matrix'!M12*100,0)</f>
        <v>0</v>
      </c>
      <c r="D11" s="40" t="n">
        <f aca="false">IFERROR('3. Research Subject Matrix'!C12/'3. Research Subject Matrix'!M12*100,0)</f>
        <v>0</v>
      </c>
      <c r="E11" s="40" t="n">
        <f aca="false">IFERROR('3. Research Subject Matrix'!D12/'3. Research Subject Matrix'!M12*100,0)</f>
        <v>0</v>
      </c>
      <c r="F11" s="40" t="n">
        <f aca="false">IFERROR('3. Research Subject Matrix'!E12/'3. Research Subject Matrix'!M12*100,0)</f>
        <v>0</v>
      </c>
      <c r="G11" s="40" t="n">
        <f aca="false">IFERROR('3. Research Subject Matrix'!F12/'3. Research Subject Matrix'!M12*100,0)</f>
        <v>0</v>
      </c>
      <c r="H11" s="40" t="n">
        <f aca="false">IFERROR('3. Research Subject Matrix'!G12/'3. Research Subject Matrix'!M12*100,0)</f>
        <v>0</v>
      </c>
      <c r="I11" s="40" t="n">
        <f aca="false">IFERROR('3. Research Subject Matrix'!H12/'3. Research Subject Matrix'!M12*100,0)</f>
        <v>0</v>
      </c>
      <c r="J11" s="40" t="n">
        <f aca="false">IFERROR('3. Research Subject Matrix'!I12/'3. Research Subject Matrix'!M12*100,0)</f>
        <v>0</v>
      </c>
      <c r="K11" s="40" t="n">
        <f aca="false">IFERROR('3. Research Subject Matrix'!J12/'3. Research Subject Matrix'!M12*100,0)</f>
        <v>0</v>
      </c>
      <c r="L11" s="40" t="n">
        <f aca="false">IFERROR('3. Research Subject Matrix'!K12/'3. Research Subject Matrix'!M12*100,0)</f>
        <v>0</v>
      </c>
      <c r="M11" s="40" t="n">
        <f aca="false">IFERROR('3. Research Subject Matrix'!L12/'3. Research Subject Matrix'!M12*100,0)</f>
        <v>0</v>
      </c>
      <c r="N11" s="16" t="str">
        <f aca="false">IFERROR(INDEX({"AH","BE","CH","CS","ED","EN","LW","LS","PS","PY","SS"},MATCH(MAX(C11:M11),C11:M11,0)),"")</f>
        <v>AH</v>
      </c>
      <c r="O11" s="4" t="str">
        <f aca="false">COUNTIF(C11:M11,0)&amp;" of 11 subjects missing"</f>
        <v>11 of 11 subjects missing</v>
      </c>
    </row>
    <row r="12" customFormat="false" ht="23.85" hidden="false" customHeight="false" outlineLevel="0" collapsed="false">
      <c r="A12" s="7" t="n">
        <v>8</v>
      </c>
      <c r="B12" s="19"/>
      <c r="C12" s="41" t="n">
        <f aca="false">IFERROR('3. Research Subject Matrix'!B13/'3. Research Subject Matrix'!M13*100,0)</f>
        <v>0</v>
      </c>
      <c r="D12" s="41" t="n">
        <f aca="false">IFERROR('3. Research Subject Matrix'!C13/'3. Research Subject Matrix'!M13*100,0)</f>
        <v>0</v>
      </c>
      <c r="E12" s="41" t="n">
        <f aca="false">IFERROR('3. Research Subject Matrix'!D13/'3. Research Subject Matrix'!M13*100,0)</f>
        <v>0</v>
      </c>
      <c r="F12" s="41" t="n">
        <f aca="false">IFERROR('3. Research Subject Matrix'!E13/'3. Research Subject Matrix'!M13*100,0)</f>
        <v>0</v>
      </c>
      <c r="G12" s="41" t="n">
        <f aca="false">IFERROR('3. Research Subject Matrix'!F13/'3. Research Subject Matrix'!M13*100,0)</f>
        <v>0</v>
      </c>
      <c r="H12" s="41" t="n">
        <f aca="false">IFERROR('3. Research Subject Matrix'!G13/'3. Research Subject Matrix'!M13*100,0)</f>
        <v>0</v>
      </c>
      <c r="I12" s="41" t="n">
        <f aca="false">IFERROR('3. Research Subject Matrix'!H13/'3. Research Subject Matrix'!M13*100,0)</f>
        <v>0</v>
      </c>
      <c r="J12" s="41" t="n">
        <f aca="false">IFERROR('3. Research Subject Matrix'!I13/'3. Research Subject Matrix'!M13*100,0)</f>
        <v>0</v>
      </c>
      <c r="K12" s="41" t="n">
        <f aca="false">IFERROR('3. Research Subject Matrix'!J13/'3. Research Subject Matrix'!M13*100,0)</f>
        <v>0</v>
      </c>
      <c r="L12" s="41" t="n">
        <f aca="false">IFERROR('3. Research Subject Matrix'!K13/'3. Research Subject Matrix'!M13*100,0)</f>
        <v>0</v>
      </c>
      <c r="M12" s="41" t="n">
        <f aca="false">IFERROR('3. Research Subject Matrix'!L13/'3. Research Subject Matrix'!M13*100,0)</f>
        <v>0</v>
      </c>
      <c r="N12" s="15" t="str">
        <f aca="false">IFERROR(INDEX({"AH","BE","CH","CS","ED","EN","LW","LS","PS","PY","SS"},MATCH(MAX(C12:M12),C12:M12,0)),"")</f>
        <v>AH</v>
      </c>
      <c r="O12" s="7" t="str">
        <f aca="false">COUNTIF(C12:M12,0)&amp;" of 11 subjects missing"</f>
        <v>11 of 11 subjects missing</v>
      </c>
    </row>
    <row r="13" customFormat="false" ht="23.85" hidden="false" customHeight="false" outlineLevel="0" collapsed="false">
      <c r="A13" s="4" t="n">
        <v>9</v>
      </c>
      <c r="B13" s="20"/>
      <c r="C13" s="40" t="n">
        <f aca="false">IFERROR('3. Research Subject Matrix'!B14/'3. Research Subject Matrix'!M14*100,0)</f>
        <v>0</v>
      </c>
      <c r="D13" s="40" t="n">
        <f aca="false">IFERROR('3. Research Subject Matrix'!C14/'3. Research Subject Matrix'!M14*100,0)</f>
        <v>0</v>
      </c>
      <c r="E13" s="40" t="n">
        <f aca="false">IFERROR('3. Research Subject Matrix'!D14/'3. Research Subject Matrix'!M14*100,0)</f>
        <v>0</v>
      </c>
      <c r="F13" s="40" t="n">
        <f aca="false">IFERROR('3. Research Subject Matrix'!E14/'3. Research Subject Matrix'!M14*100,0)</f>
        <v>0</v>
      </c>
      <c r="G13" s="40" t="n">
        <f aca="false">IFERROR('3. Research Subject Matrix'!F14/'3. Research Subject Matrix'!M14*100,0)</f>
        <v>0</v>
      </c>
      <c r="H13" s="40" t="n">
        <f aca="false">IFERROR('3. Research Subject Matrix'!G14/'3. Research Subject Matrix'!M14*100,0)</f>
        <v>0</v>
      </c>
      <c r="I13" s="40" t="n">
        <f aca="false">IFERROR('3. Research Subject Matrix'!H14/'3. Research Subject Matrix'!M14*100,0)</f>
        <v>0</v>
      </c>
      <c r="J13" s="40" t="n">
        <f aca="false">IFERROR('3. Research Subject Matrix'!I14/'3. Research Subject Matrix'!M14*100,0)</f>
        <v>0</v>
      </c>
      <c r="K13" s="40" t="n">
        <f aca="false">IFERROR('3. Research Subject Matrix'!J14/'3. Research Subject Matrix'!M14*100,0)</f>
        <v>0</v>
      </c>
      <c r="L13" s="40" t="n">
        <f aca="false">IFERROR('3. Research Subject Matrix'!K14/'3. Research Subject Matrix'!M14*100,0)</f>
        <v>0</v>
      </c>
      <c r="M13" s="40" t="n">
        <f aca="false">IFERROR('3. Research Subject Matrix'!L14/'3. Research Subject Matrix'!M14*100,0)</f>
        <v>0</v>
      </c>
      <c r="N13" s="16" t="str">
        <f aca="false">IFERROR(INDEX({"AH","BE","CH","CS","ED","EN","LW","LS","PS","PY","SS"},MATCH(MAX(C13:M13),C13:M13,0)),"")</f>
        <v>AH</v>
      </c>
      <c r="O13" s="4" t="str">
        <f aca="false">COUNTIF(C13:M13,0)&amp;" of 11 subjects missing"</f>
        <v>11 of 11 subjects missing</v>
      </c>
    </row>
    <row r="14" customFormat="false" ht="23.85" hidden="false" customHeight="false" outlineLevel="0" collapsed="false">
      <c r="A14" s="7" t="n">
        <v>10</v>
      </c>
      <c r="B14" s="19"/>
      <c r="C14" s="41" t="n">
        <f aca="false">IFERROR('3. Research Subject Matrix'!B15/'3. Research Subject Matrix'!M15*100,0)</f>
        <v>0</v>
      </c>
      <c r="D14" s="41" t="n">
        <f aca="false">IFERROR('3. Research Subject Matrix'!C15/'3. Research Subject Matrix'!M15*100,0)</f>
        <v>0</v>
      </c>
      <c r="E14" s="41" t="n">
        <f aca="false">IFERROR('3. Research Subject Matrix'!D15/'3. Research Subject Matrix'!M15*100,0)</f>
        <v>0</v>
      </c>
      <c r="F14" s="41" t="n">
        <f aca="false">IFERROR('3. Research Subject Matrix'!E15/'3. Research Subject Matrix'!M15*100,0)</f>
        <v>0</v>
      </c>
      <c r="G14" s="41" t="n">
        <f aca="false">IFERROR('3. Research Subject Matrix'!F15/'3. Research Subject Matrix'!M15*100,0)</f>
        <v>0</v>
      </c>
      <c r="H14" s="41" t="n">
        <f aca="false">IFERROR('3. Research Subject Matrix'!G15/'3. Research Subject Matrix'!M15*100,0)</f>
        <v>0</v>
      </c>
      <c r="I14" s="41" t="n">
        <f aca="false">IFERROR('3. Research Subject Matrix'!H15/'3. Research Subject Matrix'!M15*100,0)</f>
        <v>0</v>
      </c>
      <c r="J14" s="41" t="n">
        <f aca="false">IFERROR('3. Research Subject Matrix'!I15/'3. Research Subject Matrix'!M15*100,0)</f>
        <v>0</v>
      </c>
      <c r="K14" s="41" t="n">
        <f aca="false">IFERROR('3. Research Subject Matrix'!J15/'3. Research Subject Matrix'!M15*100,0)</f>
        <v>0</v>
      </c>
      <c r="L14" s="41" t="n">
        <f aca="false">IFERROR('3. Research Subject Matrix'!K15/'3. Research Subject Matrix'!M15*100,0)</f>
        <v>0</v>
      </c>
      <c r="M14" s="41" t="n">
        <f aca="false">IFERROR('3. Research Subject Matrix'!L15/'3. Research Subject Matrix'!M15*100,0)</f>
        <v>0</v>
      </c>
      <c r="N14" s="15" t="str">
        <f aca="false">IFERROR(INDEX({"AH","BE","CH","CS","ED","EN","LW","LS","PS","PY","SS"},MATCH(MAX(C14:M14),C14:M14,0)),"")</f>
        <v>AH</v>
      </c>
      <c r="O14" s="7" t="str">
        <f aca="false">COUNTIF(C14:M14,0)&amp;" of 11 subjects missing"</f>
        <v>11 of 11 subjects missing</v>
      </c>
    </row>
    <row r="15" customFormat="false" ht="23.85" hidden="false" customHeight="false" outlineLevel="0" collapsed="false">
      <c r="A15" s="4" t="n">
        <v>11</v>
      </c>
      <c r="B15" s="20"/>
      <c r="C15" s="40" t="n">
        <f aca="false">IFERROR('3. Research Subject Matrix'!B16/'3. Research Subject Matrix'!M16*100,0)</f>
        <v>0</v>
      </c>
      <c r="D15" s="40" t="n">
        <f aca="false">IFERROR('3. Research Subject Matrix'!C16/'3. Research Subject Matrix'!M16*100,0)</f>
        <v>0</v>
      </c>
      <c r="E15" s="40" t="n">
        <f aca="false">IFERROR('3. Research Subject Matrix'!D16/'3. Research Subject Matrix'!M16*100,0)</f>
        <v>0</v>
      </c>
      <c r="F15" s="40" t="n">
        <f aca="false">IFERROR('3. Research Subject Matrix'!E16/'3. Research Subject Matrix'!M16*100,0)</f>
        <v>0</v>
      </c>
      <c r="G15" s="40" t="n">
        <f aca="false">IFERROR('3. Research Subject Matrix'!F16/'3. Research Subject Matrix'!M16*100,0)</f>
        <v>0</v>
      </c>
      <c r="H15" s="40" t="n">
        <f aca="false">IFERROR('3. Research Subject Matrix'!G16/'3. Research Subject Matrix'!M16*100,0)</f>
        <v>0</v>
      </c>
      <c r="I15" s="40" t="n">
        <f aca="false">IFERROR('3. Research Subject Matrix'!H16/'3. Research Subject Matrix'!M16*100,0)</f>
        <v>0</v>
      </c>
      <c r="J15" s="40" t="n">
        <f aca="false">IFERROR('3. Research Subject Matrix'!I16/'3. Research Subject Matrix'!M16*100,0)</f>
        <v>0</v>
      </c>
      <c r="K15" s="40" t="n">
        <f aca="false">IFERROR('3. Research Subject Matrix'!J16/'3. Research Subject Matrix'!M16*100,0)</f>
        <v>0</v>
      </c>
      <c r="L15" s="40" t="n">
        <f aca="false">IFERROR('3. Research Subject Matrix'!K16/'3. Research Subject Matrix'!M16*100,0)</f>
        <v>0</v>
      </c>
      <c r="M15" s="40" t="n">
        <f aca="false">IFERROR('3. Research Subject Matrix'!L16/'3. Research Subject Matrix'!M16*100,0)</f>
        <v>0</v>
      </c>
      <c r="N15" s="16" t="str">
        <f aca="false">IFERROR(INDEX({"AH","BE","CH","CS","ED","EN","LW","LS","PS","PY","SS"},MATCH(MAX(C15:M15),C15:M15,0)),"")</f>
        <v>AH</v>
      </c>
      <c r="O15" s="4" t="str">
        <f aca="false">COUNTIF(C15:M15,0)&amp;" of 11 subjects missing"</f>
        <v>11 of 11 subjects missing</v>
      </c>
    </row>
    <row r="16" customFormat="false" ht="23.85" hidden="false" customHeight="false" outlineLevel="0" collapsed="false">
      <c r="A16" s="7" t="n">
        <v>12</v>
      </c>
      <c r="B16" s="19"/>
      <c r="C16" s="41" t="n">
        <f aca="false">IFERROR('3. Research Subject Matrix'!B17/'3. Research Subject Matrix'!M17*100,0)</f>
        <v>0</v>
      </c>
      <c r="D16" s="41" t="n">
        <f aca="false">IFERROR('3. Research Subject Matrix'!C17/'3. Research Subject Matrix'!M17*100,0)</f>
        <v>0</v>
      </c>
      <c r="E16" s="41" t="n">
        <f aca="false">IFERROR('3. Research Subject Matrix'!D17/'3. Research Subject Matrix'!M17*100,0)</f>
        <v>0</v>
      </c>
      <c r="F16" s="41" t="n">
        <f aca="false">IFERROR('3. Research Subject Matrix'!E17/'3. Research Subject Matrix'!M17*100,0)</f>
        <v>0</v>
      </c>
      <c r="G16" s="41" t="n">
        <f aca="false">IFERROR('3. Research Subject Matrix'!F17/'3. Research Subject Matrix'!M17*100,0)</f>
        <v>0</v>
      </c>
      <c r="H16" s="41" t="n">
        <f aca="false">IFERROR('3. Research Subject Matrix'!G17/'3. Research Subject Matrix'!M17*100,0)</f>
        <v>0</v>
      </c>
      <c r="I16" s="41" t="n">
        <f aca="false">IFERROR('3. Research Subject Matrix'!H17/'3. Research Subject Matrix'!M17*100,0)</f>
        <v>0</v>
      </c>
      <c r="J16" s="41" t="n">
        <f aca="false">IFERROR('3. Research Subject Matrix'!I17/'3. Research Subject Matrix'!M17*100,0)</f>
        <v>0</v>
      </c>
      <c r="K16" s="41" t="n">
        <f aca="false">IFERROR('3. Research Subject Matrix'!J17/'3. Research Subject Matrix'!M17*100,0)</f>
        <v>0</v>
      </c>
      <c r="L16" s="41" t="n">
        <f aca="false">IFERROR('3. Research Subject Matrix'!K17/'3. Research Subject Matrix'!M17*100,0)</f>
        <v>0</v>
      </c>
      <c r="M16" s="41" t="n">
        <f aca="false">IFERROR('3. Research Subject Matrix'!L17/'3. Research Subject Matrix'!M17*100,0)</f>
        <v>0</v>
      </c>
      <c r="N16" s="15" t="str">
        <f aca="false">IFERROR(INDEX({"AH","BE","CH","CS","ED","EN","LW","LS","PS","PY","SS"},MATCH(MAX(C16:M16),C16:M16,0)),"")</f>
        <v>AH</v>
      </c>
      <c r="O16" s="7" t="str">
        <f aca="false">COUNTIF(C16:M16,0)&amp;" of 11 subjects missing"</f>
        <v>11 of 11 subjects missing</v>
      </c>
    </row>
    <row r="17" customFormat="false" ht="23.85" hidden="false" customHeight="false" outlineLevel="0" collapsed="false">
      <c r="A17" s="4" t="n">
        <v>13</v>
      </c>
      <c r="B17" s="20"/>
      <c r="C17" s="40" t="n">
        <f aca="false">IFERROR('3. Research Subject Matrix'!B18/'3. Research Subject Matrix'!M18*100,0)</f>
        <v>0</v>
      </c>
      <c r="D17" s="40" t="n">
        <f aca="false">IFERROR('3. Research Subject Matrix'!C18/'3. Research Subject Matrix'!M18*100,0)</f>
        <v>0</v>
      </c>
      <c r="E17" s="40" t="n">
        <f aca="false">IFERROR('3. Research Subject Matrix'!D18/'3. Research Subject Matrix'!M18*100,0)</f>
        <v>0</v>
      </c>
      <c r="F17" s="40" t="n">
        <f aca="false">IFERROR('3. Research Subject Matrix'!E18/'3. Research Subject Matrix'!M18*100,0)</f>
        <v>0</v>
      </c>
      <c r="G17" s="40" t="n">
        <f aca="false">IFERROR('3. Research Subject Matrix'!F18/'3. Research Subject Matrix'!M18*100,0)</f>
        <v>0</v>
      </c>
      <c r="H17" s="40" t="n">
        <f aca="false">IFERROR('3. Research Subject Matrix'!G18/'3. Research Subject Matrix'!M18*100,0)</f>
        <v>0</v>
      </c>
      <c r="I17" s="40" t="n">
        <f aca="false">IFERROR('3. Research Subject Matrix'!H18/'3. Research Subject Matrix'!M18*100,0)</f>
        <v>0</v>
      </c>
      <c r="J17" s="40" t="n">
        <f aca="false">IFERROR('3. Research Subject Matrix'!I18/'3. Research Subject Matrix'!M18*100,0)</f>
        <v>0</v>
      </c>
      <c r="K17" s="40" t="n">
        <f aca="false">IFERROR('3. Research Subject Matrix'!J18/'3. Research Subject Matrix'!M18*100,0)</f>
        <v>0</v>
      </c>
      <c r="L17" s="40" t="n">
        <f aca="false">IFERROR('3. Research Subject Matrix'!K18/'3. Research Subject Matrix'!M18*100,0)</f>
        <v>0</v>
      </c>
      <c r="M17" s="40" t="n">
        <f aca="false">IFERROR('3. Research Subject Matrix'!L18/'3. Research Subject Matrix'!M18*100,0)</f>
        <v>0</v>
      </c>
      <c r="N17" s="16" t="str">
        <f aca="false">IFERROR(INDEX({"AH","BE","CH","CS","ED","EN","LW","LS","PS","PY","SS"},MATCH(MAX(C17:M17),C17:M17,0)),"")</f>
        <v>AH</v>
      </c>
      <c r="O17" s="4" t="str">
        <f aca="false">COUNTIF(C17:M17,0)&amp;" of 11 subjects missing"</f>
        <v>11 of 11 subjects missing</v>
      </c>
    </row>
    <row r="18" customFormat="false" ht="23.85" hidden="false" customHeight="false" outlineLevel="0" collapsed="false">
      <c r="A18" s="7" t="n">
        <v>14</v>
      </c>
      <c r="B18" s="19"/>
      <c r="C18" s="41" t="n">
        <f aca="false">IFERROR('3. Research Subject Matrix'!B19/'3. Research Subject Matrix'!M19*100,0)</f>
        <v>0</v>
      </c>
      <c r="D18" s="41" t="n">
        <f aca="false">IFERROR('3. Research Subject Matrix'!C19/'3. Research Subject Matrix'!M19*100,0)</f>
        <v>0</v>
      </c>
      <c r="E18" s="41" t="n">
        <f aca="false">IFERROR('3. Research Subject Matrix'!D19/'3. Research Subject Matrix'!M19*100,0)</f>
        <v>0</v>
      </c>
      <c r="F18" s="41" t="n">
        <f aca="false">IFERROR('3. Research Subject Matrix'!E19/'3. Research Subject Matrix'!M19*100,0)</f>
        <v>0</v>
      </c>
      <c r="G18" s="41" t="n">
        <f aca="false">IFERROR('3. Research Subject Matrix'!F19/'3. Research Subject Matrix'!M19*100,0)</f>
        <v>0</v>
      </c>
      <c r="H18" s="41" t="n">
        <f aca="false">IFERROR('3. Research Subject Matrix'!G19/'3. Research Subject Matrix'!M19*100,0)</f>
        <v>0</v>
      </c>
      <c r="I18" s="41" t="n">
        <f aca="false">IFERROR('3. Research Subject Matrix'!H19/'3. Research Subject Matrix'!M19*100,0)</f>
        <v>0</v>
      </c>
      <c r="J18" s="41" t="n">
        <f aca="false">IFERROR('3. Research Subject Matrix'!I19/'3. Research Subject Matrix'!M19*100,0)</f>
        <v>0</v>
      </c>
      <c r="K18" s="41" t="n">
        <f aca="false">IFERROR('3. Research Subject Matrix'!J19/'3. Research Subject Matrix'!M19*100,0)</f>
        <v>0</v>
      </c>
      <c r="L18" s="41" t="n">
        <f aca="false">IFERROR('3. Research Subject Matrix'!K19/'3. Research Subject Matrix'!M19*100,0)</f>
        <v>0</v>
      </c>
      <c r="M18" s="41" t="n">
        <f aca="false">IFERROR('3. Research Subject Matrix'!L19/'3. Research Subject Matrix'!M19*100,0)</f>
        <v>0</v>
      </c>
      <c r="N18" s="15" t="str">
        <f aca="false">IFERROR(INDEX({"AH","BE","CH","CS","ED","EN","LW","LS","PS","PY","SS"},MATCH(MAX(C18:M18),C18:M18,0)),"")</f>
        <v>AH</v>
      </c>
      <c r="O18" s="7" t="str">
        <f aca="false">COUNTIF(C18:M18,0)&amp;" of 11 subjects missing"</f>
        <v>11 of 11 subjects missing</v>
      </c>
    </row>
    <row r="19" customFormat="false" ht="23.85" hidden="false" customHeight="false" outlineLevel="0" collapsed="false">
      <c r="A19" s="4" t="n">
        <v>15</v>
      </c>
      <c r="B19" s="20"/>
      <c r="C19" s="40" t="n">
        <f aca="false">IFERROR('3. Research Subject Matrix'!B20/'3. Research Subject Matrix'!M20*100,0)</f>
        <v>0</v>
      </c>
      <c r="D19" s="40" t="n">
        <f aca="false">IFERROR('3. Research Subject Matrix'!C20/'3. Research Subject Matrix'!M20*100,0)</f>
        <v>0</v>
      </c>
      <c r="E19" s="40" t="n">
        <f aca="false">IFERROR('3. Research Subject Matrix'!D20/'3. Research Subject Matrix'!M20*100,0)</f>
        <v>0</v>
      </c>
      <c r="F19" s="40" t="n">
        <f aca="false">IFERROR('3. Research Subject Matrix'!E20/'3. Research Subject Matrix'!M20*100,0)</f>
        <v>0</v>
      </c>
      <c r="G19" s="40" t="n">
        <f aca="false">IFERROR('3. Research Subject Matrix'!F20/'3. Research Subject Matrix'!M20*100,0)</f>
        <v>0</v>
      </c>
      <c r="H19" s="40" t="n">
        <f aca="false">IFERROR('3. Research Subject Matrix'!G20/'3. Research Subject Matrix'!M20*100,0)</f>
        <v>0</v>
      </c>
      <c r="I19" s="40" t="n">
        <f aca="false">IFERROR('3. Research Subject Matrix'!H20/'3. Research Subject Matrix'!M20*100,0)</f>
        <v>0</v>
      </c>
      <c r="J19" s="40" t="n">
        <f aca="false">IFERROR('3. Research Subject Matrix'!I20/'3. Research Subject Matrix'!M20*100,0)</f>
        <v>0</v>
      </c>
      <c r="K19" s="40" t="n">
        <f aca="false">IFERROR('3. Research Subject Matrix'!J20/'3. Research Subject Matrix'!M20*100,0)</f>
        <v>0</v>
      </c>
      <c r="L19" s="40" t="n">
        <f aca="false">IFERROR('3. Research Subject Matrix'!K20/'3. Research Subject Matrix'!M20*100,0)</f>
        <v>0</v>
      </c>
      <c r="M19" s="40" t="n">
        <f aca="false">IFERROR('3. Research Subject Matrix'!L20/'3. Research Subject Matrix'!M20*100,0)</f>
        <v>0</v>
      </c>
      <c r="N19" s="16" t="str">
        <f aca="false">IFERROR(INDEX({"AH","BE","CH","CS","ED","EN","LW","LS","PS","PY","SS"},MATCH(MAX(C19:M19),C19:M19,0)),"")</f>
        <v>AH</v>
      </c>
      <c r="O19" s="4" t="str">
        <f aca="false">COUNTIF(C19:M19,0)&amp;" of 11 subjects missing"</f>
        <v>11 of 11 subjects missing</v>
      </c>
    </row>
    <row r="20" customFormat="false" ht="23.85" hidden="false" customHeight="false" outlineLevel="0" collapsed="false">
      <c r="A20" s="7" t="n">
        <v>16</v>
      </c>
      <c r="B20" s="19"/>
      <c r="C20" s="41" t="n">
        <f aca="false">IFERROR('3. Research Subject Matrix'!B21/'3. Research Subject Matrix'!M21*100,0)</f>
        <v>0</v>
      </c>
      <c r="D20" s="41" t="n">
        <f aca="false">IFERROR('3. Research Subject Matrix'!C21/'3. Research Subject Matrix'!M21*100,0)</f>
        <v>0</v>
      </c>
      <c r="E20" s="41" t="n">
        <f aca="false">IFERROR('3. Research Subject Matrix'!D21/'3. Research Subject Matrix'!M21*100,0)</f>
        <v>0</v>
      </c>
      <c r="F20" s="41" t="n">
        <f aca="false">IFERROR('3. Research Subject Matrix'!E21/'3. Research Subject Matrix'!M21*100,0)</f>
        <v>0</v>
      </c>
      <c r="G20" s="41" t="n">
        <f aca="false">IFERROR('3. Research Subject Matrix'!F21/'3. Research Subject Matrix'!M21*100,0)</f>
        <v>0</v>
      </c>
      <c r="H20" s="41" t="n">
        <f aca="false">IFERROR('3. Research Subject Matrix'!G21/'3. Research Subject Matrix'!M21*100,0)</f>
        <v>0</v>
      </c>
      <c r="I20" s="41" t="n">
        <f aca="false">IFERROR('3. Research Subject Matrix'!H21/'3. Research Subject Matrix'!M21*100,0)</f>
        <v>0</v>
      </c>
      <c r="J20" s="41" t="n">
        <f aca="false">IFERROR('3. Research Subject Matrix'!I21/'3. Research Subject Matrix'!M21*100,0)</f>
        <v>0</v>
      </c>
      <c r="K20" s="41" t="n">
        <f aca="false">IFERROR('3. Research Subject Matrix'!J21/'3. Research Subject Matrix'!M21*100,0)</f>
        <v>0</v>
      </c>
      <c r="L20" s="41" t="n">
        <f aca="false">IFERROR('3. Research Subject Matrix'!K21/'3. Research Subject Matrix'!M21*100,0)</f>
        <v>0</v>
      </c>
      <c r="M20" s="41" t="n">
        <f aca="false">IFERROR('3. Research Subject Matrix'!L21/'3. Research Subject Matrix'!M21*100,0)</f>
        <v>0</v>
      </c>
      <c r="N20" s="15" t="str">
        <f aca="false">IFERROR(INDEX({"AH","BE","CH","CS","ED","EN","LW","LS","PS","PY","SS"},MATCH(MAX(C20:M20),C20:M20,0)),"")</f>
        <v>AH</v>
      </c>
      <c r="O20" s="7" t="str">
        <f aca="false">COUNTIF(C20:M20,0)&amp;" of 11 subjects missing"</f>
        <v>11 of 11 subjects missing</v>
      </c>
    </row>
    <row r="21" customFormat="false" ht="23.85" hidden="false" customHeight="false" outlineLevel="0" collapsed="false">
      <c r="A21" s="4" t="n">
        <v>17</v>
      </c>
      <c r="B21" s="20"/>
      <c r="C21" s="40" t="n">
        <f aca="false">IFERROR('3. Research Subject Matrix'!B22/'3. Research Subject Matrix'!M22*100,0)</f>
        <v>0</v>
      </c>
      <c r="D21" s="40" t="n">
        <f aca="false">IFERROR('3. Research Subject Matrix'!C22/'3. Research Subject Matrix'!M22*100,0)</f>
        <v>0</v>
      </c>
      <c r="E21" s="40" t="n">
        <f aca="false">IFERROR('3. Research Subject Matrix'!D22/'3. Research Subject Matrix'!M22*100,0)</f>
        <v>0</v>
      </c>
      <c r="F21" s="40" t="n">
        <f aca="false">IFERROR('3. Research Subject Matrix'!E22/'3. Research Subject Matrix'!M22*100,0)</f>
        <v>0</v>
      </c>
      <c r="G21" s="40" t="n">
        <f aca="false">IFERROR('3. Research Subject Matrix'!F22/'3. Research Subject Matrix'!M22*100,0)</f>
        <v>0</v>
      </c>
      <c r="H21" s="40" t="n">
        <f aca="false">IFERROR('3. Research Subject Matrix'!G22/'3. Research Subject Matrix'!M22*100,0)</f>
        <v>0</v>
      </c>
      <c r="I21" s="40" t="n">
        <f aca="false">IFERROR('3. Research Subject Matrix'!H22/'3. Research Subject Matrix'!M22*100,0)</f>
        <v>0</v>
      </c>
      <c r="J21" s="40" t="n">
        <f aca="false">IFERROR('3. Research Subject Matrix'!I22/'3. Research Subject Matrix'!M22*100,0)</f>
        <v>0</v>
      </c>
      <c r="K21" s="40" t="n">
        <f aca="false">IFERROR('3. Research Subject Matrix'!J22/'3. Research Subject Matrix'!M22*100,0)</f>
        <v>0</v>
      </c>
      <c r="L21" s="40" t="n">
        <f aca="false">IFERROR('3. Research Subject Matrix'!K22/'3. Research Subject Matrix'!M22*100,0)</f>
        <v>0</v>
      </c>
      <c r="M21" s="40" t="n">
        <f aca="false">IFERROR('3. Research Subject Matrix'!L22/'3. Research Subject Matrix'!M22*100,0)</f>
        <v>0</v>
      </c>
      <c r="N21" s="16" t="str">
        <f aca="false">IFERROR(INDEX({"AH","BE","CH","CS","ED","EN","LW","LS","PS","PY","SS"},MATCH(MAX(C21:M21),C21:M21,0)),"")</f>
        <v>AH</v>
      </c>
      <c r="O21" s="4" t="str">
        <f aca="false">COUNTIF(C21:M21,0)&amp;" of 11 subjects missing"</f>
        <v>11 of 11 subjects missing</v>
      </c>
    </row>
    <row r="22" customFormat="false" ht="23.85" hidden="false" customHeight="false" outlineLevel="0" collapsed="false">
      <c r="A22" s="7" t="n">
        <v>18</v>
      </c>
      <c r="B22" s="19"/>
      <c r="C22" s="41" t="n">
        <f aca="false">IFERROR('3. Research Subject Matrix'!B23/'3. Research Subject Matrix'!M23*100,0)</f>
        <v>0</v>
      </c>
      <c r="D22" s="41" t="n">
        <f aca="false">IFERROR('3. Research Subject Matrix'!C23/'3. Research Subject Matrix'!M23*100,0)</f>
        <v>0</v>
      </c>
      <c r="E22" s="41" t="n">
        <f aca="false">IFERROR('3. Research Subject Matrix'!D23/'3. Research Subject Matrix'!M23*100,0)</f>
        <v>0</v>
      </c>
      <c r="F22" s="41" t="n">
        <f aca="false">IFERROR('3. Research Subject Matrix'!E23/'3. Research Subject Matrix'!M23*100,0)</f>
        <v>0</v>
      </c>
      <c r="G22" s="41" t="n">
        <f aca="false">IFERROR('3. Research Subject Matrix'!F23/'3. Research Subject Matrix'!M23*100,0)</f>
        <v>0</v>
      </c>
      <c r="H22" s="41" t="n">
        <f aca="false">IFERROR('3. Research Subject Matrix'!G23/'3. Research Subject Matrix'!M23*100,0)</f>
        <v>0</v>
      </c>
      <c r="I22" s="41" t="n">
        <f aca="false">IFERROR('3. Research Subject Matrix'!H23/'3. Research Subject Matrix'!M23*100,0)</f>
        <v>0</v>
      </c>
      <c r="J22" s="41" t="n">
        <f aca="false">IFERROR('3. Research Subject Matrix'!I23/'3. Research Subject Matrix'!M23*100,0)</f>
        <v>0</v>
      </c>
      <c r="K22" s="41" t="n">
        <f aca="false">IFERROR('3. Research Subject Matrix'!J23/'3. Research Subject Matrix'!M23*100,0)</f>
        <v>0</v>
      </c>
      <c r="L22" s="41" t="n">
        <f aca="false">IFERROR('3. Research Subject Matrix'!K23/'3. Research Subject Matrix'!M23*100,0)</f>
        <v>0</v>
      </c>
      <c r="M22" s="41" t="n">
        <f aca="false">IFERROR('3. Research Subject Matrix'!L23/'3. Research Subject Matrix'!M23*100,0)</f>
        <v>0</v>
      </c>
      <c r="N22" s="15" t="str">
        <f aca="false">IFERROR(INDEX({"AH","BE","CH","CS","ED","EN","LW","LS","PS","PY","SS"},MATCH(MAX(C22:M22),C22:M22,0)),"")</f>
        <v>AH</v>
      </c>
      <c r="O22" s="7" t="str">
        <f aca="false">COUNTIF(C22:M22,0)&amp;" of 11 subjects missing"</f>
        <v>11 of 11 subjects missing</v>
      </c>
    </row>
    <row r="23" customFormat="false" ht="23.85" hidden="false" customHeight="false" outlineLevel="0" collapsed="false">
      <c r="A23" s="4" t="n">
        <v>19</v>
      </c>
      <c r="B23" s="20"/>
      <c r="C23" s="40" t="n">
        <f aca="false">IFERROR('3. Research Subject Matrix'!B24/'3. Research Subject Matrix'!M24*100,0)</f>
        <v>0</v>
      </c>
      <c r="D23" s="40" t="n">
        <f aca="false">IFERROR('3. Research Subject Matrix'!C24/'3. Research Subject Matrix'!M24*100,0)</f>
        <v>0</v>
      </c>
      <c r="E23" s="40" t="n">
        <f aca="false">IFERROR('3. Research Subject Matrix'!D24/'3. Research Subject Matrix'!M24*100,0)</f>
        <v>0</v>
      </c>
      <c r="F23" s="40" t="n">
        <f aca="false">IFERROR('3. Research Subject Matrix'!E24/'3. Research Subject Matrix'!M24*100,0)</f>
        <v>0</v>
      </c>
      <c r="G23" s="40" t="n">
        <f aca="false">IFERROR('3. Research Subject Matrix'!F24/'3. Research Subject Matrix'!M24*100,0)</f>
        <v>0</v>
      </c>
      <c r="H23" s="40" t="n">
        <f aca="false">IFERROR('3. Research Subject Matrix'!G24/'3. Research Subject Matrix'!M24*100,0)</f>
        <v>0</v>
      </c>
      <c r="I23" s="40" t="n">
        <f aca="false">IFERROR('3. Research Subject Matrix'!H24/'3. Research Subject Matrix'!M24*100,0)</f>
        <v>0</v>
      </c>
      <c r="J23" s="40" t="n">
        <f aca="false">IFERROR('3. Research Subject Matrix'!I24/'3. Research Subject Matrix'!M24*100,0)</f>
        <v>0</v>
      </c>
      <c r="K23" s="40" t="n">
        <f aca="false">IFERROR('3. Research Subject Matrix'!J24/'3. Research Subject Matrix'!M24*100,0)</f>
        <v>0</v>
      </c>
      <c r="L23" s="40" t="n">
        <f aca="false">IFERROR('3. Research Subject Matrix'!K24/'3. Research Subject Matrix'!M24*100,0)</f>
        <v>0</v>
      </c>
      <c r="M23" s="40" t="n">
        <f aca="false">IFERROR('3. Research Subject Matrix'!L24/'3. Research Subject Matrix'!M24*100,0)</f>
        <v>0</v>
      </c>
      <c r="N23" s="16" t="str">
        <f aca="false">IFERROR(INDEX({"AH","BE","CH","CS","ED","EN","LW","LS","PS","PY","SS"},MATCH(MAX(C23:M23),C23:M23,0)),"")</f>
        <v>AH</v>
      </c>
      <c r="O23" s="4" t="str">
        <f aca="false">COUNTIF(C23:M23,0)&amp;" of 11 subjects missing"</f>
        <v>11 of 11 subjects missing</v>
      </c>
    </row>
    <row r="24" customFormat="false" ht="23.85" hidden="false" customHeight="false" outlineLevel="0" collapsed="false">
      <c r="A24" s="7" t="n">
        <v>20</v>
      </c>
      <c r="B24" s="19"/>
      <c r="C24" s="41" t="n">
        <f aca="false">IFERROR('3. Research Subject Matrix'!B25/'3. Research Subject Matrix'!M25*100,0)</f>
        <v>0</v>
      </c>
      <c r="D24" s="41" t="n">
        <f aca="false">IFERROR('3. Research Subject Matrix'!C25/'3. Research Subject Matrix'!M25*100,0)</f>
        <v>0</v>
      </c>
      <c r="E24" s="41" t="n">
        <f aca="false">IFERROR('3. Research Subject Matrix'!D25/'3. Research Subject Matrix'!M25*100,0)</f>
        <v>0</v>
      </c>
      <c r="F24" s="41" t="n">
        <f aca="false">IFERROR('3. Research Subject Matrix'!E25/'3. Research Subject Matrix'!M25*100,0)</f>
        <v>0</v>
      </c>
      <c r="G24" s="41" t="n">
        <f aca="false">IFERROR('3. Research Subject Matrix'!F25/'3. Research Subject Matrix'!M25*100,0)</f>
        <v>0</v>
      </c>
      <c r="H24" s="41" t="n">
        <f aca="false">IFERROR('3. Research Subject Matrix'!G25/'3. Research Subject Matrix'!M25*100,0)</f>
        <v>0</v>
      </c>
      <c r="I24" s="41" t="n">
        <f aca="false">IFERROR('3. Research Subject Matrix'!H25/'3. Research Subject Matrix'!M25*100,0)</f>
        <v>0</v>
      </c>
      <c r="J24" s="41" t="n">
        <f aca="false">IFERROR('3. Research Subject Matrix'!I25/'3. Research Subject Matrix'!M25*100,0)</f>
        <v>0</v>
      </c>
      <c r="K24" s="41" t="n">
        <f aca="false">IFERROR('3. Research Subject Matrix'!J25/'3. Research Subject Matrix'!M25*100,0)</f>
        <v>0</v>
      </c>
      <c r="L24" s="41" t="n">
        <f aca="false">IFERROR('3. Research Subject Matrix'!K25/'3. Research Subject Matrix'!M25*100,0)</f>
        <v>0</v>
      </c>
      <c r="M24" s="41" t="n">
        <f aca="false">IFERROR('3. Research Subject Matrix'!L25/'3. Research Subject Matrix'!M25*100,0)</f>
        <v>0</v>
      </c>
      <c r="N24" s="15" t="str">
        <f aca="false">IFERROR(INDEX({"AH","BE","CH","CS","ED","EN","LW","LS","PS","PY","SS"},MATCH(MAX(C24:M24),C24:M24,0)),"")</f>
        <v>AH</v>
      </c>
      <c r="O24" s="7" t="str">
        <f aca="false">COUNTIF(C24:M24,0)&amp;" of 11 subjects missing"</f>
        <v>11 of 11 subjects missing</v>
      </c>
    </row>
    <row r="25" customFormat="false" ht="23.85" hidden="false" customHeight="false" outlineLevel="0" collapsed="false">
      <c r="A25" s="4" t="n">
        <v>21</v>
      </c>
      <c r="B25" s="20"/>
      <c r="C25" s="40" t="n">
        <f aca="false">IFERROR('3. Research Subject Matrix'!B26/'3. Research Subject Matrix'!M26*100,0)</f>
        <v>0</v>
      </c>
      <c r="D25" s="40" t="n">
        <f aca="false">IFERROR('3. Research Subject Matrix'!C26/'3. Research Subject Matrix'!M26*100,0)</f>
        <v>0</v>
      </c>
      <c r="E25" s="40" t="n">
        <f aca="false">IFERROR('3. Research Subject Matrix'!D26/'3. Research Subject Matrix'!M26*100,0)</f>
        <v>0</v>
      </c>
      <c r="F25" s="40" t="n">
        <f aca="false">IFERROR('3. Research Subject Matrix'!E26/'3. Research Subject Matrix'!M26*100,0)</f>
        <v>0</v>
      </c>
      <c r="G25" s="40" t="n">
        <f aca="false">IFERROR('3. Research Subject Matrix'!F26/'3. Research Subject Matrix'!M26*100,0)</f>
        <v>0</v>
      </c>
      <c r="H25" s="40" t="n">
        <f aca="false">IFERROR('3. Research Subject Matrix'!G26/'3. Research Subject Matrix'!M26*100,0)</f>
        <v>0</v>
      </c>
      <c r="I25" s="40" t="n">
        <f aca="false">IFERROR('3. Research Subject Matrix'!H26/'3. Research Subject Matrix'!M26*100,0)</f>
        <v>0</v>
      </c>
      <c r="J25" s="40" t="n">
        <f aca="false">IFERROR('3. Research Subject Matrix'!I26/'3. Research Subject Matrix'!M26*100,0)</f>
        <v>0</v>
      </c>
      <c r="K25" s="40" t="n">
        <f aca="false">IFERROR('3. Research Subject Matrix'!J26/'3. Research Subject Matrix'!M26*100,0)</f>
        <v>0</v>
      </c>
      <c r="L25" s="40" t="n">
        <f aca="false">IFERROR('3. Research Subject Matrix'!K26/'3. Research Subject Matrix'!M26*100,0)</f>
        <v>0</v>
      </c>
      <c r="M25" s="40" t="n">
        <f aca="false">IFERROR('3. Research Subject Matrix'!L26/'3. Research Subject Matrix'!M26*100,0)</f>
        <v>0</v>
      </c>
      <c r="N25" s="16" t="str">
        <f aca="false">IFERROR(INDEX({"AH","BE","CH","CS","ED","EN","LW","LS","PS","PY","SS"},MATCH(MAX(C25:M25),C25:M25,0)),"")</f>
        <v>AH</v>
      </c>
      <c r="O25" s="4" t="str">
        <f aca="false">COUNTIF(C25:M25,0)&amp;" of 11 subjects missing"</f>
        <v>11 of 11 subjects missing</v>
      </c>
    </row>
    <row r="26" customFormat="false" ht="23.85" hidden="false" customHeight="false" outlineLevel="0" collapsed="false">
      <c r="A26" s="7" t="n">
        <v>22</v>
      </c>
      <c r="B26" s="19"/>
      <c r="C26" s="41" t="n">
        <f aca="false">IFERROR('3. Research Subject Matrix'!B27/'3. Research Subject Matrix'!M27*100,0)</f>
        <v>0</v>
      </c>
      <c r="D26" s="41" t="n">
        <f aca="false">IFERROR('3. Research Subject Matrix'!C27/'3. Research Subject Matrix'!M27*100,0)</f>
        <v>0</v>
      </c>
      <c r="E26" s="41" t="n">
        <f aca="false">IFERROR('3. Research Subject Matrix'!D27/'3. Research Subject Matrix'!M27*100,0)</f>
        <v>0</v>
      </c>
      <c r="F26" s="41" t="n">
        <f aca="false">IFERROR('3. Research Subject Matrix'!E27/'3. Research Subject Matrix'!M27*100,0)</f>
        <v>0</v>
      </c>
      <c r="G26" s="41" t="n">
        <f aca="false">IFERROR('3. Research Subject Matrix'!F27/'3. Research Subject Matrix'!M27*100,0)</f>
        <v>0</v>
      </c>
      <c r="H26" s="41" t="n">
        <f aca="false">IFERROR('3. Research Subject Matrix'!G27/'3. Research Subject Matrix'!M27*100,0)</f>
        <v>0</v>
      </c>
      <c r="I26" s="41" t="n">
        <f aca="false">IFERROR('3. Research Subject Matrix'!H27/'3. Research Subject Matrix'!M27*100,0)</f>
        <v>0</v>
      </c>
      <c r="J26" s="41" t="n">
        <f aca="false">IFERROR('3. Research Subject Matrix'!I27/'3. Research Subject Matrix'!M27*100,0)</f>
        <v>0</v>
      </c>
      <c r="K26" s="41" t="n">
        <f aca="false">IFERROR('3. Research Subject Matrix'!J27/'3. Research Subject Matrix'!M27*100,0)</f>
        <v>0</v>
      </c>
      <c r="L26" s="41" t="n">
        <f aca="false">IFERROR('3. Research Subject Matrix'!K27/'3. Research Subject Matrix'!M27*100,0)</f>
        <v>0</v>
      </c>
      <c r="M26" s="41" t="n">
        <f aca="false">IFERROR('3. Research Subject Matrix'!L27/'3. Research Subject Matrix'!M27*100,0)</f>
        <v>0</v>
      </c>
      <c r="N26" s="15" t="str">
        <f aca="false">IFERROR(INDEX({"AH","BE","CH","CS","ED","EN","LW","LS","PS","PY","SS"},MATCH(MAX(C26:M26),C26:M26,0)),"")</f>
        <v>AH</v>
      </c>
      <c r="O26" s="7" t="str">
        <f aca="false">COUNTIF(C26:M26,0)&amp;" of 11 subjects missing"</f>
        <v>11 of 11 subjects missing</v>
      </c>
    </row>
    <row r="27" customFormat="false" ht="23.85" hidden="false" customHeight="false" outlineLevel="0" collapsed="false">
      <c r="A27" s="4" t="n">
        <v>23</v>
      </c>
      <c r="B27" s="20"/>
      <c r="C27" s="40" t="n">
        <f aca="false">IFERROR('3. Research Subject Matrix'!B28/'3. Research Subject Matrix'!M28*100,0)</f>
        <v>0</v>
      </c>
      <c r="D27" s="40" t="n">
        <f aca="false">IFERROR('3. Research Subject Matrix'!C28/'3. Research Subject Matrix'!M28*100,0)</f>
        <v>0</v>
      </c>
      <c r="E27" s="40" t="n">
        <f aca="false">IFERROR('3. Research Subject Matrix'!D28/'3. Research Subject Matrix'!M28*100,0)</f>
        <v>0</v>
      </c>
      <c r="F27" s="40" t="n">
        <f aca="false">IFERROR('3. Research Subject Matrix'!E28/'3. Research Subject Matrix'!M28*100,0)</f>
        <v>0</v>
      </c>
      <c r="G27" s="40" t="n">
        <f aca="false">IFERROR('3. Research Subject Matrix'!F28/'3. Research Subject Matrix'!M28*100,0)</f>
        <v>0</v>
      </c>
      <c r="H27" s="40" t="n">
        <f aca="false">IFERROR('3. Research Subject Matrix'!G28/'3. Research Subject Matrix'!M28*100,0)</f>
        <v>0</v>
      </c>
      <c r="I27" s="40" t="n">
        <f aca="false">IFERROR('3. Research Subject Matrix'!H28/'3. Research Subject Matrix'!M28*100,0)</f>
        <v>0</v>
      </c>
      <c r="J27" s="40" t="n">
        <f aca="false">IFERROR('3. Research Subject Matrix'!I28/'3. Research Subject Matrix'!M28*100,0)</f>
        <v>0</v>
      </c>
      <c r="K27" s="40" t="n">
        <f aca="false">IFERROR('3. Research Subject Matrix'!J28/'3. Research Subject Matrix'!M28*100,0)</f>
        <v>0</v>
      </c>
      <c r="L27" s="40" t="n">
        <f aca="false">IFERROR('3. Research Subject Matrix'!K28/'3. Research Subject Matrix'!M28*100,0)</f>
        <v>0</v>
      </c>
      <c r="M27" s="40" t="n">
        <f aca="false">IFERROR('3. Research Subject Matrix'!L28/'3. Research Subject Matrix'!M28*100,0)</f>
        <v>0</v>
      </c>
      <c r="N27" s="16" t="str">
        <f aca="false">IFERROR(INDEX({"AH","BE","CH","CS","ED","EN","LW","LS","PS","PY","SS"},MATCH(MAX(C27:M27),C27:M27,0)),"")</f>
        <v>AH</v>
      </c>
      <c r="O27" s="4" t="str">
        <f aca="false">COUNTIF(C27:M27,0)&amp;" of 11 subjects missing"</f>
        <v>11 of 11 subjects missing</v>
      </c>
    </row>
    <row r="28" customFormat="false" ht="23.85" hidden="false" customHeight="false" outlineLevel="0" collapsed="false">
      <c r="A28" s="7" t="n">
        <v>24</v>
      </c>
      <c r="B28" s="19"/>
      <c r="C28" s="41" t="n">
        <f aca="false">IFERROR('3. Research Subject Matrix'!B29/'3. Research Subject Matrix'!M29*100,0)</f>
        <v>0</v>
      </c>
      <c r="D28" s="41" t="n">
        <f aca="false">IFERROR('3. Research Subject Matrix'!C29/'3. Research Subject Matrix'!M29*100,0)</f>
        <v>0</v>
      </c>
      <c r="E28" s="41" t="n">
        <f aca="false">IFERROR('3. Research Subject Matrix'!D29/'3. Research Subject Matrix'!M29*100,0)</f>
        <v>0</v>
      </c>
      <c r="F28" s="41" t="n">
        <f aca="false">IFERROR('3. Research Subject Matrix'!E29/'3. Research Subject Matrix'!M29*100,0)</f>
        <v>0</v>
      </c>
      <c r="G28" s="41" t="n">
        <f aca="false">IFERROR('3. Research Subject Matrix'!F29/'3. Research Subject Matrix'!M29*100,0)</f>
        <v>0</v>
      </c>
      <c r="H28" s="41" t="n">
        <f aca="false">IFERROR('3. Research Subject Matrix'!G29/'3. Research Subject Matrix'!M29*100,0)</f>
        <v>0</v>
      </c>
      <c r="I28" s="41" t="n">
        <f aca="false">IFERROR('3. Research Subject Matrix'!H29/'3. Research Subject Matrix'!M29*100,0)</f>
        <v>0</v>
      </c>
      <c r="J28" s="41" t="n">
        <f aca="false">IFERROR('3. Research Subject Matrix'!I29/'3. Research Subject Matrix'!M29*100,0)</f>
        <v>0</v>
      </c>
      <c r="K28" s="41" t="n">
        <f aca="false">IFERROR('3. Research Subject Matrix'!J29/'3. Research Subject Matrix'!M29*100,0)</f>
        <v>0</v>
      </c>
      <c r="L28" s="41" t="n">
        <f aca="false">IFERROR('3. Research Subject Matrix'!K29/'3. Research Subject Matrix'!M29*100,0)</f>
        <v>0</v>
      </c>
      <c r="M28" s="41" t="n">
        <f aca="false">IFERROR('3. Research Subject Matrix'!L29/'3. Research Subject Matrix'!M29*100,0)</f>
        <v>0</v>
      </c>
      <c r="N28" s="15" t="str">
        <f aca="false">IFERROR(INDEX({"AH","BE","CH","CS","ED","EN","LW","LS","PS","PY","SS"},MATCH(MAX(C28:M28),C28:M28,0)),"")</f>
        <v>AH</v>
      </c>
      <c r="O28" s="7" t="str">
        <f aca="false">COUNTIF(C28:M28,0)&amp;" of 11 subjects missing"</f>
        <v>11 of 11 subjects missing</v>
      </c>
    </row>
    <row r="29" customFormat="false" ht="23.85" hidden="false" customHeight="false" outlineLevel="0" collapsed="false">
      <c r="A29" s="4" t="n">
        <v>25</v>
      </c>
      <c r="B29" s="20"/>
      <c r="C29" s="40" t="n">
        <f aca="false">IFERROR('3. Research Subject Matrix'!B30/'3. Research Subject Matrix'!M30*100,0)</f>
        <v>0</v>
      </c>
      <c r="D29" s="40" t="n">
        <f aca="false">IFERROR('3. Research Subject Matrix'!C30/'3. Research Subject Matrix'!M30*100,0)</f>
        <v>0</v>
      </c>
      <c r="E29" s="40" t="n">
        <f aca="false">IFERROR('3. Research Subject Matrix'!D30/'3. Research Subject Matrix'!M30*100,0)</f>
        <v>0</v>
      </c>
      <c r="F29" s="40" t="n">
        <f aca="false">IFERROR('3. Research Subject Matrix'!E30/'3. Research Subject Matrix'!M30*100,0)</f>
        <v>0</v>
      </c>
      <c r="G29" s="40" t="n">
        <f aca="false">IFERROR('3. Research Subject Matrix'!F30/'3. Research Subject Matrix'!M30*100,0)</f>
        <v>0</v>
      </c>
      <c r="H29" s="40" t="n">
        <f aca="false">IFERROR('3. Research Subject Matrix'!G30/'3. Research Subject Matrix'!M30*100,0)</f>
        <v>0</v>
      </c>
      <c r="I29" s="40" t="n">
        <f aca="false">IFERROR('3. Research Subject Matrix'!H30/'3. Research Subject Matrix'!M30*100,0)</f>
        <v>0</v>
      </c>
      <c r="J29" s="40" t="n">
        <f aca="false">IFERROR('3. Research Subject Matrix'!I30/'3. Research Subject Matrix'!M30*100,0)</f>
        <v>0</v>
      </c>
      <c r="K29" s="40" t="n">
        <f aca="false">IFERROR('3. Research Subject Matrix'!J30/'3. Research Subject Matrix'!M30*100,0)</f>
        <v>0</v>
      </c>
      <c r="L29" s="40" t="n">
        <f aca="false">IFERROR('3. Research Subject Matrix'!K30/'3. Research Subject Matrix'!M30*100,0)</f>
        <v>0</v>
      </c>
      <c r="M29" s="40" t="n">
        <f aca="false">IFERROR('3. Research Subject Matrix'!L30/'3. Research Subject Matrix'!M30*100,0)</f>
        <v>0</v>
      </c>
      <c r="N29" s="16" t="str">
        <f aca="false">IFERROR(INDEX({"AH","BE","CH","CS","ED","EN","LW","LS","PS","PY","SS"},MATCH(MAX(C29:M29),C29:M29,0)),"")</f>
        <v>AH</v>
      </c>
      <c r="O29" s="4" t="str">
        <f aca="false">COUNTIF(C29:M29,0)&amp;" of 11 subjects missing"</f>
        <v>11 of 11 subjects missing</v>
      </c>
    </row>
    <row r="30" customFormat="false" ht="23.85" hidden="false" customHeight="false" outlineLevel="0" collapsed="false">
      <c r="A30" s="7" t="n">
        <v>26</v>
      </c>
      <c r="B30" s="19"/>
      <c r="C30" s="41" t="n">
        <f aca="false">IFERROR('3. Research Subject Matrix'!B31/'3. Research Subject Matrix'!M31*100,0)</f>
        <v>0</v>
      </c>
      <c r="D30" s="41" t="n">
        <f aca="false">IFERROR('3. Research Subject Matrix'!C31/'3. Research Subject Matrix'!M31*100,0)</f>
        <v>0</v>
      </c>
      <c r="E30" s="41" t="n">
        <f aca="false">IFERROR('3. Research Subject Matrix'!D31/'3. Research Subject Matrix'!M31*100,0)</f>
        <v>0</v>
      </c>
      <c r="F30" s="41" t="n">
        <f aca="false">IFERROR('3. Research Subject Matrix'!E31/'3. Research Subject Matrix'!M31*100,0)</f>
        <v>0</v>
      </c>
      <c r="G30" s="41" t="n">
        <f aca="false">IFERROR('3. Research Subject Matrix'!F31/'3. Research Subject Matrix'!M31*100,0)</f>
        <v>0</v>
      </c>
      <c r="H30" s="41" t="n">
        <f aca="false">IFERROR('3. Research Subject Matrix'!G31/'3. Research Subject Matrix'!M31*100,0)</f>
        <v>0</v>
      </c>
      <c r="I30" s="41" t="n">
        <f aca="false">IFERROR('3. Research Subject Matrix'!H31/'3. Research Subject Matrix'!M31*100,0)</f>
        <v>0</v>
      </c>
      <c r="J30" s="41" t="n">
        <f aca="false">IFERROR('3. Research Subject Matrix'!I31/'3. Research Subject Matrix'!M31*100,0)</f>
        <v>0</v>
      </c>
      <c r="K30" s="41" t="n">
        <f aca="false">IFERROR('3. Research Subject Matrix'!J31/'3. Research Subject Matrix'!M31*100,0)</f>
        <v>0</v>
      </c>
      <c r="L30" s="41" t="n">
        <f aca="false">IFERROR('3. Research Subject Matrix'!K31/'3. Research Subject Matrix'!M31*100,0)</f>
        <v>0</v>
      </c>
      <c r="M30" s="41" t="n">
        <f aca="false">IFERROR('3. Research Subject Matrix'!L31/'3. Research Subject Matrix'!M31*100,0)</f>
        <v>0</v>
      </c>
      <c r="N30" s="15" t="str">
        <f aca="false">IFERROR(INDEX({"AH","BE","CH","CS","ED","EN","LW","LS","PS","PY","SS"},MATCH(MAX(C30:M30),C30:M30,0)),"")</f>
        <v>AH</v>
      </c>
      <c r="O30" s="7" t="str">
        <f aca="false">COUNTIF(C30:M30,0)&amp;" of 11 subjects missing"</f>
        <v>11 of 11 subjects missing</v>
      </c>
    </row>
    <row r="31" customFormat="false" ht="23.85" hidden="false" customHeight="false" outlineLevel="0" collapsed="false">
      <c r="A31" s="4" t="n">
        <v>27</v>
      </c>
      <c r="B31" s="20"/>
      <c r="C31" s="40" t="n">
        <f aca="false">IFERROR('3. Research Subject Matrix'!B32/'3. Research Subject Matrix'!M32*100,0)</f>
        <v>0</v>
      </c>
      <c r="D31" s="40" t="n">
        <f aca="false">IFERROR('3. Research Subject Matrix'!C32/'3. Research Subject Matrix'!M32*100,0)</f>
        <v>0</v>
      </c>
      <c r="E31" s="40" t="n">
        <f aca="false">IFERROR('3. Research Subject Matrix'!D32/'3. Research Subject Matrix'!M32*100,0)</f>
        <v>0</v>
      </c>
      <c r="F31" s="40" t="n">
        <f aca="false">IFERROR('3. Research Subject Matrix'!E32/'3. Research Subject Matrix'!M32*100,0)</f>
        <v>0</v>
      </c>
      <c r="G31" s="40" t="n">
        <f aca="false">IFERROR('3. Research Subject Matrix'!F32/'3. Research Subject Matrix'!M32*100,0)</f>
        <v>0</v>
      </c>
      <c r="H31" s="40" t="n">
        <f aca="false">IFERROR('3. Research Subject Matrix'!G32/'3. Research Subject Matrix'!M32*100,0)</f>
        <v>0</v>
      </c>
      <c r="I31" s="40" t="n">
        <f aca="false">IFERROR('3. Research Subject Matrix'!H32/'3. Research Subject Matrix'!M32*100,0)</f>
        <v>0</v>
      </c>
      <c r="J31" s="40" t="n">
        <f aca="false">IFERROR('3. Research Subject Matrix'!I32/'3. Research Subject Matrix'!M32*100,0)</f>
        <v>0</v>
      </c>
      <c r="K31" s="40" t="n">
        <f aca="false">IFERROR('3. Research Subject Matrix'!J32/'3. Research Subject Matrix'!M32*100,0)</f>
        <v>0</v>
      </c>
      <c r="L31" s="40" t="n">
        <f aca="false">IFERROR('3. Research Subject Matrix'!K32/'3. Research Subject Matrix'!M32*100,0)</f>
        <v>0</v>
      </c>
      <c r="M31" s="40" t="n">
        <f aca="false">IFERROR('3. Research Subject Matrix'!L32/'3. Research Subject Matrix'!M32*100,0)</f>
        <v>0</v>
      </c>
      <c r="N31" s="16" t="str">
        <f aca="false">IFERROR(INDEX({"AH","BE","CH","CS","ED","EN","LW","LS","PS","PY","SS"},MATCH(MAX(C31:M31),C31:M31,0)),"")</f>
        <v>AH</v>
      </c>
      <c r="O31" s="4" t="str">
        <f aca="false">COUNTIF(C31:M31,0)&amp;" of 11 subjects missing"</f>
        <v>11 of 11 subjects missing</v>
      </c>
    </row>
    <row r="32" customFormat="false" ht="23.85" hidden="false" customHeight="false" outlineLevel="0" collapsed="false">
      <c r="A32" s="7" t="n">
        <v>28</v>
      </c>
      <c r="B32" s="19"/>
      <c r="C32" s="41" t="n">
        <f aca="false">IFERROR('3. Research Subject Matrix'!B33/'3. Research Subject Matrix'!M33*100,0)</f>
        <v>0</v>
      </c>
      <c r="D32" s="41" t="n">
        <f aca="false">IFERROR('3. Research Subject Matrix'!C33/'3. Research Subject Matrix'!M33*100,0)</f>
        <v>0</v>
      </c>
      <c r="E32" s="41" t="n">
        <f aca="false">IFERROR('3. Research Subject Matrix'!D33/'3. Research Subject Matrix'!M33*100,0)</f>
        <v>0</v>
      </c>
      <c r="F32" s="41" t="n">
        <f aca="false">IFERROR('3. Research Subject Matrix'!E33/'3. Research Subject Matrix'!M33*100,0)</f>
        <v>0</v>
      </c>
      <c r="G32" s="41" t="n">
        <f aca="false">IFERROR('3. Research Subject Matrix'!F33/'3. Research Subject Matrix'!M33*100,0)</f>
        <v>0</v>
      </c>
      <c r="H32" s="41" t="n">
        <f aca="false">IFERROR('3. Research Subject Matrix'!G33/'3. Research Subject Matrix'!M33*100,0)</f>
        <v>0</v>
      </c>
      <c r="I32" s="41" t="n">
        <f aca="false">IFERROR('3. Research Subject Matrix'!H33/'3. Research Subject Matrix'!M33*100,0)</f>
        <v>0</v>
      </c>
      <c r="J32" s="41" t="n">
        <f aca="false">IFERROR('3. Research Subject Matrix'!I33/'3. Research Subject Matrix'!M33*100,0)</f>
        <v>0</v>
      </c>
      <c r="K32" s="41" t="n">
        <f aca="false">IFERROR('3. Research Subject Matrix'!J33/'3. Research Subject Matrix'!M33*100,0)</f>
        <v>0</v>
      </c>
      <c r="L32" s="41" t="n">
        <f aca="false">IFERROR('3. Research Subject Matrix'!K33/'3. Research Subject Matrix'!M33*100,0)</f>
        <v>0</v>
      </c>
      <c r="M32" s="41" t="n">
        <f aca="false">IFERROR('3. Research Subject Matrix'!L33/'3. Research Subject Matrix'!M33*100,0)</f>
        <v>0</v>
      </c>
      <c r="N32" s="15" t="str">
        <f aca="false">IFERROR(INDEX({"AH","BE","CH","CS","ED","EN","LW","LS","PS","PY","SS"},MATCH(MAX(C32:M32),C32:M32,0)),"")</f>
        <v>AH</v>
      </c>
      <c r="O32" s="7" t="str">
        <f aca="false">COUNTIF(C32:M32,0)&amp;" of 11 subjects missing"</f>
        <v>11 of 11 subjects missing</v>
      </c>
    </row>
    <row r="33" customFormat="false" ht="23.85" hidden="false" customHeight="false" outlineLevel="0" collapsed="false">
      <c r="A33" s="4" t="n">
        <v>29</v>
      </c>
      <c r="B33" s="20"/>
      <c r="C33" s="40" t="n">
        <f aca="false">IFERROR('3. Research Subject Matrix'!B34/'3. Research Subject Matrix'!M34*100,0)</f>
        <v>0</v>
      </c>
      <c r="D33" s="40" t="n">
        <f aca="false">IFERROR('3. Research Subject Matrix'!C34/'3. Research Subject Matrix'!M34*100,0)</f>
        <v>0</v>
      </c>
      <c r="E33" s="40" t="n">
        <f aca="false">IFERROR('3. Research Subject Matrix'!D34/'3. Research Subject Matrix'!M34*100,0)</f>
        <v>0</v>
      </c>
      <c r="F33" s="40" t="n">
        <f aca="false">IFERROR('3. Research Subject Matrix'!E34/'3. Research Subject Matrix'!M34*100,0)</f>
        <v>0</v>
      </c>
      <c r="G33" s="40" t="n">
        <f aca="false">IFERROR('3. Research Subject Matrix'!F34/'3. Research Subject Matrix'!M34*100,0)</f>
        <v>0</v>
      </c>
      <c r="H33" s="40" t="n">
        <f aca="false">IFERROR('3. Research Subject Matrix'!G34/'3. Research Subject Matrix'!M34*100,0)</f>
        <v>0</v>
      </c>
      <c r="I33" s="40" t="n">
        <f aca="false">IFERROR('3. Research Subject Matrix'!H34/'3. Research Subject Matrix'!M34*100,0)</f>
        <v>0</v>
      </c>
      <c r="J33" s="40" t="n">
        <f aca="false">IFERROR('3. Research Subject Matrix'!I34/'3. Research Subject Matrix'!M34*100,0)</f>
        <v>0</v>
      </c>
      <c r="K33" s="40" t="n">
        <f aca="false">IFERROR('3. Research Subject Matrix'!J34/'3. Research Subject Matrix'!M34*100,0)</f>
        <v>0</v>
      </c>
      <c r="L33" s="40" t="n">
        <f aca="false">IFERROR('3. Research Subject Matrix'!K34/'3. Research Subject Matrix'!M34*100,0)</f>
        <v>0</v>
      </c>
      <c r="M33" s="40" t="n">
        <f aca="false">IFERROR('3. Research Subject Matrix'!L34/'3. Research Subject Matrix'!M34*100,0)</f>
        <v>0</v>
      </c>
      <c r="N33" s="16" t="str">
        <f aca="false">IFERROR(INDEX({"AH","BE","CH","CS","ED","EN","LW","LS","PS","PY","SS"},MATCH(MAX(C33:M33),C33:M33,0)),"")</f>
        <v>AH</v>
      </c>
      <c r="O33" s="4" t="str">
        <f aca="false">COUNTIF(C33:M33,0)&amp;" of 11 subjects missing"</f>
        <v>11 of 11 subjects missing</v>
      </c>
    </row>
    <row r="34" customFormat="false" ht="23.85" hidden="false" customHeight="false" outlineLevel="0" collapsed="false">
      <c r="A34" s="7" t="n">
        <v>30</v>
      </c>
      <c r="B34" s="19"/>
      <c r="C34" s="41" t="n">
        <f aca="false">IFERROR('3. Research Subject Matrix'!B35/'3. Research Subject Matrix'!M35*100,0)</f>
        <v>0</v>
      </c>
      <c r="D34" s="41" t="n">
        <f aca="false">IFERROR('3. Research Subject Matrix'!C35/'3. Research Subject Matrix'!M35*100,0)</f>
        <v>0</v>
      </c>
      <c r="E34" s="41" t="n">
        <f aca="false">IFERROR('3. Research Subject Matrix'!D35/'3. Research Subject Matrix'!M35*100,0)</f>
        <v>0</v>
      </c>
      <c r="F34" s="41" t="n">
        <f aca="false">IFERROR('3. Research Subject Matrix'!E35/'3. Research Subject Matrix'!M35*100,0)</f>
        <v>0</v>
      </c>
      <c r="G34" s="41" t="n">
        <f aca="false">IFERROR('3. Research Subject Matrix'!F35/'3. Research Subject Matrix'!M35*100,0)</f>
        <v>0</v>
      </c>
      <c r="H34" s="41" t="n">
        <f aca="false">IFERROR('3. Research Subject Matrix'!G35/'3. Research Subject Matrix'!M35*100,0)</f>
        <v>0</v>
      </c>
      <c r="I34" s="41" t="n">
        <f aca="false">IFERROR('3. Research Subject Matrix'!H35/'3. Research Subject Matrix'!M35*100,0)</f>
        <v>0</v>
      </c>
      <c r="J34" s="41" t="n">
        <f aca="false">IFERROR('3. Research Subject Matrix'!I35/'3. Research Subject Matrix'!M35*100,0)</f>
        <v>0</v>
      </c>
      <c r="K34" s="41" t="n">
        <f aca="false">IFERROR('3. Research Subject Matrix'!J35/'3. Research Subject Matrix'!M35*100,0)</f>
        <v>0</v>
      </c>
      <c r="L34" s="41" t="n">
        <f aca="false">IFERROR('3. Research Subject Matrix'!K35/'3. Research Subject Matrix'!M35*100,0)</f>
        <v>0</v>
      </c>
      <c r="M34" s="41" t="n">
        <f aca="false">IFERROR('3. Research Subject Matrix'!L35/'3. Research Subject Matrix'!M35*100,0)</f>
        <v>0</v>
      </c>
      <c r="N34" s="15" t="str">
        <f aca="false">IFERROR(INDEX({"AH","BE","CH","CS","ED","EN","LW","LS","PS","PY","SS"},MATCH(MAX(C34:M34),C34:M34,0)),"")</f>
        <v>AH</v>
      </c>
      <c r="O34" s="7" t="str">
        <f aca="false">COUNTIF(C34:M34,0)&amp;" of 11 subjects missing"</f>
        <v>11 of 11 subjects missing</v>
      </c>
    </row>
    <row r="36" customFormat="false" ht="15" hidden="false" customHeight="false" outlineLevel="0" collapsed="false">
      <c r="B36" s="45" t="s">
        <v>538</v>
      </c>
      <c r="C36" s="46" t="n">
        <v>9.1</v>
      </c>
      <c r="D36" s="46" t="n">
        <v>9.1</v>
      </c>
      <c r="E36" s="46" t="n">
        <v>9.1</v>
      </c>
      <c r="F36" s="46" t="n">
        <v>9.1</v>
      </c>
      <c r="G36" s="46" t="n">
        <v>9.1</v>
      </c>
      <c r="H36" s="46" t="n">
        <v>9.1</v>
      </c>
      <c r="I36" s="46" t="n">
        <v>9.1</v>
      </c>
      <c r="J36" s="46" t="n">
        <v>9.1</v>
      </c>
      <c r="K36" s="46" t="n">
        <v>9.1</v>
      </c>
      <c r="L36" s="46" t="n">
        <v>9.1</v>
      </c>
      <c r="M36" s="46" t="n">
        <v>9.1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12" t="s">
        <v>539</v>
      </c>
      <c r="B1" s="12"/>
      <c r="C1" s="12"/>
      <c r="D1" s="12"/>
      <c r="E1" s="12"/>
      <c r="F1" s="12"/>
      <c r="G1" s="12"/>
      <c r="H1" s="12"/>
      <c r="I1" s="12"/>
    </row>
    <row r="2" customFormat="false" ht="25.5" hidden="false" customHeight="true" outlineLevel="0" collapsed="false">
      <c r="A2" s="13" t="s">
        <v>540</v>
      </c>
      <c r="B2" s="13"/>
      <c r="C2" s="13"/>
      <c r="D2" s="13"/>
      <c r="E2" s="13"/>
      <c r="F2" s="13"/>
      <c r="G2" s="13"/>
      <c r="H2" s="13"/>
      <c r="I2" s="13"/>
    </row>
    <row r="3" customFormat="false" ht="23.85" hidden="false" customHeight="false" outlineLevel="0" collapsed="false">
      <c r="A3" s="14" t="s">
        <v>503</v>
      </c>
      <c r="B3" s="14" t="s">
        <v>84</v>
      </c>
      <c r="C3" s="14" t="s">
        <v>496</v>
      </c>
      <c r="D3" s="14" t="s">
        <v>497</v>
      </c>
      <c r="E3" s="14" t="s">
        <v>541</v>
      </c>
      <c r="F3" s="14" t="s">
        <v>542</v>
      </c>
      <c r="G3" s="14" t="s">
        <v>543</v>
      </c>
      <c r="H3" s="14" t="s">
        <v>544</v>
      </c>
      <c r="I3" s="14" t="s">
        <v>545</v>
      </c>
    </row>
    <row r="4" customFormat="false" ht="23.85" hidden="false" customHeight="false" outlineLevel="0" collapsed="false">
      <c r="A4" s="7" t="n">
        <v>1</v>
      </c>
      <c r="B4" s="19"/>
      <c r="C4" s="7" t="n">
        <f aca="false">IFERROR('5. Research Subject Entropy'!C4,0)</f>
        <v>0</v>
      </c>
      <c r="D4" s="7" t="n">
        <f aca="false">IFERROR('5. Research Subject Entropy'!D4,0)</f>
        <v>0</v>
      </c>
      <c r="E4" s="41" t="n">
        <f aca="false">IFERROR(D4/11*100,0)</f>
        <v>0</v>
      </c>
      <c r="F4" s="30" t="n">
        <f aca="false">IFERROR(IF(C4&gt;0,SUMPRODUCT(('3. Research Subject Matrix'!B5:L5/C4)^2),0),0)</f>
        <v>0</v>
      </c>
      <c r="G4" s="15" t="str">
        <f aca="false">IF(D4&gt;=8,"Generalist",IF(D4&gt;=5,"Moderate",IF(D4&gt;=3,"Specialist","Narrow Specialist")))</f>
        <v>Narrow Specialist</v>
      </c>
      <c r="H4" s="7" t="str">
        <f aca="false">IFERROR('8. Subject Gap Analysis'!N4,"")</f>
        <v>Strongest Subject</v>
      </c>
      <c r="I4" s="7" t="str">
        <f aca="false">IF(D4&gt;=8,"Strong subject diversity expected",IF(D4&gt;=5,"Moderate diversity; some gaps","Low subject diversity; entropy penalized"))</f>
        <v>Low subject diversity; entropy penalized</v>
      </c>
    </row>
    <row r="5" customFormat="false" ht="23.85" hidden="false" customHeight="false" outlineLevel="0" collapsed="false">
      <c r="A5" s="4" t="n">
        <v>2</v>
      </c>
      <c r="B5" s="20"/>
      <c r="C5" s="4" t="n">
        <f aca="false">IFERROR('5. Research Subject Entropy'!C5,0)</f>
        <v>0</v>
      </c>
      <c r="D5" s="4" t="n">
        <f aca="false">IFERROR('5. Research Subject Entropy'!D5,0)</f>
        <v>0</v>
      </c>
      <c r="E5" s="40" t="n">
        <f aca="false">IFERROR(D5/11*100,0)</f>
        <v>0</v>
      </c>
      <c r="F5" s="32" t="n">
        <f aca="false">IFERROR(IF(C5&gt;0,SUMPRODUCT(('3. Research Subject Matrix'!B6:L6/C5)^2),0),0)</f>
        <v>0</v>
      </c>
      <c r="G5" s="16" t="str">
        <f aca="false">IF(D5&gt;=8,"Generalist",IF(D5&gt;=5,"Moderate",IF(D5&gt;=3,"Specialist","Narrow Specialist")))</f>
        <v>Narrow Specialist</v>
      </c>
      <c r="H5" s="4" t="str">
        <f aca="false">IFERROR('8. Subject Gap Analysis'!N5,"")</f>
        <v>AH</v>
      </c>
      <c r="I5" s="4" t="str">
        <f aca="false">IF(D5&gt;=8,"Strong subject diversity expected",IF(D5&gt;=5,"Moderate diversity; some gaps","Low subject diversity; entropy penalized"))</f>
        <v>Low subject diversity; entropy penalized</v>
      </c>
    </row>
    <row r="6" customFormat="false" ht="23.85" hidden="false" customHeight="false" outlineLevel="0" collapsed="false">
      <c r="A6" s="7" t="n">
        <v>3</v>
      </c>
      <c r="B6" s="19"/>
      <c r="C6" s="7" t="n">
        <f aca="false">IFERROR('5. Research Subject Entropy'!C6,0)</f>
        <v>0</v>
      </c>
      <c r="D6" s="7" t="n">
        <f aca="false">IFERROR('5. Research Subject Entropy'!D6,0)</f>
        <v>0</v>
      </c>
      <c r="E6" s="41" t="n">
        <f aca="false">IFERROR(D6/11*100,0)</f>
        <v>0</v>
      </c>
      <c r="F6" s="30" t="n">
        <f aca="false">IFERROR(IF(C6&gt;0,SUMPRODUCT(('3. Research Subject Matrix'!B7:L7/C6)^2),0),0)</f>
        <v>0</v>
      </c>
      <c r="G6" s="15" t="str">
        <f aca="false">IF(D6&gt;=8,"Generalist",IF(D6&gt;=5,"Moderate",IF(D6&gt;=3,"Specialist","Narrow Specialist")))</f>
        <v>Narrow Specialist</v>
      </c>
      <c r="H6" s="7" t="str">
        <f aca="false">IFERROR('8. Subject Gap Analysis'!N6,"")</f>
        <v>AH</v>
      </c>
      <c r="I6" s="7" t="str">
        <f aca="false">IF(D6&gt;=8,"Strong subject diversity expected",IF(D6&gt;=5,"Moderate diversity; some gaps","Low subject diversity; entropy penalized"))</f>
        <v>Low subject diversity; entropy penalized</v>
      </c>
    </row>
    <row r="7" customFormat="false" ht="23.85" hidden="false" customHeight="false" outlineLevel="0" collapsed="false">
      <c r="A7" s="4" t="n">
        <v>4</v>
      </c>
      <c r="B7" s="20"/>
      <c r="C7" s="4" t="n">
        <f aca="false">IFERROR('5. Research Subject Entropy'!C7,0)</f>
        <v>0</v>
      </c>
      <c r="D7" s="4" t="n">
        <f aca="false">IFERROR('5. Research Subject Entropy'!D7,0)</f>
        <v>0</v>
      </c>
      <c r="E7" s="40" t="n">
        <f aca="false">IFERROR(D7/11*100,0)</f>
        <v>0</v>
      </c>
      <c r="F7" s="32" t="n">
        <f aca="false">IFERROR(IF(C7&gt;0,SUMPRODUCT(('3. Research Subject Matrix'!B8:L8/C7)^2),0),0)</f>
        <v>0</v>
      </c>
      <c r="G7" s="16" t="str">
        <f aca="false">IF(D7&gt;=8,"Generalist",IF(D7&gt;=5,"Moderate",IF(D7&gt;=3,"Specialist","Narrow Specialist")))</f>
        <v>Narrow Specialist</v>
      </c>
      <c r="H7" s="4" t="str">
        <f aca="false">IFERROR('8. Subject Gap Analysis'!N7,"")</f>
        <v>AH</v>
      </c>
      <c r="I7" s="4" t="str">
        <f aca="false">IF(D7&gt;=8,"Strong subject diversity expected",IF(D7&gt;=5,"Moderate diversity; some gaps","Low subject diversity; entropy penalized"))</f>
        <v>Low subject diversity; entropy penalized</v>
      </c>
    </row>
    <row r="8" customFormat="false" ht="23.85" hidden="false" customHeight="false" outlineLevel="0" collapsed="false">
      <c r="A8" s="7" t="n">
        <v>5</v>
      </c>
      <c r="B8" s="19"/>
      <c r="C8" s="7" t="n">
        <f aca="false">IFERROR('5. Research Subject Entropy'!C8,0)</f>
        <v>0</v>
      </c>
      <c r="D8" s="7" t="n">
        <f aca="false">IFERROR('5. Research Subject Entropy'!D8,0)</f>
        <v>0</v>
      </c>
      <c r="E8" s="41" t="n">
        <f aca="false">IFERROR(D8/11*100,0)</f>
        <v>0</v>
      </c>
      <c r="F8" s="30" t="n">
        <f aca="false">IFERROR(IF(C8&gt;0,SUMPRODUCT(('3. Research Subject Matrix'!B9:L9/C8)^2),0),0)</f>
        <v>0</v>
      </c>
      <c r="G8" s="15" t="str">
        <f aca="false">IF(D8&gt;=8,"Generalist",IF(D8&gt;=5,"Moderate",IF(D8&gt;=3,"Specialist","Narrow Specialist")))</f>
        <v>Narrow Specialist</v>
      </c>
      <c r="H8" s="7" t="str">
        <f aca="false">IFERROR('8. Subject Gap Analysis'!N8,"")</f>
        <v>AH</v>
      </c>
      <c r="I8" s="7" t="str">
        <f aca="false">IF(D8&gt;=8,"Strong subject diversity expected",IF(D8&gt;=5,"Moderate diversity; some gaps","Low subject diversity; entropy penalized"))</f>
        <v>Low subject diversity; entropy penalized</v>
      </c>
    </row>
    <row r="9" customFormat="false" ht="23.85" hidden="false" customHeight="false" outlineLevel="0" collapsed="false">
      <c r="A9" s="4" t="n">
        <v>6</v>
      </c>
      <c r="B9" s="20"/>
      <c r="C9" s="4" t="n">
        <f aca="false">IFERROR('5. Research Subject Entropy'!C9,0)</f>
        <v>0</v>
      </c>
      <c r="D9" s="4" t="n">
        <f aca="false">IFERROR('5. Research Subject Entropy'!D9,0)</f>
        <v>0</v>
      </c>
      <c r="E9" s="40" t="n">
        <f aca="false">IFERROR(D9/11*100,0)</f>
        <v>0</v>
      </c>
      <c r="F9" s="32" t="n">
        <f aca="false">IFERROR(IF(C9&gt;0,SUMPRODUCT(('3. Research Subject Matrix'!B10:L10/C9)^2),0),0)</f>
        <v>0</v>
      </c>
      <c r="G9" s="16" t="str">
        <f aca="false">IF(D9&gt;=8,"Generalist",IF(D9&gt;=5,"Moderate",IF(D9&gt;=3,"Specialist","Narrow Specialist")))</f>
        <v>Narrow Specialist</v>
      </c>
      <c r="H9" s="4" t="str">
        <f aca="false">IFERROR('8. Subject Gap Analysis'!N9,"")</f>
        <v>AH</v>
      </c>
      <c r="I9" s="4" t="str">
        <f aca="false">IF(D9&gt;=8,"Strong subject diversity expected",IF(D9&gt;=5,"Moderate diversity; some gaps","Low subject diversity; entropy penalized"))</f>
        <v>Low subject diversity; entropy penalized</v>
      </c>
    </row>
    <row r="10" customFormat="false" ht="23.85" hidden="false" customHeight="false" outlineLevel="0" collapsed="false">
      <c r="A10" s="7" t="n">
        <v>7</v>
      </c>
      <c r="B10" s="19"/>
      <c r="C10" s="7" t="n">
        <f aca="false">IFERROR('5. Research Subject Entropy'!C10,0)</f>
        <v>0</v>
      </c>
      <c r="D10" s="7" t="n">
        <f aca="false">IFERROR('5. Research Subject Entropy'!D10,0)</f>
        <v>0</v>
      </c>
      <c r="E10" s="41" t="n">
        <f aca="false">IFERROR(D10/11*100,0)</f>
        <v>0</v>
      </c>
      <c r="F10" s="30" t="n">
        <f aca="false">IFERROR(IF(C10&gt;0,SUMPRODUCT(('3. Research Subject Matrix'!B11:L11/C10)^2),0),0)</f>
        <v>0</v>
      </c>
      <c r="G10" s="15" t="str">
        <f aca="false">IF(D10&gt;=8,"Generalist",IF(D10&gt;=5,"Moderate",IF(D10&gt;=3,"Specialist","Narrow Specialist")))</f>
        <v>Narrow Specialist</v>
      </c>
      <c r="H10" s="7" t="str">
        <f aca="false">IFERROR('8. Subject Gap Analysis'!N10,"")</f>
        <v>AH</v>
      </c>
      <c r="I10" s="7" t="str">
        <f aca="false">IF(D10&gt;=8,"Strong subject diversity expected",IF(D10&gt;=5,"Moderate diversity; some gaps","Low subject diversity; entropy penalized"))</f>
        <v>Low subject diversity; entropy penalized</v>
      </c>
    </row>
    <row r="11" customFormat="false" ht="23.85" hidden="false" customHeight="false" outlineLevel="0" collapsed="false">
      <c r="A11" s="4" t="n">
        <v>8</v>
      </c>
      <c r="B11" s="20"/>
      <c r="C11" s="4" t="n">
        <f aca="false">IFERROR('5. Research Subject Entropy'!C11,0)</f>
        <v>0</v>
      </c>
      <c r="D11" s="4" t="n">
        <f aca="false">IFERROR('5. Research Subject Entropy'!D11,0)</f>
        <v>0</v>
      </c>
      <c r="E11" s="40" t="n">
        <f aca="false">IFERROR(D11/11*100,0)</f>
        <v>0</v>
      </c>
      <c r="F11" s="32" t="n">
        <f aca="false">IFERROR(IF(C11&gt;0,SUMPRODUCT(('3. Research Subject Matrix'!B12:L12/C11)^2),0),0)</f>
        <v>0</v>
      </c>
      <c r="G11" s="16" t="str">
        <f aca="false">IF(D11&gt;=8,"Generalist",IF(D11&gt;=5,"Moderate",IF(D11&gt;=3,"Specialist","Narrow Specialist")))</f>
        <v>Narrow Specialist</v>
      </c>
      <c r="H11" s="4" t="str">
        <f aca="false">IFERROR('8. Subject Gap Analysis'!N11,"")</f>
        <v>AH</v>
      </c>
      <c r="I11" s="4" t="str">
        <f aca="false">IF(D11&gt;=8,"Strong subject diversity expected",IF(D11&gt;=5,"Moderate diversity; some gaps","Low subject diversity; entropy penalized"))</f>
        <v>Low subject diversity; entropy penalized</v>
      </c>
    </row>
    <row r="12" customFormat="false" ht="23.85" hidden="false" customHeight="false" outlineLevel="0" collapsed="false">
      <c r="A12" s="7" t="n">
        <v>9</v>
      </c>
      <c r="B12" s="19"/>
      <c r="C12" s="7" t="n">
        <f aca="false">IFERROR('5. Research Subject Entropy'!C12,0)</f>
        <v>0</v>
      </c>
      <c r="D12" s="7" t="n">
        <f aca="false">IFERROR('5. Research Subject Entropy'!D12,0)</f>
        <v>0</v>
      </c>
      <c r="E12" s="41" t="n">
        <f aca="false">IFERROR(D12/11*100,0)</f>
        <v>0</v>
      </c>
      <c r="F12" s="30" t="n">
        <f aca="false">IFERROR(IF(C12&gt;0,SUMPRODUCT(('3. Research Subject Matrix'!B13:L13/C12)^2),0),0)</f>
        <v>0</v>
      </c>
      <c r="G12" s="15" t="str">
        <f aca="false">IF(D12&gt;=8,"Generalist",IF(D12&gt;=5,"Moderate",IF(D12&gt;=3,"Specialist","Narrow Specialist")))</f>
        <v>Narrow Specialist</v>
      </c>
      <c r="H12" s="7" t="str">
        <f aca="false">IFERROR('8. Subject Gap Analysis'!N12,"")</f>
        <v>AH</v>
      </c>
      <c r="I12" s="7" t="str">
        <f aca="false">IF(D12&gt;=8,"Strong subject diversity expected",IF(D12&gt;=5,"Moderate diversity; some gaps","Low subject diversity; entropy penalized"))</f>
        <v>Low subject diversity; entropy penalized</v>
      </c>
    </row>
    <row r="13" customFormat="false" ht="23.85" hidden="false" customHeight="false" outlineLevel="0" collapsed="false">
      <c r="A13" s="4" t="n">
        <v>10</v>
      </c>
      <c r="B13" s="20"/>
      <c r="C13" s="4" t="n">
        <f aca="false">IFERROR('5. Research Subject Entropy'!C13,0)</f>
        <v>0</v>
      </c>
      <c r="D13" s="4" t="n">
        <f aca="false">IFERROR('5. Research Subject Entropy'!D13,0)</f>
        <v>0</v>
      </c>
      <c r="E13" s="40" t="n">
        <f aca="false">IFERROR(D13/11*100,0)</f>
        <v>0</v>
      </c>
      <c r="F13" s="32" t="n">
        <f aca="false">IFERROR(IF(C13&gt;0,SUMPRODUCT(('3. Research Subject Matrix'!B14:L14/C13)^2),0),0)</f>
        <v>0</v>
      </c>
      <c r="G13" s="16" t="str">
        <f aca="false">IF(D13&gt;=8,"Generalist",IF(D13&gt;=5,"Moderate",IF(D13&gt;=3,"Specialist","Narrow Specialist")))</f>
        <v>Narrow Specialist</v>
      </c>
      <c r="H13" s="4" t="str">
        <f aca="false">IFERROR('8. Subject Gap Analysis'!N13,"")</f>
        <v>AH</v>
      </c>
      <c r="I13" s="4" t="str">
        <f aca="false">IF(D13&gt;=8,"Strong subject diversity expected",IF(D13&gt;=5,"Moderate diversity; some gaps","Low subject diversity; entropy penalized"))</f>
        <v>Low subject diversity; entropy penalized</v>
      </c>
    </row>
    <row r="14" customFormat="false" ht="23.85" hidden="false" customHeight="false" outlineLevel="0" collapsed="false">
      <c r="A14" s="7" t="n">
        <v>11</v>
      </c>
      <c r="B14" s="19"/>
      <c r="C14" s="7" t="n">
        <f aca="false">IFERROR('5. Research Subject Entropy'!C14,0)</f>
        <v>0</v>
      </c>
      <c r="D14" s="7" t="n">
        <f aca="false">IFERROR('5. Research Subject Entropy'!D14,0)</f>
        <v>0</v>
      </c>
      <c r="E14" s="41" t="n">
        <f aca="false">IFERROR(D14/11*100,0)</f>
        <v>0</v>
      </c>
      <c r="F14" s="30" t="n">
        <f aca="false">IFERROR(IF(C14&gt;0,SUMPRODUCT(('3. Research Subject Matrix'!B15:L15/C14)^2),0),0)</f>
        <v>0</v>
      </c>
      <c r="G14" s="15" t="str">
        <f aca="false">IF(D14&gt;=8,"Generalist",IF(D14&gt;=5,"Moderate",IF(D14&gt;=3,"Specialist","Narrow Specialist")))</f>
        <v>Narrow Specialist</v>
      </c>
      <c r="H14" s="7" t="str">
        <f aca="false">IFERROR('8. Subject Gap Analysis'!N14,"")</f>
        <v>AH</v>
      </c>
      <c r="I14" s="7" t="str">
        <f aca="false">IF(D14&gt;=8,"Strong subject diversity expected",IF(D14&gt;=5,"Moderate diversity; some gaps","Low subject diversity; entropy penalized"))</f>
        <v>Low subject diversity; entropy penalized</v>
      </c>
    </row>
    <row r="15" customFormat="false" ht="23.85" hidden="false" customHeight="false" outlineLevel="0" collapsed="false">
      <c r="A15" s="4" t="n">
        <v>12</v>
      </c>
      <c r="B15" s="20"/>
      <c r="C15" s="4" t="n">
        <f aca="false">IFERROR('5. Research Subject Entropy'!C15,0)</f>
        <v>0</v>
      </c>
      <c r="D15" s="4" t="n">
        <f aca="false">IFERROR('5. Research Subject Entropy'!D15,0)</f>
        <v>0</v>
      </c>
      <c r="E15" s="40" t="n">
        <f aca="false">IFERROR(D15/11*100,0)</f>
        <v>0</v>
      </c>
      <c r="F15" s="32" t="n">
        <f aca="false">IFERROR(IF(C15&gt;0,SUMPRODUCT(('3. Research Subject Matrix'!B16:L16/C15)^2),0),0)</f>
        <v>0</v>
      </c>
      <c r="G15" s="16" t="str">
        <f aca="false">IF(D15&gt;=8,"Generalist",IF(D15&gt;=5,"Moderate",IF(D15&gt;=3,"Specialist","Narrow Specialist")))</f>
        <v>Narrow Specialist</v>
      </c>
      <c r="H15" s="4" t="str">
        <f aca="false">IFERROR('8. Subject Gap Analysis'!N15,"")</f>
        <v>AH</v>
      </c>
      <c r="I15" s="4" t="str">
        <f aca="false">IF(D15&gt;=8,"Strong subject diversity expected",IF(D15&gt;=5,"Moderate diversity; some gaps","Low subject diversity; entropy penalized"))</f>
        <v>Low subject diversity; entropy penalized</v>
      </c>
    </row>
    <row r="16" customFormat="false" ht="23.85" hidden="false" customHeight="false" outlineLevel="0" collapsed="false">
      <c r="A16" s="7" t="n">
        <v>13</v>
      </c>
      <c r="B16" s="19"/>
      <c r="C16" s="7" t="n">
        <f aca="false">IFERROR('5. Research Subject Entropy'!C16,0)</f>
        <v>0</v>
      </c>
      <c r="D16" s="7" t="n">
        <f aca="false">IFERROR('5. Research Subject Entropy'!D16,0)</f>
        <v>0</v>
      </c>
      <c r="E16" s="41" t="n">
        <f aca="false">IFERROR(D16/11*100,0)</f>
        <v>0</v>
      </c>
      <c r="F16" s="30" t="n">
        <f aca="false">IFERROR(IF(C16&gt;0,SUMPRODUCT(('3. Research Subject Matrix'!B17:L17/C16)^2),0),0)</f>
        <v>0</v>
      </c>
      <c r="G16" s="15" t="str">
        <f aca="false">IF(D16&gt;=8,"Generalist",IF(D16&gt;=5,"Moderate",IF(D16&gt;=3,"Specialist","Narrow Specialist")))</f>
        <v>Narrow Specialist</v>
      </c>
      <c r="H16" s="7" t="str">
        <f aca="false">IFERROR('8. Subject Gap Analysis'!N16,"")</f>
        <v>AH</v>
      </c>
      <c r="I16" s="7" t="str">
        <f aca="false">IF(D16&gt;=8,"Strong subject diversity expected",IF(D16&gt;=5,"Moderate diversity; some gaps","Low subject diversity; entropy penalized"))</f>
        <v>Low subject diversity; entropy penalized</v>
      </c>
    </row>
    <row r="17" customFormat="false" ht="23.85" hidden="false" customHeight="false" outlineLevel="0" collapsed="false">
      <c r="A17" s="4" t="n">
        <v>14</v>
      </c>
      <c r="B17" s="20"/>
      <c r="C17" s="4" t="n">
        <f aca="false">IFERROR('5. Research Subject Entropy'!C17,0)</f>
        <v>0</v>
      </c>
      <c r="D17" s="4" t="n">
        <f aca="false">IFERROR('5. Research Subject Entropy'!D17,0)</f>
        <v>0</v>
      </c>
      <c r="E17" s="40" t="n">
        <f aca="false">IFERROR(D17/11*100,0)</f>
        <v>0</v>
      </c>
      <c r="F17" s="32" t="n">
        <f aca="false">IFERROR(IF(C17&gt;0,SUMPRODUCT(('3. Research Subject Matrix'!B18:L18/C17)^2),0),0)</f>
        <v>0</v>
      </c>
      <c r="G17" s="16" t="str">
        <f aca="false">IF(D17&gt;=8,"Generalist",IF(D17&gt;=5,"Moderate",IF(D17&gt;=3,"Specialist","Narrow Specialist")))</f>
        <v>Narrow Specialist</v>
      </c>
      <c r="H17" s="4" t="str">
        <f aca="false">IFERROR('8. Subject Gap Analysis'!N17,"")</f>
        <v>AH</v>
      </c>
      <c r="I17" s="4" t="str">
        <f aca="false">IF(D17&gt;=8,"Strong subject diversity expected",IF(D17&gt;=5,"Moderate diversity; some gaps","Low subject diversity; entropy penalized"))</f>
        <v>Low subject diversity; entropy penalized</v>
      </c>
    </row>
    <row r="18" customFormat="false" ht="23.85" hidden="false" customHeight="false" outlineLevel="0" collapsed="false">
      <c r="A18" s="7" t="n">
        <v>15</v>
      </c>
      <c r="B18" s="19"/>
      <c r="C18" s="7" t="n">
        <f aca="false">IFERROR('5. Research Subject Entropy'!C18,0)</f>
        <v>0</v>
      </c>
      <c r="D18" s="7" t="n">
        <f aca="false">IFERROR('5. Research Subject Entropy'!D18,0)</f>
        <v>0</v>
      </c>
      <c r="E18" s="41" t="n">
        <f aca="false">IFERROR(D18/11*100,0)</f>
        <v>0</v>
      </c>
      <c r="F18" s="30" t="n">
        <f aca="false">IFERROR(IF(C18&gt;0,SUMPRODUCT(('3. Research Subject Matrix'!B19:L19/C18)^2),0),0)</f>
        <v>0</v>
      </c>
      <c r="G18" s="15" t="str">
        <f aca="false">IF(D18&gt;=8,"Generalist",IF(D18&gt;=5,"Moderate",IF(D18&gt;=3,"Specialist","Narrow Specialist")))</f>
        <v>Narrow Specialist</v>
      </c>
      <c r="H18" s="7" t="str">
        <f aca="false">IFERROR('8. Subject Gap Analysis'!N18,"")</f>
        <v>AH</v>
      </c>
      <c r="I18" s="7" t="str">
        <f aca="false">IF(D18&gt;=8,"Strong subject diversity expected",IF(D18&gt;=5,"Moderate diversity; some gaps","Low subject diversity; entropy penalized"))</f>
        <v>Low subject diversity; entropy penalized</v>
      </c>
    </row>
    <row r="19" customFormat="false" ht="23.85" hidden="false" customHeight="false" outlineLevel="0" collapsed="false">
      <c r="A19" s="4" t="n">
        <v>16</v>
      </c>
      <c r="B19" s="20"/>
      <c r="C19" s="4" t="n">
        <f aca="false">IFERROR('5. Research Subject Entropy'!C19,0)</f>
        <v>0</v>
      </c>
      <c r="D19" s="4" t="n">
        <f aca="false">IFERROR('5. Research Subject Entropy'!D19,0)</f>
        <v>0</v>
      </c>
      <c r="E19" s="40" t="n">
        <f aca="false">IFERROR(D19/11*100,0)</f>
        <v>0</v>
      </c>
      <c r="F19" s="32" t="n">
        <f aca="false">IFERROR(IF(C19&gt;0,SUMPRODUCT(('3. Research Subject Matrix'!B20:L20/C19)^2),0),0)</f>
        <v>0</v>
      </c>
      <c r="G19" s="16" t="str">
        <f aca="false">IF(D19&gt;=8,"Generalist",IF(D19&gt;=5,"Moderate",IF(D19&gt;=3,"Specialist","Narrow Specialist")))</f>
        <v>Narrow Specialist</v>
      </c>
      <c r="H19" s="4" t="str">
        <f aca="false">IFERROR('8. Subject Gap Analysis'!N19,"")</f>
        <v>AH</v>
      </c>
      <c r="I19" s="4" t="str">
        <f aca="false">IF(D19&gt;=8,"Strong subject diversity expected",IF(D19&gt;=5,"Moderate diversity; some gaps","Low subject diversity; entropy penalized"))</f>
        <v>Low subject diversity; entropy penalized</v>
      </c>
    </row>
    <row r="20" customFormat="false" ht="23.85" hidden="false" customHeight="false" outlineLevel="0" collapsed="false">
      <c r="A20" s="7" t="n">
        <v>17</v>
      </c>
      <c r="B20" s="19"/>
      <c r="C20" s="7" t="n">
        <f aca="false">IFERROR('5. Research Subject Entropy'!C20,0)</f>
        <v>0</v>
      </c>
      <c r="D20" s="7" t="n">
        <f aca="false">IFERROR('5. Research Subject Entropy'!D20,0)</f>
        <v>0</v>
      </c>
      <c r="E20" s="41" t="n">
        <f aca="false">IFERROR(D20/11*100,0)</f>
        <v>0</v>
      </c>
      <c r="F20" s="30" t="n">
        <f aca="false">IFERROR(IF(C20&gt;0,SUMPRODUCT(('3. Research Subject Matrix'!B21:L21/C20)^2),0),0)</f>
        <v>0</v>
      </c>
      <c r="G20" s="15" t="str">
        <f aca="false">IF(D20&gt;=8,"Generalist",IF(D20&gt;=5,"Moderate",IF(D20&gt;=3,"Specialist","Narrow Specialist")))</f>
        <v>Narrow Specialist</v>
      </c>
      <c r="H20" s="7" t="str">
        <f aca="false">IFERROR('8. Subject Gap Analysis'!N20,"")</f>
        <v>AH</v>
      </c>
      <c r="I20" s="7" t="str">
        <f aca="false">IF(D20&gt;=8,"Strong subject diversity expected",IF(D20&gt;=5,"Moderate diversity; some gaps","Low subject diversity; entropy penalized"))</f>
        <v>Low subject diversity; entropy penalized</v>
      </c>
    </row>
    <row r="21" customFormat="false" ht="23.85" hidden="false" customHeight="false" outlineLevel="0" collapsed="false">
      <c r="A21" s="4" t="n">
        <v>18</v>
      </c>
      <c r="B21" s="20"/>
      <c r="C21" s="4" t="n">
        <f aca="false">IFERROR('5. Research Subject Entropy'!C21,0)</f>
        <v>0</v>
      </c>
      <c r="D21" s="4" t="n">
        <f aca="false">IFERROR('5. Research Subject Entropy'!D21,0)</f>
        <v>0</v>
      </c>
      <c r="E21" s="40" t="n">
        <f aca="false">IFERROR(D21/11*100,0)</f>
        <v>0</v>
      </c>
      <c r="F21" s="32" t="n">
        <f aca="false">IFERROR(IF(C21&gt;0,SUMPRODUCT(('3. Research Subject Matrix'!B22:L22/C21)^2),0),0)</f>
        <v>0</v>
      </c>
      <c r="G21" s="16" t="str">
        <f aca="false">IF(D21&gt;=8,"Generalist",IF(D21&gt;=5,"Moderate",IF(D21&gt;=3,"Specialist","Narrow Specialist")))</f>
        <v>Narrow Specialist</v>
      </c>
      <c r="H21" s="4" t="str">
        <f aca="false">IFERROR('8. Subject Gap Analysis'!N21,"")</f>
        <v>AH</v>
      </c>
      <c r="I21" s="4" t="str">
        <f aca="false">IF(D21&gt;=8,"Strong subject diversity expected",IF(D21&gt;=5,"Moderate diversity; some gaps","Low subject diversity; entropy penalized"))</f>
        <v>Low subject diversity; entropy penalized</v>
      </c>
    </row>
    <row r="22" customFormat="false" ht="23.85" hidden="false" customHeight="false" outlineLevel="0" collapsed="false">
      <c r="A22" s="7" t="n">
        <v>19</v>
      </c>
      <c r="B22" s="19"/>
      <c r="C22" s="7" t="n">
        <f aca="false">IFERROR('5. Research Subject Entropy'!C22,0)</f>
        <v>0</v>
      </c>
      <c r="D22" s="7" t="n">
        <f aca="false">IFERROR('5. Research Subject Entropy'!D22,0)</f>
        <v>0</v>
      </c>
      <c r="E22" s="41" t="n">
        <f aca="false">IFERROR(D22/11*100,0)</f>
        <v>0</v>
      </c>
      <c r="F22" s="30" t="n">
        <f aca="false">IFERROR(IF(C22&gt;0,SUMPRODUCT(('3. Research Subject Matrix'!B23:L23/C22)^2),0),0)</f>
        <v>0</v>
      </c>
      <c r="G22" s="15" t="str">
        <f aca="false">IF(D22&gt;=8,"Generalist",IF(D22&gt;=5,"Moderate",IF(D22&gt;=3,"Specialist","Narrow Specialist")))</f>
        <v>Narrow Specialist</v>
      </c>
      <c r="H22" s="7" t="str">
        <f aca="false">IFERROR('8. Subject Gap Analysis'!N22,"")</f>
        <v>AH</v>
      </c>
      <c r="I22" s="7" t="str">
        <f aca="false">IF(D22&gt;=8,"Strong subject diversity expected",IF(D22&gt;=5,"Moderate diversity; some gaps","Low subject diversity; entropy penalized"))</f>
        <v>Low subject diversity; entropy penalized</v>
      </c>
    </row>
    <row r="23" customFormat="false" ht="23.85" hidden="false" customHeight="false" outlineLevel="0" collapsed="false">
      <c r="A23" s="4" t="n">
        <v>20</v>
      </c>
      <c r="B23" s="20"/>
      <c r="C23" s="4" t="n">
        <f aca="false">IFERROR('5. Research Subject Entropy'!C23,0)</f>
        <v>0</v>
      </c>
      <c r="D23" s="4" t="n">
        <f aca="false">IFERROR('5. Research Subject Entropy'!D23,0)</f>
        <v>0</v>
      </c>
      <c r="E23" s="40" t="n">
        <f aca="false">IFERROR(D23/11*100,0)</f>
        <v>0</v>
      </c>
      <c r="F23" s="32" t="n">
        <f aca="false">IFERROR(IF(C23&gt;0,SUMPRODUCT(('3. Research Subject Matrix'!B24:L24/C23)^2),0),0)</f>
        <v>0</v>
      </c>
      <c r="G23" s="16" t="str">
        <f aca="false">IF(D23&gt;=8,"Generalist",IF(D23&gt;=5,"Moderate",IF(D23&gt;=3,"Specialist","Narrow Specialist")))</f>
        <v>Narrow Specialist</v>
      </c>
      <c r="H23" s="4" t="str">
        <f aca="false">IFERROR('8. Subject Gap Analysis'!N23,"")</f>
        <v>AH</v>
      </c>
      <c r="I23" s="4" t="str">
        <f aca="false">IF(D23&gt;=8,"Strong subject diversity expected",IF(D23&gt;=5,"Moderate diversity; some gaps","Low subject diversity; entropy penalized"))</f>
        <v>Low subject diversity; entropy penalized</v>
      </c>
    </row>
    <row r="24" customFormat="false" ht="23.85" hidden="false" customHeight="false" outlineLevel="0" collapsed="false">
      <c r="A24" s="7" t="n">
        <v>21</v>
      </c>
      <c r="B24" s="19"/>
      <c r="C24" s="7" t="n">
        <f aca="false">IFERROR('5. Research Subject Entropy'!C24,0)</f>
        <v>0</v>
      </c>
      <c r="D24" s="7" t="n">
        <f aca="false">IFERROR('5. Research Subject Entropy'!D24,0)</f>
        <v>0</v>
      </c>
      <c r="E24" s="41" t="n">
        <f aca="false">IFERROR(D24/11*100,0)</f>
        <v>0</v>
      </c>
      <c r="F24" s="30" t="n">
        <f aca="false">IFERROR(IF(C24&gt;0,SUMPRODUCT(('3. Research Subject Matrix'!B25:L25/C24)^2),0),0)</f>
        <v>0</v>
      </c>
      <c r="G24" s="15" t="str">
        <f aca="false">IF(D24&gt;=8,"Generalist",IF(D24&gt;=5,"Moderate",IF(D24&gt;=3,"Specialist","Narrow Specialist")))</f>
        <v>Narrow Specialist</v>
      </c>
      <c r="H24" s="7" t="str">
        <f aca="false">IFERROR('8. Subject Gap Analysis'!N24,"")</f>
        <v>AH</v>
      </c>
      <c r="I24" s="7" t="str">
        <f aca="false">IF(D24&gt;=8,"Strong subject diversity expected",IF(D24&gt;=5,"Moderate diversity; some gaps","Low subject diversity; entropy penalized"))</f>
        <v>Low subject diversity; entropy penalized</v>
      </c>
    </row>
    <row r="25" customFormat="false" ht="23.85" hidden="false" customHeight="false" outlineLevel="0" collapsed="false">
      <c r="A25" s="4" t="n">
        <v>22</v>
      </c>
      <c r="B25" s="20"/>
      <c r="C25" s="4" t="n">
        <f aca="false">IFERROR('5. Research Subject Entropy'!C25,0)</f>
        <v>0</v>
      </c>
      <c r="D25" s="4" t="n">
        <f aca="false">IFERROR('5. Research Subject Entropy'!D25,0)</f>
        <v>0</v>
      </c>
      <c r="E25" s="40" t="n">
        <f aca="false">IFERROR(D25/11*100,0)</f>
        <v>0</v>
      </c>
      <c r="F25" s="32" t="n">
        <f aca="false">IFERROR(IF(C25&gt;0,SUMPRODUCT(('3. Research Subject Matrix'!B26:L26/C25)^2),0),0)</f>
        <v>0</v>
      </c>
      <c r="G25" s="16" t="str">
        <f aca="false">IF(D25&gt;=8,"Generalist",IF(D25&gt;=5,"Moderate",IF(D25&gt;=3,"Specialist","Narrow Specialist")))</f>
        <v>Narrow Specialist</v>
      </c>
      <c r="H25" s="4" t="str">
        <f aca="false">IFERROR('8. Subject Gap Analysis'!N25,"")</f>
        <v>AH</v>
      </c>
      <c r="I25" s="4" t="str">
        <f aca="false">IF(D25&gt;=8,"Strong subject diversity expected",IF(D25&gt;=5,"Moderate diversity; some gaps","Low subject diversity; entropy penalized"))</f>
        <v>Low subject diversity; entropy penalized</v>
      </c>
    </row>
    <row r="26" customFormat="false" ht="23.85" hidden="false" customHeight="false" outlineLevel="0" collapsed="false">
      <c r="A26" s="7" t="n">
        <v>23</v>
      </c>
      <c r="B26" s="19"/>
      <c r="C26" s="7" t="n">
        <f aca="false">IFERROR('5. Research Subject Entropy'!C26,0)</f>
        <v>0</v>
      </c>
      <c r="D26" s="7" t="n">
        <f aca="false">IFERROR('5. Research Subject Entropy'!D26,0)</f>
        <v>0</v>
      </c>
      <c r="E26" s="41" t="n">
        <f aca="false">IFERROR(D26/11*100,0)</f>
        <v>0</v>
      </c>
      <c r="F26" s="30" t="n">
        <f aca="false">IFERROR(IF(C26&gt;0,SUMPRODUCT(('3. Research Subject Matrix'!B27:L27/C26)^2),0),0)</f>
        <v>0</v>
      </c>
      <c r="G26" s="15" t="str">
        <f aca="false">IF(D26&gt;=8,"Generalist",IF(D26&gt;=5,"Moderate",IF(D26&gt;=3,"Specialist","Narrow Specialist")))</f>
        <v>Narrow Specialist</v>
      </c>
      <c r="H26" s="7" t="str">
        <f aca="false">IFERROR('8. Subject Gap Analysis'!N26,"")</f>
        <v>AH</v>
      </c>
      <c r="I26" s="7" t="str">
        <f aca="false">IF(D26&gt;=8,"Strong subject diversity expected",IF(D26&gt;=5,"Moderate diversity; some gaps","Low subject diversity; entropy penalized"))</f>
        <v>Low subject diversity; entropy penalized</v>
      </c>
    </row>
    <row r="27" customFormat="false" ht="23.85" hidden="false" customHeight="false" outlineLevel="0" collapsed="false">
      <c r="A27" s="4" t="n">
        <v>24</v>
      </c>
      <c r="B27" s="20"/>
      <c r="C27" s="4" t="n">
        <f aca="false">IFERROR('5. Research Subject Entropy'!C27,0)</f>
        <v>0</v>
      </c>
      <c r="D27" s="4" t="n">
        <f aca="false">IFERROR('5. Research Subject Entropy'!D27,0)</f>
        <v>0</v>
      </c>
      <c r="E27" s="40" t="n">
        <f aca="false">IFERROR(D27/11*100,0)</f>
        <v>0</v>
      </c>
      <c r="F27" s="32" t="n">
        <f aca="false">IFERROR(IF(C27&gt;0,SUMPRODUCT(('3. Research Subject Matrix'!B28:L28/C27)^2),0),0)</f>
        <v>0</v>
      </c>
      <c r="G27" s="16" t="str">
        <f aca="false">IF(D27&gt;=8,"Generalist",IF(D27&gt;=5,"Moderate",IF(D27&gt;=3,"Specialist","Narrow Specialist")))</f>
        <v>Narrow Specialist</v>
      </c>
      <c r="H27" s="4" t="str">
        <f aca="false">IFERROR('8. Subject Gap Analysis'!N27,"")</f>
        <v>AH</v>
      </c>
      <c r="I27" s="4" t="str">
        <f aca="false">IF(D27&gt;=8,"Strong subject diversity expected",IF(D27&gt;=5,"Moderate diversity; some gaps","Low subject diversity; entropy penalized"))</f>
        <v>Low subject diversity; entropy penalized</v>
      </c>
    </row>
    <row r="28" customFormat="false" ht="23.85" hidden="false" customHeight="false" outlineLevel="0" collapsed="false">
      <c r="A28" s="7" t="n">
        <v>25</v>
      </c>
      <c r="B28" s="19"/>
      <c r="C28" s="7" t="n">
        <f aca="false">IFERROR('5. Research Subject Entropy'!C28,0)</f>
        <v>0</v>
      </c>
      <c r="D28" s="7" t="n">
        <f aca="false">IFERROR('5. Research Subject Entropy'!D28,0)</f>
        <v>0</v>
      </c>
      <c r="E28" s="41" t="n">
        <f aca="false">IFERROR(D28/11*100,0)</f>
        <v>0</v>
      </c>
      <c r="F28" s="30" t="n">
        <f aca="false">IFERROR(IF(C28&gt;0,SUMPRODUCT(('3. Research Subject Matrix'!B29:L29/C28)^2),0),0)</f>
        <v>0</v>
      </c>
      <c r="G28" s="15" t="str">
        <f aca="false">IF(D28&gt;=8,"Generalist",IF(D28&gt;=5,"Moderate",IF(D28&gt;=3,"Specialist","Narrow Specialist")))</f>
        <v>Narrow Specialist</v>
      </c>
      <c r="H28" s="7" t="str">
        <f aca="false">IFERROR('8. Subject Gap Analysis'!N28,"")</f>
        <v>AH</v>
      </c>
      <c r="I28" s="7" t="str">
        <f aca="false">IF(D28&gt;=8,"Strong subject diversity expected",IF(D28&gt;=5,"Moderate diversity; some gaps","Low subject diversity; entropy penalized"))</f>
        <v>Low subject diversity; entropy penalized</v>
      </c>
    </row>
    <row r="29" customFormat="false" ht="23.85" hidden="false" customHeight="false" outlineLevel="0" collapsed="false">
      <c r="A29" s="4" t="n">
        <v>26</v>
      </c>
      <c r="B29" s="20"/>
      <c r="C29" s="4" t="n">
        <f aca="false">IFERROR('5. Research Subject Entropy'!C29,0)</f>
        <v>0</v>
      </c>
      <c r="D29" s="4" t="n">
        <f aca="false">IFERROR('5. Research Subject Entropy'!D29,0)</f>
        <v>0</v>
      </c>
      <c r="E29" s="40" t="n">
        <f aca="false">IFERROR(D29/11*100,0)</f>
        <v>0</v>
      </c>
      <c r="F29" s="32" t="n">
        <f aca="false">IFERROR(IF(C29&gt;0,SUMPRODUCT(('3. Research Subject Matrix'!B30:L30/C29)^2),0),0)</f>
        <v>0</v>
      </c>
      <c r="G29" s="16" t="str">
        <f aca="false">IF(D29&gt;=8,"Generalist",IF(D29&gt;=5,"Moderate",IF(D29&gt;=3,"Specialist","Narrow Specialist")))</f>
        <v>Narrow Specialist</v>
      </c>
      <c r="H29" s="4" t="str">
        <f aca="false">IFERROR('8. Subject Gap Analysis'!N29,"")</f>
        <v>AH</v>
      </c>
      <c r="I29" s="4" t="str">
        <f aca="false">IF(D29&gt;=8,"Strong subject diversity expected",IF(D29&gt;=5,"Moderate diversity; some gaps","Low subject diversity; entropy penalized"))</f>
        <v>Low subject diversity; entropy penalized</v>
      </c>
    </row>
    <row r="30" customFormat="false" ht="23.85" hidden="false" customHeight="false" outlineLevel="0" collapsed="false">
      <c r="A30" s="7" t="n">
        <v>27</v>
      </c>
      <c r="B30" s="19"/>
      <c r="C30" s="7" t="n">
        <f aca="false">IFERROR('5. Research Subject Entropy'!C30,0)</f>
        <v>0</v>
      </c>
      <c r="D30" s="7" t="n">
        <f aca="false">IFERROR('5. Research Subject Entropy'!D30,0)</f>
        <v>0</v>
      </c>
      <c r="E30" s="41" t="n">
        <f aca="false">IFERROR(D30/11*100,0)</f>
        <v>0</v>
      </c>
      <c r="F30" s="30" t="n">
        <f aca="false">IFERROR(IF(C30&gt;0,SUMPRODUCT(('3. Research Subject Matrix'!B31:L31/C30)^2),0),0)</f>
        <v>0</v>
      </c>
      <c r="G30" s="15" t="str">
        <f aca="false">IF(D30&gt;=8,"Generalist",IF(D30&gt;=5,"Moderate",IF(D30&gt;=3,"Specialist","Narrow Specialist")))</f>
        <v>Narrow Specialist</v>
      </c>
      <c r="H30" s="7" t="str">
        <f aca="false">IFERROR('8. Subject Gap Analysis'!N30,"")</f>
        <v>AH</v>
      </c>
      <c r="I30" s="7" t="str">
        <f aca="false">IF(D30&gt;=8,"Strong subject diversity expected",IF(D30&gt;=5,"Moderate diversity; some gaps","Low subject diversity; entropy penalized"))</f>
        <v>Low subject diversity; entropy penalized</v>
      </c>
    </row>
    <row r="31" customFormat="false" ht="23.85" hidden="false" customHeight="false" outlineLevel="0" collapsed="false">
      <c r="A31" s="4" t="n">
        <v>28</v>
      </c>
      <c r="B31" s="20"/>
      <c r="C31" s="4" t="n">
        <f aca="false">IFERROR('5. Research Subject Entropy'!C31,0)</f>
        <v>0</v>
      </c>
      <c r="D31" s="4" t="n">
        <f aca="false">IFERROR('5. Research Subject Entropy'!D31,0)</f>
        <v>0</v>
      </c>
      <c r="E31" s="40" t="n">
        <f aca="false">IFERROR(D31/11*100,0)</f>
        <v>0</v>
      </c>
      <c r="F31" s="32" t="n">
        <f aca="false">IFERROR(IF(C31&gt;0,SUMPRODUCT(('3. Research Subject Matrix'!B32:L32/C31)^2),0),0)</f>
        <v>0</v>
      </c>
      <c r="G31" s="16" t="str">
        <f aca="false">IF(D31&gt;=8,"Generalist",IF(D31&gt;=5,"Moderate",IF(D31&gt;=3,"Specialist","Narrow Specialist")))</f>
        <v>Narrow Specialist</v>
      </c>
      <c r="H31" s="4" t="str">
        <f aca="false">IFERROR('8. Subject Gap Analysis'!N31,"")</f>
        <v>AH</v>
      </c>
      <c r="I31" s="4" t="str">
        <f aca="false">IF(D31&gt;=8,"Strong subject diversity expected",IF(D31&gt;=5,"Moderate diversity; some gaps","Low subject diversity; entropy penalized"))</f>
        <v>Low subject diversity; entropy penalized</v>
      </c>
    </row>
    <row r="32" customFormat="false" ht="23.85" hidden="false" customHeight="false" outlineLevel="0" collapsed="false">
      <c r="A32" s="7" t="n">
        <v>29</v>
      </c>
      <c r="B32" s="19"/>
      <c r="C32" s="7" t="n">
        <f aca="false">IFERROR('5. Research Subject Entropy'!C32,0)</f>
        <v>0</v>
      </c>
      <c r="D32" s="7" t="n">
        <f aca="false">IFERROR('5. Research Subject Entropy'!D32,0)</f>
        <v>0</v>
      </c>
      <c r="E32" s="41" t="n">
        <f aca="false">IFERROR(D32/11*100,0)</f>
        <v>0</v>
      </c>
      <c r="F32" s="30" t="n">
        <f aca="false">IFERROR(IF(C32&gt;0,SUMPRODUCT(('3. Research Subject Matrix'!B33:L33/C32)^2),0),0)</f>
        <v>0</v>
      </c>
      <c r="G32" s="15" t="str">
        <f aca="false">IF(D32&gt;=8,"Generalist",IF(D32&gt;=5,"Moderate",IF(D32&gt;=3,"Specialist","Narrow Specialist")))</f>
        <v>Narrow Specialist</v>
      </c>
      <c r="H32" s="7" t="str">
        <f aca="false">IFERROR('8. Subject Gap Analysis'!N32,"")</f>
        <v>AH</v>
      </c>
      <c r="I32" s="7" t="str">
        <f aca="false">IF(D32&gt;=8,"Strong subject diversity expected",IF(D32&gt;=5,"Moderate diversity; some gaps","Low subject diversity; entropy penalized"))</f>
        <v>Low subject diversity; entropy penalized</v>
      </c>
    </row>
    <row r="33" customFormat="false" ht="23.85" hidden="false" customHeight="false" outlineLevel="0" collapsed="false">
      <c r="A33" s="4" t="n">
        <v>30</v>
      </c>
      <c r="B33" s="20"/>
      <c r="C33" s="4" t="n">
        <f aca="false">IFERROR('5. Research Subject Entropy'!C33,0)</f>
        <v>0</v>
      </c>
      <c r="D33" s="4" t="n">
        <f aca="false">IFERROR('5. Research Subject Entropy'!D33,0)</f>
        <v>0</v>
      </c>
      <c r="E33" s="40" t="n">
        <f aca="false">IFERROR(D33/11*100,0)</f>
        <v>0</v>
      </c>
      <c r="F33" s="32" t="n">
        <f aca="false">IFERROR(IF(C33&gt;0,SUMPRODUCT(('3. Research Subject Matrix'!B34:L34/C33)^2),0),0)</f>
        <v>0</v>
      </c>
      <c r="G33" s="16" t="str">
        <f aca="false">IF(D33&gt;=8,"Generalist",IF(D33&gt;=5,"Moderate",IF(D33&gt;=3,"Specialist","Narrow Specialist")))</f>
        <v>Narrow Specialist</v>
      </c>
      <c r="H33" s="4" t="str">
        <f aca="false">IFERROR('8. Subject Gap Analysis'!N33,"")</f>
        <v>AH</v>
      </c>
      <c r="I33" s="4" t="str">
        <f aca="false">IF(D33&gt;=8,"Strong subject diversity expected",IF(D33&gt;=5,"Moderate diversity; some gaps","Low subject diversity; entropy penalized"))</f>
        <v>Low subject diversity; entropy penalized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7" t="s">
        <v>546</v>
      </c>
      <c r="B1" s="17"/>
      <c r="C1" s="17"/>
      <c r="D1" s="17"/>
      <c r="E1" s="17"/>
      <c r="F1" s="17"/>
    </row>
    <row r="2" customFormat="false" ht="25.5" hidden="false" customHeight="true" outlineLevel="0" collapsed="false">
      <c r="A2" s="22" t="s">
        <v>547</v>
      </c>
      <c r="B2" s="22"/>
      <c r="C2" s="22"/>
      <c r="D2" s="22"/>
      <c r="E2" s="22"/>
      <c r="F2" s="22"/>
    </row>
    <row r="3" customFormat="false" ht="15" hidden="false" customHeight="false" outlineLevel="0" collapsed="false">
      <c r="A3" s="18" t="s">
        <v>2</v>
      </c>
      <c r="B3" s="18" t="s">
        <v>548</v>
      </c>
      <c r="C3" s="18" t="s">
        <v>4</v>
      </c>
      <c r="D3" s="18" t="s">
        <v>549</v>
      </c>
      <c r="E3" s="18" t="s">
        <v>90</v>
      </c>
      <c r="F3" s="18" t="s">
        <v>550</v>
      </c>
    </row>
    <row r="4" customFormat="false" ht="31.5" hidden="false" customHeight="true" outlineLevel="0" collapsed="false">
      <c r="A4" s="7" t="n">
        <v>1</v>
      </c>
      <c r="B4" s="8" t="s">
        <v>551</v>
      </c>
      <c r="C4" s="9" t="s">
        <v>552</v>
      </c>
      <c r="D4" s="19"/>
      <c r="E4" s="19"/>
      <c r="F4" s="19"/>
    </row>
    <row r="5" customFormat="false" ht="31.5" hidden="false" customHeight="true" outlineLevel="0" collapsed="false">
      <c r="A5" s="4" t="n">
        <v>2</v>
      </c>
      <c r="B5" s="5" t="s">
        <v>553</v>
      </c>
      <c r="C5" s="6" t="s">
        <v>554</v>
      </c>
      <c r="D5" s="20"/>
      <c r="E5" s="20"/>
      <c r="F5" s="20"/>
    </row>
    <row r="6" customFormat="false" ht="31.5" hidden="false" customHeight="true" outlineLevel="0" collapsed="false">
      <c r="A6" s="7" t="n">
        <v>3</v>
      </c>
      <c r="B6" s="8" t="s">
        <v>555</v>
      </c>
      <c r="C6" s="9" t="s">
        <v>556</v>
      </c>
      <c r="D6" s="19"/>
      <c r="E6" s="19"/>
      <c r="F6" s="19"/>
    </row>
    <row r="7" customFormat="false" ht="31.5" hidden="false" customHeight="true" outlineLevel="0" collapsed="false">
      <c r="A7" s="4" t="n">
        <v>4</v>
      </c>
      <c r="B7" s="5" t="s">
        <v>557</v>
      </c>
      <c r="C7" s="6" t="s">
        <v>558</v>
      </c>
      <c r="D7" s="20"/>
      <c r="E7" s="20"/>
      <c r="F7" s="20"/>
    </row>
    <row r="8" customFormat="false" ht="31.5" hidden="false" customHeight="true" outlineLevel="0" collapsed="false">
      <c r="A8" s="7" t="n">
        <v>5</v>
      </c>
      <c r="B8" s="8" t="s">
        <v>559</v>
      </c>
      <c r="C8" s="9" t="s">
        <v>560</v>
      </c>
      <c r="D8" s="19"/>
      <c r="E8" s="19"/>
      <c r="F8" s="19"/>
    </row>
    <row r="9" customFormat="false" ht="31.5" hidden="false" customHeight="true" outlineLevel="0" collapsed="false">
      <c r="A9" s="4" t="n">
        <v>6</v>
      </c>
      <c r="B9" s="5" t="s">
        <v>561</v>
      </c>
      <c r="C9" s="6" t="s">
        <v>562</v>
      </c>
      <c r="D9" s="20"/>
      <c r="E9" s="20"/>
      <c r="F9" s="20"/>
    </row>
    <row r="10" customFormat="false" ht="31.5" hidden="false" customHeight="true" outlineLevel="0" collapsed="false">
      <c r="A10" s="7" t="n">
        <v>7</v>
      </c>
      <c r="B10" s="8" t="s">
        <v>563</v>
      </c>
      <c r="C10" s="9" t="s">
        <v>564</v>
      </c>
      <c r="D10" s="19"/>
      <c r="E10" s="19"/>
      <c r="F10" s="19"/>
    </row>
    <row r="11" customFormat="false" ht="31.5" hidden="false" customHeight="true" outlineLevel="0" collapsed="false">
      <c r="A11" s="4" t="n">
        <v>8</v>
      </c>
      <c r="B11" s="5" t="s">
        <v>565</v>
      </c>
      <c r="C11" s="6" t="s">
        <v>566</v>
      </c>
      <c r="D11" s="20"/>
      <c r="E11" s="20"/>
      <c r="F11" s="20"/>
    </row>
    <row r="12" customFormat="false" ht="31.5" hidden="false" customHeight="true" outlineLevel="0" collapsed="false">
      <c r="A12" s="7" t="n">
        <v>9</v>
      </c>
      <c r="B12" s="8" t="s">
        <v>567</v>
      </c>
      <c r="C12" s="9" t="s">
        <v>568</v>
      </c>
      <c r="D12" s="19"/>
      <c r="E12" s="19"/>
      <c r="F12" s="19"/>
    </row>
    <row r="13" customFormat="false" ht="31.5" hidden="false" customHeight="true" outlineLevel="0" collapsed="false">
      <c r="A13" s="4" t="n">
        <v>10</v>
      </c>
      <c r="B13" s="5" t="s">
        <v>569</v>
      </c>
      <c r="C13" s="6" t="s">
        <v>570</v>
      </c>
      <c r="D13" s="20"/>
      <c r="E13" s="20"/>
      <c r="F13" s="20"/>
    </row>
    <row r="14" customFormat="false" ht="31.5" hidden="false" customHeight="true" outlineLevel="0" collapsed="false">
      <c r="A14" s="7" t="n">
        <v>11</v>
      </c>
      <c r="B14" s="8" t="s">
        <v>571</v>
      </c>
      <c r="C14" s="9" t="s">
        <v>572</v>
      </c>
      <c r="D14" s="19"/>
      <c r="E14" s="19"/>
      <c r="F14" s="19"/>
    </row>
    <row r="15" customFormat="false" ht="31.5" hidden="false" customHeight="true" outlineLevel="0" collapsed="false">
      <c r="A15" s="4" t="n">
        <v>12</v>
      </c>
      <c r="B15" s="5" t="s">
        <v>573</v>
      </c>
      <c r="C15" s="6" t="s">
        <v>574</v>
      </c>
      <c r="D15" s="20"/>
      <c r="E15" s="20"/>
      <c r="F15" s="20"/>
    </row>
    <row r="16" customFormat="false" ht="31.5" hidden="false" customHeight="true" outlineLevel="0" collapsed="false">
      <c r="A16" s="7" t="n">
        <v>13</v>
      </c>
      <c r="B16" s="8" t="s">
        <v>575</v>
      </c>
      <c r="C16" s="9" t="s">
        <v>576</v>
      </c>
      <c r="D16" s="19"/>
      <c r="E16" s="19"/>
      <c r="F16" s="19"/>
    </row>
    <row r="17" customFormat="false" ht="31.5" hidden="false" customHeight="true" outlineLevel="0" collapsed="false">
      <c r="A17" s="4" t="n">
        <v>14</v>
      </c>
      <c r="B17" s="5" t="s">
        <v>577</v>
      </c>
      <c r="C17" s="6" t="s">
        <v>578</v>
      </c>
      <c r="D17" s="20"/>
      <c r="E17" s="20"/>
      <c r="F17" s="20"/>
    </row>
    <row r="18" customFormat="false" ht="31.5" hidden="false" customHeight="true" outlineLevel="0" collapsed="false">
      <c r="A18" s="7" t="n">
        <v>15</v>
      </c>
      <c r="B18" s="8" t="s">
        <v>579</v>
      </c>
      <c r="C18" s="9" t="s">
        <v>580</v>
      </c>
      <c r="D18" s="19"/>
      <c r="E18" s="19"/>
      <c r="F18" s="19"/>
    </row>
    <row r="19" customFormat="false" ht="31.5" hidden="false" customHeight="true" outlineLevel="0" collapsed="false">
      <c r="A19" s="4" t="n">
        <v>16</v>
      </c>
      <c r="B19" s="5" t="s">
        <v>581</v>
      </c>
      <c r="C19" s="6" t="s">
        <v>582</v>
      </c>
      <c r="D19" s="20"/>
      <c r="E19" s="20"/>
      <c r="F19" s="20"/>
    </row>
    <row r="20" customFormat="false" ht="31.5" hidden="false" customHeight="true" outlineLevel="0" collapsed="false">
      <c r="A20" s="7" t="n">
        <v>17</v>
      </c>
      <c r="B20" s="8" t="s">
        <v>583</v>
      </c>
      <c r="C20" s="9" t="s">
        <v>584</v>
      </c>
      <c r="D20" s="19"/>
      <c r="E20" s="19"/>
      <c r="F20" s="19"/>
    </row>
    <row r="21" customFormat="false" ht="31.5" hidden="false" customHeight="true" outlineLevel="0" collapsed="false">
      <c r="A21" s="4" t="n">
        <v>18</v>
      </c>
      <c r="B21" s="5" t="s">
        <v>585</v>
      </c>
      <c r="C21" s="6" t="s">
        <v>586</v>
      </c>
      <c r="D21" s="20"/>
      <c r="E21" s="20"/>
      <c r="F21" s="20"/>
    </row>
    <row r="22" customFormat="false" ht="31.5" hidden="false" customHeight="true" outlineLevel="0" collapsed="false">
      <c r="A22" s="7" t="n">
        <v>19</v>
      </c>
      <c r="B22" s="8" t="s">
        <v>587</v>
      </c>
      <c r="C22" s="9" t="s">
        <v>588</v>
      </c>
      <c r="D22" s="19"/>
      <c r="E22" s="19"/>
      <c r="F22" s="19"/>
    </row>
    <row r="23" customFormat="false" ht="31.5" hidden="false" customHeight="true" outlineLevel="0" collapsed="false">
      <c r="A23" s="4" t="n">
        <v>20</v>
      </c>
      <c r="B23" s="5" t="s">
        <v>589</v>
      </c>
      <c r="C23" s="6" t="s">
        <v>590</v>
      </c>
      <c r="D23" s="20"/>
      <c r="E23" s="20"/>
      <c r="F23" s="2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2026-04-17T13:04:00Z</dcterms:created>
  <dc:creator>openpyxl</dc:creator>
  <dc:description/>
  <dc:language>en-US</dc:language>
  <cp:lastModifiedBy/>
  <dcterms:modified xsi:type="dcterms:W3CDTF">2026-04-17T13:04:01Z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