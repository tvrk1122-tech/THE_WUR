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wise_Master" sheetId="1" r:id="rId1"/>
    <sheet name="Formulas" sheetId="2" r:id="rId2"/>
    <sheet name="Aggregate" sheetId="3" r:id="rId3"/>
    <sheet name="THE_Rules" sheetId="4" r:id="rId4"/>
    <sheet name="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<sst xmlns="http://schemas.openxmlformats.org/spreadsheetml/2006/main" count="82" uniqueCount="69">
  <si>
    <t>Academic_Year</t>
  </si>
  <si>
    <t>Department</t>
  </si>
  <si>
    <t>Program_Name</t>
  </si>
  <si>
    <t>Program_Level (UG/PG/PhD)</t>
  </si>
  <si>
    <t>Total_Students</t>
  </si>
  <si>
    <t>International_Students</t>
  </si>
  <si>
    <t>National_Students</t>
  </si>
  <si>
    <t>Male_Students</t>
  </si>
  <si>
    <t>Female_Students</t>
  </si>
  <si>
    <t>Scholarship_Count</t>
  </si>
  <si>
    <t>FullTime_Students</t>
  </si>
  <si>
    <t>Exchange_Students</t>
  </si>
  <si>
    <t>Evidence_File</t>
  </si>
  <si>
    <t>Remarks</t>
  </si>
  <si>
    <t>Metric</t>
  </si>
  <si>
    <t>Formula</t>
  </si>
  <si>
    <t>Explanation</t>
  </si>
  <si>
    <t>UG International %</t>
  </si>
  <si>
    <t>PG International %</t>
  </si>
  <si>
    <t>PhD International %</t>
  </si>
  <si>
    <t>UG Male:Female Ratio</t>
  </si>
  <si>
    <t>PG Male:Female Ratio</t>
  </si>
  <si>
    <t>PhD Male:Female Ratio</t>
  </si>
  <si>
    <t>UG Contribution to Total Enrollment</t>
  </si>
  <si>
    <t>PG Contribution to Total Enrollment</t>
  </si>
  <si>
    <t>PhD Contribution to Total Enrollment</t>
  </si>
  <si>
    <t>Measures international diversity among UG students.</t>
  </si>
  <si>
    <t>Measures international diversity in PG programs.</t>
  </si>
  <si>
    <t>Indicates global research participation.</t>
  </si>
  <si>
    <t>Gender distribution in UG level.</t>
  </si>
  <si>
    <t>Gender distribution in PG level.</t>
  </si>
  <si>
    <t>Gender distribution among PhD scholars.</t>
  </si>
  <si>
    <t>UG share of total institutional enrollment.</t>
  </si>
  <si>
    <t>PG share of total enrollment.</t>
  </si>
  <si>
    <t>PhD share, indicating research strength.</t>
  </si>
  <si>
    <t>Total_Programs</t>
  </si>
  <si>
    <t>Level_Share_Percentage</t>
  </si>
  <si>
    <t>Rule</t>
  </si>
  <si>
    <t>Program Level must follow official academic structure (UG/PG/PhD).</t>
  </si>
  <si>
    <t>International classification must use nationality, not place of study.</t>
  </si>
  <si>
    <t>Exchange students counted only if enrolled for a full term.</t>
  </si>
  <si>
    <t>PhD must include only full-time scholars.</t>
  </si>
  <si>
    <t>Gender and level segmentation must match MIS data.</t>
  </si>
  <si>
    <t>Levelwise totals must match institutional summary reports.</t>
  </si>
  <si>
    <t>Ensures accuracy of reporting.</t>
  </si>
  <si>
    <t>Aligns with THE methodology.</t>
  </si>
  <si>
    <t>Prevents inflated diversity numbers.</t>
  </si>
  <si>
    <t>Ensures credible research-level reporting.</t>
  </si>
  <si>
    <t>Required for diversity and inclusion analytics.</t>
  </si>
  <si>
    <t>Prevents mismatch across ranking submissions.</t>
  </si>
  <si>
    <t>Requirement</t>
  </si>
  <si>
    <t>Evidence_Required</t>
  </si>
  <si>
    <t>Status</t>
  </si>
  <si>
    <t>UG/PG/PhD segmentation verified</t>
  </si>
  <si>
    <t>Nationality-based international count validated</t>
  </si>
  <si>
    <t>Exchange student filtering applied</t>
  </si>
  <si>
    <t>PhD full-time scholars verified</t>
  </si>
  <si>
    <t>Gender classification verified</t>
  </si>
  <si>
    <t>Notes</t>
  </si>
  <si>
    <t>Recommended Visualizations:</t>
  </si>
  <si>
    <t>• UG/PG/PhD Levelwise distribution charts</t>
  </si>
  <si>
    <t>• International % per program level</t>
  </si>
  <si>
    <t>• Gender proportion per level</t>
  </si>
  <si>
    <t>• Full-time vs Exchange distribution</t>
  </si>
  <si>
    <t>Insights:</t>
  </si>
  <si>
    <t>• Identifies which level attracts the most international students.</t>
  </si>
  <si>
    <t>• Helps academic planning for intake targets.</t>
  </si>
  <si>
    <t>• Useful for THE International Outlook.</t>
  </si>
  <si>
    <t>• Supports evidence for accreditation and audits.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</si>
</sst>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f>UG_International / UG_Total</f>
        <v>0</v>
      </c>
      <c r="C2" t="s">
        <v>26</v>
      </c>
    </row>
    <row r="3" spans="1:3">
      <c r="A3" t="s">
        <v>18</v>
      </c>
      <c r="B3">
        <f>PG_International / PG_Total</f>
        <v>0</v>
      </c>
      <c r="C3" t="s">
        <v>27</v>
      </c>
    </row>
    <row r="4" spans="1:3">
      <c r="A4" t="s">
        <v>19</v>
      </c>
      <c r="B4">
        <f>PhD_International / PhD_Total</f>
        <v>0</v>
      </c>
      <c r="C4" t="s">
        <v>28</v>
      </c>
    </row>
    <row r="5" spans="1:3">
      <c r="A5" t="s">
        <v>20</v>
      </c>
      <c r="B5">
        <f>UG_Male / UG_Female</f>
        <v>0</v>
      </c>
      <c r="C5" t="s">
        <v>29</v>
      </c>
    </row>
    <row r="6" spans="1:3">
      <c r="A6" t="s">
        <v>21</v>
      </c>
      <c r="B6">
        <f>PG_Male / PG_Female</f>
        <v>0</v>
      </c>
      <c r="C6" t="s">
        <v>30</v>
      </c>
    </row>
    <row r="7" spans="1:3">
      <c r="A7" t="s">
        <v>22</v>
      </c>
      <c r="B7">
        <f>PhD_Male / PhD_Female</f>
        <v>0</v>
      </c>
      <c r="C7" t="s">
        <v>31</v>
      </c>
    </row>
    <row r="8" spans="1:3">
      <c r="A8" t="s">
        <v>23</v>
      </c>
      <c r="B8">
        <f>UG_Total / Total_Students_All_Levels</f>
        <v>0</v>
      </c>
      <c r="C8" t="s">
        <v>32</v>
      </c>
    </row>
    <row r="9" spans="1:3">
      <c r="A9" t="s">
        <v>24</v>
      </c>
      <c r="B9">
        <f>PG_Total / Total_Students_All_Levels</f>
        <v>0</v>
      </c>
      <c r="C9" t="s">
        <v>33</v>
      </c>
    </row>
    <row r="10" spans="1:3">
      <c r="A10" t="s">
        <v>25</v>
      </c>
      <c r="B10">
        <f>PhD_Total / Total_Students_All_Levels</f>
        <v>0</v>
      </c>
      <c r="C1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3</v>
      </c>
      <c r="C1" s="1" t="s">
        <v>35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36</v>
      </c>
      <c r="M1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37</v>
      </c>
      <c r="B1" s="1" t="s">
        <v>16</v>
      </c>
    </row>
    <row r="2" spans="1:2">
      <c r="A2" t="s">
        <v>38</v>
      </c>
      <c r="B2" t="s">
        <v>44</v>
      </c>
    </row>
    <row r="3" spans="1:2">
      <c r="A3" t="s">
        <v>39</v>
      </c>
      <c r="B3" t="s">
        <v>45</v>
      </c>
    </row>
    <row r="4" spans="1:2">
      <c r="A4" t="s">
        <v>40</v>
      </c>
      <c r="B4" t="s">
        <v>46</v>
      </c>
    </row>
    <row r="5" spans="1:2">
      <c r="A5" t="s">
        <v>41</v>
      </c>
      <c r="B5" t="s">
        <v>47</v>
      </c>
    </row>
    <row r="6" spans="1:2">
      <c r="A6" t="s">
        <v>42</v>
      </c>
      <c r="B6" t="s">
        <v>48</v>
      </c>
    </row>
    <row r="7" spans="1:2">
      <c r="A7" t="s">
        <v>43</v>
      </c>
      <c r="B7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50</v>
      </c>
      <c r="B1" s="1" t="s">
        <v>51</v>
      </c>
      <c r="C1" s="1" t="s">
        <v>52</v>
      </c>
      <c r="D1" s="1" t="s">
        <v>13</v>
      </c>
    </row>
    <row r="2" spans="1:4">
      <c r="A2" t="s">
        <v>53</v>
      </c>
    </row>
    <row r="3" spans="1:4">
      <c r="A3" t="s">
        <v>54</v>
      </c>
    </row>
    <row r="4" spans="1:4">
      <c r="A4" t="s">
        <v>55</v>
      </c>
    </row>
    <row r="5" spans="1:4">
      <c r="A5" t="s">
        <v>56</v>
      </c>
    </row>
    <row r="6" spans="1:4">
      <c r="A6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58</v>
      </c>
    </row>
    <row r="2" spans="1:1">
      <c r="A2" t="s">
        <v>59</v>
      </c>
    </row>
    <row r="3" spans="1:1">
      <c r="A3" t="s">
        <v>60</v>
      </c>
    </row>
    <row r="4" spans="1:1">
      <c r="A4" t="s">
        <v>61</v>
      </c>
    </row>
    <row r="5" spans="1:1">
      <c r="A5" t="s">
        <v>62</v>
      </c>
    </row>
    <row r="6" spans="1:1">
      <c r="A6" t="s">
        <v>63</v>
      </c>
    </row>
    <row r="8" spans="1:1">
      <c r="A8" t="s">
        <v>64</v>
      </c>
    </row>
    <row r="9" spans="1:1">
      <c r="A9" t="s">
        <v>65</v>
      </c>
    </row>
    <row r="10" spans="1:1">
      <c r="A10" t="s">
        <v>66</v>
      </c>
    </row>
    <row r="11" spans="1:1">
      <c r="A11" t="s">
        <v>67</v>
      </c>
    </row>
    <row r="12" spans="1:1">
      <c r="A1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Levelwise_Master</vt:lpstr>
      <vt:lpstr>Formulas</vt:lpstr>
      <vt:lpstr>Aggregate</vt:lpstr>
      <vt:lpstr>THE_Rules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2025-12-07T04:27:57Z</dcterms:created>
  <dcterms:modified xsi:type="dcterms:W3CDTF">2025-12-07T04:27:57Z</dcterms:modified>
</cp:coreProperties>
</file>