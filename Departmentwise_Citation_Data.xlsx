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t_Citation_Master" sheetId="1" r:id="rId1"/>
    <sheet name="Dept_Citation_Formulas" sheetId="2" r:id="rId2"/>
    <sheet name="Dept_Subject_Breakdown" sheetId="3" r:id="rId3"/>
    <sheet name="THE_Citation_Rule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<sst xmlns="http://schemas.openxmlformats.org/spreadsheetml/2006/main" count="78" uniqueCount="74">
  <si>
    <t>Department</t>
  </si>
  <si>
    <t>Total_Eligible_Staff</t>
  </si>
  <si>
    <t>Total_FTE</t>
  </si>
  <si>
    <t>Total_Publications</t>
  </si>
  <si>
    <t>Total_Citations</t>
  </si>
  <si>
    <t>Average_Citations_per_Publication</t>
  </si>
  <si>
    <t>FWCI_Average</t>
  </si>
  <si>
    <t>Top10Percent_Publications</t>
  </si>
  <si>
    <t>Top1Percent_Publications</t>
  </si>
  <si>
    <t>Citations_per_FTE</t>
  </si>
  <si>
    <t>Publications_per_FTE</t>
  </si>
  <si>
    <t>Top10Percent_per_FTE</t>
  </si>
  <si>
    <t>Top1Percent_per_FTE</t>
  </si>
  <si>
    <t>Source_File</t>
  </si>
  <si>
    <t>Remarks</t>
  </si>
  <si>
    <t>Metric</t>
  </si>
  <si>
    <t>Formula</t>
  </si>
  <si>
    <t>Explanation</t>
  </si>
  <si>
    <t>Average Citations per Publication</t>
  </si>
  <si>
    <t>Citations per FTE</t>
  </si>
  <si>
    <t>Publications per FTE</t>
  </si>
  <si>
    <t>Top10% Publications per FTE</t>
  </si>
  <si>
    <t>Top1% Publications per FTE</t>
  </si>
  <si>
    <t>FWCI Average</t>
  </si>
  <si>
    <t>Measures citation density per publication.</t>
  </si>
  <si>
    <t>Normalises citation performance relative to department workload.</t>
  </si>
  <si>
    <t>Normalised publication productivity.</t>
  </si>
  <si>
    <t>Measures high-impact output scaled by staff strength.</t>
  </si>
  <si>
    <t>Elite-level research output normalized to FTE.</t>
  </si>
  <si>
    <t>Subject-normalised impact score for the department.</t>
  </si>
  <si>
    <t>ASJC_Code</t>
  </si>
  <si>
    <t>Subject_Name</t>
  </si>
  <si>
    <t>Subject_Publications</t>
  </si>
  <si>
    <t>Subject_Citations</t>
  </si>
  <si>
    <t>FWCI_Subject</t>
  </si>
  <si>
    <t>Top10Percent_Subject</t>
  </si>
  <si>
    <t>Top1Percent_Subject</t>
  </si>
  <si>
    <t>Subject_FTE</t>
  </si>
  <si>
    <t>Subject_Publications_per_FTE</t>
  </si>
  <si>
    <t>Subject_Citations_per_FTE</t>
  </si>
  <si>
    <t>Rule</t>
  </si>
  <si>
    <t>Department totals must be based on validated Scopus publication exports.</t>
  </si>
  <si>
    <t>Only THE-eligible staff included (full-time academic + research).</t>
  </si>
  <si>
    <t>FWCI must be matched with SciVal subject reports.</t>
  </si>
  <si>
    <t>High-impact outputs (Top10/Top1) must be correctly classified.</t>
  </si>
  <si>
    <t>FTE values must be HR-verified before productivity calculation.</t>
  </si>
  <si>
    <t>Department–subject mapping must use correct ASJC classification.</t>
  </si>
  <si>
    <t>Fractional allocation is required for multi-department publications.</t>
  </si>
  <si>
    <t>Ensures accurate citation counting aligned with ranking-year data.</t>
  </si>
  <si>
    <t>Adjunct/visiting staff must not contribute to THE calculations.</t>
  </si>
  <si>
    <t>FWCI contributes directly to THE Citation Impact (15%).</t>
  </si>
  <si>
    <t>Top10/Top1 papers support Research Excellence and Strength.</t>
  </si>
  <si>
    <t>Avoids inflated performance indicators.</t>
  </si>
  <si>
    <t>ASJC codes ensure subject-normalised accuracy.</t>
  </si>
  <si>
    <t>THE methodology requires fair assignment when authors from multiple departments contribute.</t>
  </si>
  <si>
    <t>Requirement</t>
  </si>
  <si>
    <t>Evidence_Required</t>
  </si>
  <si>
    <t>Status</t>
  </si>
  <si>
    <t>Department staff list verified with HR</t>
  </si>
  <si>
    <t>Scopus publication list validated</t>
  </si>
  <si>
    <t>FWCI values confirmed from SciVal</t>
  </si>
  <si>
    <t>Top10/Top1 classification verified</t>
  </si>
  <si>
    <t>ASJC classification complete</t>
  </si>
  <si>
    <t>FTE-based normalisation applied</t>
  </si>
  <si>
    <t>Notes</t>
  </si>
  <si>
    <t>Suggested Visuals:</t>
  </si>
  <si>
    <t>• Department-wise citation impact comparison (bar chart)</t>
  </si>
  <si>
    <t>• FWCI distribution across departments</t>
  </si>
  <si>
    <t>• High-impact publication contribution (Top 10%/Top 1%)</t>
  </si>
  <si>
    <t>• Citations per FTE heatmap</t>
  </si>
  <si>
    <t>Insights:</t>
  </si>
  <si>
    <t>• Identifies strongest research-performing departments.</t>
  </si>
  <si>
    <t>• Helps target funding and research capacity building.</t>
  </si>
  <si>
    <t>• Directly supports THE Research Quality (30%) indicators.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</si>
</sst>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>
        <f>Total_Citations / Total_Publications</f>
        <v>0</v>
      </c>
      <c r="C2" t="s">
        <v>24</v>
      </c>
    </row>
    <row r="3" spans="1:3">
      <c r="A3" t="s">
        <v>19</v>
      </c>
      <c r="B3">
        <f>Total_Citations / Total_FTE</f>
        <v>0</v>
      </c>
      <c r="C3" t="s">
        <v>25</v>
      </c>
    </row>
    <row r="4" spans="1:3">
      <c r="A4" t="s">
        <v>20</v>
      </c>
      <c r="B4">
        <f>Total_Publications / Total_FTE</f>
        <v>0</v>
      </c>
      <c r="C4" t="s">
        <v>26</v>
      </c>
    </row>
    <row r="5" spans="1:3">
      <c r="A5" t="s">
        <v>21</v>
      </c>
      <c r="B5">
        <f>Top10Percent_Publications / Total_FTE</f>
        <v>0</v>
      </c>
      <c r="C5" t="s">
        <v>27</v>
      </c>
    </row>
    <row r="6" spans="1:3">
      <c r="A6" t="s">
        <v>22</v>
      </c>
      <c r="B6">
        <f>Top1Percent_Publications / Total_FTE</f>
        <v>0</v>
      </c>
      <c r="C6" t="s">
        <v>28</v>
      </c>
    </row>
    <row r="7" spans="1:3">
      <c r="A7" t="s">
        <v>23</v>
      </c>
      <c r="B7">
        <f>Average(FWCI_List)</f>
        <v>0</v>
      </c>
      <c r="C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40</v>
      </c>
      <c r="B1" s="1" t="s">
        <v>17</v>
      </c>
    </row>
    <row r="2" spans="1:2">
      <c r="A2" t="s">
        <v>41</v>
      </c>
      <c r="B2" t="s">
        <v>48</v>
      </c>
    </row>
    <row r="3" spans="1:2">
      <c r="A3" t="s">
        <v>42</v>
      </c>
      <c r="B3" t="s">
        <v>49</v>
      </c>
    </row>
    <row r="4" spans="1:2">
      <c r="A4" t="s">
        <v>43</v>
      </c>
      <c r="B4" t="s">
        <v>50</v>
      </c>
    </row>
    <row r="5" spans="1:2">
      <c r="A5" t="s">
        <v>44</v>
      </c>
      <c r="B5" t="s">
        <v>51</v>
      </c>
    </row>
    <row r="6" spans="1:2">
      <c r="A6" t="s">
        <v>45</v>
      </c>
      <c r="B6" t="s">
        <v>52</v>
      </c>
    </row>
    <row r="7" spans="1:2">
      <c r="A7" t="s">
        <v>46</v>
      </c>
      <c r="B7" t="s">
        <v>53</v>
      </c>
    </row>
    <row r="8" spans="1:2">
      <c r="A8" t="s">
        <v>47</v>
      </c>
      <c r="B8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14</v>
      </c>
    </row>
    <row r="2" spans="1:4">
      <c r="A2" t="s">
        <v>58</v>
      </c>
    </row>
    <row r="3" spans="1:4">
      <c r="A3" t="s">
        <v>59</v>
      </c>
    </row>
    <row r="4" spans="1:4">
      <c r="A4" t="s">
        <v>60</v>
      </c>
    </row>
    <row r="5" spans="1:4">
      <c r="A5" t="s">
        <v>61</v>
      </c>
    </row>
    <row r="6" spans="1:4">
      <c r="A6" t="s">
        <v>62</v>
      </c>
    </row>
    <row r="7" spans="1:4">
      <c r="A7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Dept_Citation_Master</vt:lpstr>
      <vt:lpstr>Dept_Citation_Formulas</vt:lpstr>
      <vt:lpstr>Dept_Subject_Breakdown</vt:lpstr>
      <vt:lpstr>THE_Citation_Rules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2025-12-07T03:34:09Z</dcterms:created>
  <dcterms:modified xsi:type="dcterms:W3CDTF">2025-12-07T03:34:09Z</dcterms:modified>
</cp:coreProperties>
</file>