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arch Vote Count" sheetId="1" state="visible" r:id="rId3"/>
    <sheet name="Votes by Subject Area" sheetId="2" state="visible" r:id="rId4"/>
    <sheet name="Votes by Region" sheetId="3" state="visible" r:id="rId5"/>
    <sheet name="Votes by Seniority" sheetId="4" state="visible" r:id="rId6"/>
    <sheet name="Vote-Score Benchmark" sheetId="5" state="visible" r:id="rId7"/>
    <sheet name="Year-on-Year Vote Tracker" sheetId="6" state="visible" r:id="rId8"/>
    <sheet name="HEI Vote Growth Strategy" sheetId="7" state="visible" r:id="rId9"/>
    <sheet name="Metadata &amp; Instruc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<sst xmlns="http://schemas.openxmlformats.org/spreadsheetml/2006/main" count="246" uniqueCount="206">
  <si>
    <t xml:space="preserve">THE Reputation Rankings — Research Vote/Nomination Count Analysis (Raw Survey Data)</t>
  </si>
  <si>
    <t xml:space="preserve">Total Research Nominations | Domestic vs International Votes | Subject Distribution | Weighting | Conversion to Score</t>
  </si>
  <si>
    <t xml:space="preserve">S.No.</t>
  </si>
  <si>
    <t xml:space="preserve">HEI Name</t>
  </si>
  <si>
    <t xml:space="preserve">Country</t>
  </si>
  <si>
    <t xml:space="preserve">Year</t>
  </si>
  <si>
    <t xml:space="preserve">Total Research Votes/Nominations</t>
  </si>
  <si>
    <t xml:space="preserve">Domestic Votes</t>
  </si>
  <si>
    <t xml:space="preserve">International Votes</t>
  </si>
  <si>
    <t xml:space="preserve">% International Votes</t>
  </si>
  <si>
    <t xml:space="preserve">Weighted Vote Count (Region-Adjusted)</t>
  </si>
  <si>
    <t xml:space="preserve">Research Reputation Score (0-100)</t>
  </si>
  <si>
    <t xml:space="preserve">Votes Rank (Global)</t>
  </si>
  <si>
    <t xml:space="preserve">Votes Rank (National)</t>
  </si>
  <si>
    <t xml:space="preserve">Votes per 1000 Global Respondents</t>
  </si>
  <si>
    <t xml:space="preserve">Votes Change vs Prev Year</t>
  </si>
  <si>
    <t xml:space="preserve">% Change</t>
  </si>
  <si>
    <t xml:space="preserve">Top Nominating Region</t>
  </si>
  <si>
    <t xml:space="preserve">Top Nominating Subject</t>
  </si>
  <si>
    <t xml:space="preserve">Peer Avg Votes</t>
  </si>
  <si>
    <t xml:space="preserve">Data Source</t>
  </si>
  <si>
    <t xml:space="preserve">Remarks</t>
  </si>
  <si>
    <t xml:space="preserve">THE Research Votes — Nomination Count by Subject Area (11 THE Academic Categories)</t>
  </si>
  <si>
    <t xml:space="preserve">Track Research Nominations Across Each Discipline | Identify Strong/Weak Subjects | Guide Strategic Research Investment</t>
  </si>
  <si>
    <t xml:space="preserve">Arts &amp; Humanities</t>
  </si>
  <si>
    <t xml:space="preserve">Business &amp; Economics</t>
  </si>
  <si>
    <t xml:space="preserve">Clinical &amp; Health</t>
  </si>
  <si>
    <t xml:space="preserve">Computer Science</t>
  </si>
  <si>
    <t xml:space="preserve">Education</t>
  </si>
  <si>
    <t xml:space="preserve">Engineering</t>
  </si>
  <si>
    <t xml:space="preserve">Law</t>
  </si>
  <si>
    <t xml:space="preserve">Life Sciences</t>
  </si>
  <si>
    <t xml:space="preserve">Physical Sciences</t>
  </si>
  <si>
    <t xml:space="preserve">Psychology</t>
  </si>
  <si>
    <t xml:space="preserve">Social Sciences</t>
  </si>
  <si>
    <t xml:space="preserve">Total Votes</t>
  </si>
  <si>
    <t xml:space="preserve">Subjects with Votes (of 11)</t>
  </si>
  <si>
    <t xml:space="preserve">Strongest Subject</t>
  </si>
  <si>
    <t xml:space="preserve">THE Research Votes — Geographic Distribution of Nominations by UN Region</t>
  </si>
  <si>
    <t xml:space="preserve">Where Do Your Research Nominations Come From? | Domestic vs International | Regional Strength/Weakness</t>
  </si>
  <si>
    <t xml:space="preserve">Own Country Votes</t>
  </si>
  <si>
    <t xml:space="preserve">South Asia (excl own)</t>
  </si>
  <si>
    <t xml:space="preserve">East Asia &amp; Pacific</t>
  </si>
  <si>
    <t xml:space="preserve">Europe &amp; Central Asia</t>
  </si>
  <si>
    <t xml:space="preserve">North America</t>
  </si>
  <si>
    <t xml:space="preserve">Latin America &amp; Caribbean</t>
  </si>
  <si>
    <t xml:space="preserve">Middle East &amp; N. Africa</t>
  </si>
  <si>
    <t xml:space="preserve">Sub-Saharan Africa</t>
  </si>
  <si>
    <t xml:space="preserve">% Domestic</t>
  </si>
  <si>
    <t xml:space="preserve">% International</t>
  </si>
  <si>
    <t xml:space="preserve">Regions with Votes (of 7)</t>
  </si>
  <si>
    <t xml:space="preserve">THE Research Votes — Nomination Analysis by Respondent Seniority &amp; Experience</t>
  </si>
  <si>
    <t xml:space="preserve">Senior Professors vs Mid-Career vs Early-Career | Experience Weighting | Seniority Profile of Nominators</t>
  </si>
  <si>
    <t xml:space="preserve">Full Professors Votes</t>
  </si>
  <si>
    <t xml:space="preserve">Associate Professors Votes</t>
  </si>
  <si>
    <t xml:space="preserve">Assistant Professors Votes</t>
  </si>
  <si>
    <t xml:space="preserve">Post-Docs / Early-Career</t>
  </si>
  <si>
    <t xml:space="preserve">% from Senior (Prof+Assoc)</t>
  </si>
  <si>
    <t xml:space="preserve">Avg Nominator Experience (yrs)</t>
  </si>
  <si>
    <t xml:space="preserve">Avg Nominator H-Index</t>
  </si>
  <si>
    <t xml:space="preserve">Avg Nominator Citations</t>
  </si>
  <si>
    <t xml:space="preserve">THE Research Votes — Vote Count to Reputation Score Conversion &amp; Peer Benchmarking</t>
  </si>
  <si>
    <t xml:space="preserve">Compare Vote Counts Across Peer Institutions | Understand Score Thresholds | Identify Competitive Position</t>
  </si>
  <si>
    <t xml:space="preserve">Raw Research Votes</t>
  </si>
  <si>
    <t xml:space="preserve">Weighted Votes (Region-Adjusted)</t>
  </si>
  <si>
    <t xml:space="preserve">Research Rep Score (0-100)</t>
  </si>
  <si>
    <t xml:space="preserve">Reputation Rank</t>
  </si>
  <si>
    <t xml:space="preserve">Peer 1 Name</t>
  </si>
  <si>
    <t xml:space="preserve">Peer 1 Votes</t>
  </si>
  <si>
    <t xml:space="preserve">Peer 2 Name</t>
  </si>
  <si>
    <t xml:space="preserve">Peer 2 Votes</t>
  </si>
  <si>
    <t xml:space="preserve">Aspirational Peer Name</t>
  </si>
  <si>
    <t xml:space="preserve">Aspirational Votes</t>
  </si>
  <si>
    <t xml:space="preserve">Vote Gap to Aspirational</t>
  </si>
  <si>
    <t xml:space="preserve">THE Research Votes — Year-on-Year Vote Count &amp; Score Trend (5-Year)</t>
  </si>
  <si>
    <t xml:space="preserve">Track Annual Nomination Volume | Score Trend | Subject &amp; Regional Shifts | Peer Comparison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</si>
  <si>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</si>
  <si>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</si>
  <si>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</si>
  <si>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</si>
  <si>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</si>
  <si>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</si>
  <si>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Change</t>
  </si>
  <si>
    <t xml:space="preserve">5-Yr Avg</t>
  </si>
  <si>
    <t xml:space="preserve">Best</t>
  </si>
  <si>
    <t xml:space="preserve">Worst</t>
  </si>
  <si>
    <t xml:space="preserve">Trend (↑/↓/→)</t>
  </si>
  <si>
    <t xml:space="preserve">Peer Benchmark</t>
  </si>
  <si>
    <t xml:space="preserve">International Votes (%)</t>
  </si>
  <si>
    <t xml:space="preserve">Votes from Senior Academics (%)</t>
  </si>
  <si>
    <t xml:space="preserve">Global Rank (Research Rep)</t>
  </si>
  <si>
    <t xml:space="preserve">THE Research Votes — HEI Strategy to Increase Research Nomination Count</t>
  </si>
  <si>
    <t xml:space="preserve">Actions That Influence How Many Global Academics Nominate Your Institution for Research Excellence</t>
  </si>
  <si>
    <t xml:space="preserve">Strategy Area</t>
  </si>
  <si>
    <t xml:space="preserve">Current Gap</t>
  </si>
  <si>
    <t xml:space="preserve">Improvement Action</t>
  </si>
  <si>
    <t xml:space="preserve">Target Outcome</t>
  </si>
  <si>
    <t xml:space="preserve">Responsible</t>
  </si>
  <si>
    <t xml:space="preserve">Timeline</t>
  </si>
  <si>
    <t xml:space="preserve">Evidence</t>
  </si>
  <si>
    <t xml:space="preserve">Budget (INR L)</t>
  </si>
  <si>
    <t xml:space="preserve">Status</t>
  </si>
  <si>
    <t xml:space="preserve">% Done</t>
  </si>
  <si>
    <t xml:space="preserve">Publication Visibility</t>
  </si>
  <si>
    <t xml:space="preserve">Low high-impact publications</t>
  </si>
  <si>
    <t xml:space="preserve">Increase Q1/Q2 Scopus publications; target Nature/Science family; Open Access for wider reach</t>
  </si>
  <si>
    <t xml:space="preserve">Q1/Q2 output +50%</t>
  </si>
  <si>
    <t xml:space="preserve">Citation Impact</t>
  </si>
  <si>
    <t xml:space="preserve">Low FWCI</t>
  </si>
  <si>
    <t xml:space="preserve">Improve citation through better abstracts, keywords, press releases, social media for papers</t>
  </si>
  <si>
    <t xml:space="preserve">FWCI ≥1.2</t>
  </si>
  <si>
    <t xml:space="preserve">International Co-authorship</t>
  </si>
  <si>
    <t xml:space="preserve">Few international collaborators</t>
  </si>
  <si>
    <t xml:space="preserve">Joint projects with top universities; co-authored publications; shared PhD supervision</t>
  </si>
  <si>
    <t xml:space="preserve">Co-auth ≥30%</t>
  </si>
  <si>
    <t xml:space="preserve">Conference Keynotes</t>
  </si>
  <si>
    <t xml:space="preserve">Minimal global conference presence</t>
  </si>
  <si>
    <t xml:space="preserve">Fund faculty travel; submit to top conferences; seek keynote/plenary invitations</t>
  </si>
  <si>
    <t xml:space="preserve">Keynotes ≥10/yr</t>
  </si>
  <si>
    <t xml:space="preserve">Research Awards</t>
  </si>
  <si>
    <t xml:space="preserve">No internationally recognized researchers</t>
  </si>
  <si>
    <t xml:space="preserve">Nominate faculty for Bhatnagar/INSA/Infosys/Clarivate HCR; create endowed chairs</t>
  </si>
  <si>
    <t xml:space="preserve">Awards growing</t>
  </si>
  <si>
    <t xml:space="preserve">Subject Coverage</t>
  </si>
  <si>
    <t xml:space="preserve">Votes concentrated in 1-2 subjects</t>
  </si>
  <si>
    <t xml:space="preserve">Invest in emerging research areas; multi-disciplinary centres; recruit in weak subjects</t>
  </si>
  <si>
    <t xml:space="preserve">Subjects ≥6 of 11</t>
  </si>
  <si>
    <t xml:space="preserve">Regional Reach</t>
  </si>
  <si>
    <t xml:space="preserve">Nominations mostly domestic</t>
  </si>
  <si>
    <t xml:space="preserve">Collaborate with African/Latin American/European universities; attend regional conferences</t>
  </si>
  <si>
    <t xml:space="preserve">Regions ≥4 of 7</t>
  </si>
  <si>
    <t xml:space="preserve">Faculty H-Index</t>
  </si>
  <si>
    <t xml:space="preserve">Low average faculty H-index</t>
  </si>
  <si>
    <t xml:space="preserve">Support sustained publication career; mentoring; sabbaticals for research; reduce admin burden</t>
  </si>
  <si>
    <t xml:space="preserve">Avg H-index rising</t>
  </si>
  <si>
    <t xml:space="preserve">Scopus Profiles</t>
  </si>
  <si>
    <t xml:space="preserve">Faculty profiles incomplete/incorrect</t>
  </si>
  <si>
    <t xml:space="preserve">Verify all Scopus Author IDs; merge duplicates; correct affiliations; ORCID linking</t>
  </si>
  <si>
    <t xml:space="preserve">100% profiles verified</t>
  </si>
  <si>
    <t xml:space="preserve">Research PR</t>
  </si>
  <si>
    <t xml:space="preserve">Breakthroughs not publicized</t>
  </si>
  <si>
    <t xml:space="preserve">Establish Research Communication Office; press releases; media engagement; institutional blog</t>
  </si>
  <si>
    <t xml:space="preserve">PR office active</t>
  </si>
  <si>
    <t xml:space="preserve">Alumni Network</t>
  </si>
  <si>
    <t xml:space="preserve">Alumni not nominating institution</t>
  </si>
  <si>
    <t xml:space="preserve">Engage research-active alumni; alumni newsletter; re-establish academic connections</t>
  </si>
  <si>
    <t xml:space="preserve">Alumni engaged</t>
  </si>
  <si>
    <t xml:space="preserve">Institutional Brand</t>
  </si>
  <si>
    <t xml:space="preserve">Weak global research brand</t>
  </si>
  <si>
    <t xml:space="preserve">Develop flagship research centres; annual research showcase; brand positioning strategy</t>
  </si>
  <si>
    <t xml:space="preserve">Brand strengthened</t>
  </si>
  <si>
    <t xml:space="preserve">THE Reputation Rankings — Research Vote Count — Metadata &amp; Instructions</t>
  </si>
  <si>
    <t xml:space="preserve">Understanding the Research Vote/Nomination Mechanism</t>
  </si>
  <si>
    <t xml:space="preserve">#</t>
  </si>
  <si>
    <t xml:space="preserve">Component</t>
  </si>
  <si>
    <t xml:space="preserve">Weight</t>
  </si>
  <si>
    <t xml:space="preserve">Description &amp; Methodology</t>
  </si>
  <si>
    <t xml:space="preserve">Key Data Points</t>
  </si>
  <si>
    <t xml:space="preserve">Freq.</t>
  </si>
  <si>
    <t xml:space="preserve">1</t>
  </si>
  <si>
    <t xml:space="preserve">Research Votes (Raw)</t>
  </si>
  <si>
    <t xml:space="preserve">—</t>
  </si>
  <si>
    <t xml:space="preserve">Each survey respondent (Scopus-published academic) nominates up to 15 institutions they consider best for RESEARCH in their subject. Raw votes = total nominations your institution receives. More votes from diverse regions/subjects = higher score.</t>
  </si>
  <si>
    <t xml:space="preserve">Total nominations, domestic vs international, subject &amp; regional distribution</t>
  </si>
  <si>
    <t xml:space="preserve">Annual</t>
  </si>
  <si>
    <t xml:space="preserve">2</t>
  </si>
  <si>
    <t xml:space="preserve">Regional Weighting</t>
  </si>
  <si>
    <t xml:space="preserve">THE weights votes by UN region to prevent geographic bias. A vote from an under-represented region (e.g., Africa, Latin America) may carry proportionally more weight than one from an over-represented region (e.g., North America). Final weighted count informs the score.</t>
  </si>
  <si>
    <t xml:space="preserve">Votes by 7 UN regions, weighting factors, adjusted total</t>
  </si>
  <si>
    <t xml:space="preserve">3</t>
  </si>
  <si>
    <t xml:space="preserve">Subject Weighting</t>
  </si>
  <si>
    <t xml:space="preserve">Votes are weighted across 11 THE subject areas to prevent disciplinary bias. Institutions strong in multiple subjects score higher than those with narrow disciplinary strength.</t>
  </si>
  <si>
    <t xml:space="preserve">Votes by 11 subjects, cross-disciplinary breadth, weighting</t>
  </si>
  <si>
    <t xml:space="preserve">4</t>
  </si>
  <si>
    <t xml:space="preserve">Seniority Weighting</t>
  </si>
  <si>
    <t xml:space="preserve">Votes from more experienced/senior academics may carry additional implicit credibility. Respondent profiles include career stage and experience, which influence the representativeness of the survey.</t>
  </si>
  <si>
    <t xml:space="preserve">Full Professor / Associate / Assistant / Post-Doc breakdown, experience years, H-index of nominators</t>
  </si>
  <si>
    <t xml:space="preserve">5</t>
  </si>
  <si>
    <t xml:space="preserve">Vote → Score Conversion</t>
  </si>
  <si>
    <t xml:space="preserve">THE converts weighted vote counts into a 0-100 score using a proprietary normalization algorithm. The institution with the most weighted votes scores ~100; others are scaled proportionally. Only the top ~200 institutions receive a published score.</t>
  </si>
  <si>
    <t xml:space="preserve">Raw votes → weighted votes → normalized score (0-100) → rank</t>
  </si>
  <si>
    <t xml:space="preserve">Data Collection &amp; Strategy Instructions</t>
  </si>
  <si>
    <t xml:space="preserve">1. Blue font = INPUT. Black font = AUTO-CALCULATED — do NOT overwrite formulas.</t>
  </si>
  <si>
    <t xml:space="preserve">2. THE does NOT publicly disclose raw vote counts. This workbook helps HEIs ESTIMATE and TRACK factors that drive votes through proxy indicators and indirect analysis.</t>
  </si>
  <si>
    <t xml:space="preserve">3. Vote Estimation Approach: Compare your reputation score against known benchmarks. Track year-on-year score changes. Analyze which subjects and regions are likely generating nominations based on your research visibility.</t>
  </si>
  <si>
    <t xml:space="preserve">4. What Drives a Research Vote? A global academic nominates an institution if they: (a) have READ publications from it, (b) have COLLABORATED with its researchers, (c) have ATTENDED its conferences, (d) KNOW its research reputation through awards/media, (e) are ALUMNI or FORMER faculty.</t>
  </si>
  <si>
    <t xml:space="preserve">5. Subject-Wise Analysis: Use sheet 2 to estimate votes by subject. Cross-reference with your Scopus publication volumes and citation impact per subject to identify where nominations likely originate.</t>
  </si>
  <si>
    <t xml:space="preserve">6. Regional Analysis: Use sheet 3 to estimate geographic distribution. International votes carry strategic value — institutions with purely domestic recognition score lower than those with global reach.</t>
  </si>
  <si>
    <t xml:space="preserve">7. Seniority Analysis: Use sheet 4 to analyze nominator profile. Senior professors (Full/Associate) at globally ranked universities are the most influential nominators — ensure your researchers are visible to this cohort.</t>
  </si>
  <si>
    <t xml:space="preserve">8. Peer Benchmarking: Use sheet 5 to compare estimated vote counts against peer and aspirational institutions. Identify the vote gap you need to close.</t>
  </si>
  <si>
    <t xml:space="preserve">9. The research vote is a PROXY for global research reputation. You cannot directly campaign for votes. You CAN systematically increase the number of global academics who KNOW your research through visibility, impact, and collaboration.</t>
  </si>
  <si>
    <t xml:space="preserve">10. Key Levers: High-impact publications (FWCI ≥1.2), international co-authorship (≥30%), conference keynotes (≥10/yr), research awards (national/international), Scopus profile completeness (100%), Open Access (wider readership), media coverage of breakthroughs.</t>
  </si>
  <si>
    <t xml:space="preserve">11. Action Plan: 12 pre-filled strategies covering publication visibility, citation impact, international co-authorship, conference presence, awards, subject breadth, regional reach, H-index, Scopus profiles, research PR, alumni engagement, institutional branding.</t>
  </si>
  <si>
    <t xml:space="preserve">12. Long-Term View: Research reputation is built over 10-20 years. Consistent investment in niche excellence → breadth expansion → global visibility is the proven pathway. No short-term fixes.</t>
  </si>
  <si>
    <t xml:space="preserve">13. Link to Rankings: Research Reputation = 50% of THE Reputation Rankings AND 18% of World Rankings Research Environment pillar (= 5.4% of total WUR). Votes directly drive both rankings.</t>
  </si>
  <si>
    <t xml:space="preserve">14. Validate: THE published scores, Scopus/SciVal analytics, conference attendance records, award databases, collaboration network analysis, media coverage archives.</t>
  </si>
  <si>
    <t xml:space="preserve">Vote Count Flow: How Nominations Become Rankings</t>
  </si>
  <si>
    <t xml:space="preserve">→ STEP 1: Elsevier invites ~40,000+ Scopus-published academics worldwide to take the Academic Reputation Survey</t>
  </si>
  <si>
    <t xml:space="preserve">→ STEP 2: Each respondent nominates up to 15 institutions they consider BEST for RESEARCH in their subject area</t>
  </si>
  <si>
    <t xml:space="preserve">→ STEP 3: THE collects all nominations and attributes them to institutions — this is the RAW VOTE COUNT</t>
  </si>
  <si>
    <t xml:space="preserve">→ STEP 4: Votes are WEIGHTED by UN region (7 regions) to prevent geographic over-representation</t>
  </si>
  <si>
    <t xml:space="preserve">→ STEP 5: Votes are WEIGHTED by subject area (11 categories) to prevent disciplinary bias</t>
  </si>
  <si>
    <t xml:space="preserve">→ STEP 6: Weighted votes are NORMALIZED using proprietary algorithm → Score (0-100), highest-voted ≈ 100</t>
  </si>
  <si>
    <t xml:space="preserve">→ STEP 7: Research Reputation Score (50%) + Teaching Reputation Score (50%) = THE World Reputation Rankings (top ~200)</t>
  </si>
  <si>
    <t xml:space="preserve">→ STEP 8: Research Reputation Score ALSO feeds as 18% weight into THE World University Rankings — Research Environment pillar</t>
  </si>
  <si>
    <t xml:space="preserve">→ KEY INSIGHT: Every additional global academic who KNOWS your research = potential additional vote = higher score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</si>
</sst>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0D47A1"/>
        <bgColor rgb="FF283593"/>
      </patternFill>
    </fill>
    <fill>
      <patternFill patternType="solid">
        <fgColor rgb="FF283593"/>
        <bgColor rgb="FF0D47A1"/>
      </patternFill>
    </fill>
    <fill>
      <patternFill patternType="solid">
        <fgColor rgb="FF00695C"/>
        <bgColor rgb="FF006064"/>
      </patternFill>
    </fill>
    <fill>
      <patternFill patternType="solid">
        <fgColor rgb="FFE65100"/>
        <bgColor rgb="FF993300"/>
      </patternFill>
    </fill>
    <fill>
      <patternFill patternType="solid">
        <fgColor rgb="FF37474F"/>
        <bgColor rgb="FF404040"/>
      </patternFill>
    </fill>
    <fill>
      <patternFill patternType="solid">
        <fgColor rgb="FF006064"/>
        <bgColor rgb="FF00695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B4B4B4"/>
      <rgbColor rgb="FF808080"/>
      <rgbColor rgb="FF9999FF"/>
      <rgbColor rgb="FF993366"/>
      <rgbColor rgb="FFF2F2F2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606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976D2"/>
      <rgbColor rgb="FF33CCCC"/>
      <rgbColor rgb="FF99CC00"/>
      <rgbColor rgb="FFFFCC00"/>
      <rgbColor rgb="FFFF9900"/>
      <rgbColor rgb="FFE65100"/>
      <rgbColor rgb="FF666699"/>
      <rgbColor rgb="FF969696"/>
      <rgbColor rgb="FF0D47A1"/>
      <rgbColor rgb="FF339966"/>
      <rgbColor rgb="FF003300"/>
      <rgbColor rgb="FF37474F"/>
      <rgbColor rgb="FF993300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T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0" min="9" style="0" width="28"/>
    <col collapsed="false" customWidth="true" hidden="false" outlineLevel="0" max="12" min="11" style="0" width="22"/>
    <col collapsed="false" customWidth="true" hidden="false" outlineLevel="0" max="13" min="13" style="0" width="28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24"/>
    <col collapsed="false" customWidth="true" hidden="false" outlineLevel="0" max="18" min="18" style="0" width="20"/>
    <col collapsed="false" customWidth="true" hidden="false" outlineLevel="0" max="20" min="1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6" t="n">
        <f aca="false">IF(E5&gt;0,G5/E5*100,0)</f>
        <v>0</v>
      </c>
      <c r="I5" s="5"/>
      <c r="J5" s="5"/>
      <c r="K5" s="5"/>
      <c r="L5" s="5"/>
      <c r="M5" s="5"/>
      <c r="N5" s="5"/>
      <c r="O5" s="6" t="n">
        <f aca="false">IF(N5&lt;&gt;0,IF(E5-N5&lt;&gt;0,(E5-(E5-N5))/(E5-N5)*100,0),0)</f>
        <v>0</v>
      </c>
      <c r="P5" s="5"/>
      <c r="Q5" s="5"/>
      <c r="R5" s="5"/>
      <c r="S5" s="5"/>
      <c r="T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9" t="n">
        <f aca="false">IF(E6&gt;0,G6/E6*100,0)</f>
        <v>0</v>
      </c>
      <c r="I6" s="8"/>
      <c r="J6" s="8"/>
      <c r="K6" s="8"/>
      <c r="L6" s="8"/>
      <c r="M6" s="8"/>
      <c r="N6" s="8"/>
      <c r="O6" s="9" t="n">
        <f aca="false">IF(N6&lt;&gt;0,IF(E6-N6&lt;&gt;0,(E6-(E6-N6))/(E6-N6)*100,0),0)</f>
        <v>0</v>
      </c>
      <c r="P6" s="8"/>
      <c r="Q6" s="8"/>
      <c r="R6" s="8"/>
      <c r="S6" s="8"/>
      <c r="T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6" t="n">
        <f aca="false">IF(E7&gt;0,G7/E7*100,0)</f>
        <v>0</v>
      </c>
      <c r="I7" s="5"/>
      <c r="J7" s="5"/>
      <c r="K7" s="5"/>
      <c r="L7" s="5"/>
      <c r="M7" s="5"/>
      <c r="N7" s="5"/>
      <c r="O7" s="6" t="n">
        <f aca="false">IF(N7&lt;&gt;0,IF(E7-N7&lt;&gt;0,(E7-(E7-N7))/(E7-N7)*100,0),0)</f>
        <v>0</v>
      </c>
      <c r="P7" s="5"/>
      <c r="Q7" s="5"/>
      <c r="R7" s="5"/>
      <c r="S7" s="5"/>
      <c r="T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9" t="n">
        <f aca="false">IF(E8&gt;0,G8/E8*100,0)</f>
        <v>0</v>
      </c>
      <c r="I8" s="8"/>
      <c r="J8" s="8"/>
      <c r="K8" s="8"/>
      <c r="L8" s="8"/>
      <c r="M8" s="8"/>
      <c r="N8" s="8"/>
      <c r="O8" s="9" t="n">
        <f aca="false">IF(N8&lt;&gt;0,IF(E8-N8&lt;&gt;0,(E8-(E8-N8))/(E8-N8)*100,0),0)</f>
        <v>0</v>
      </c>
      <c r="P8" s="8"/>
      <c r="Q8" s="8"/>
      <c r="R8" s="8"/>
      <c r="S8" s="8"/>
      <c r="T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6" t="n">
        <f aca="false">IF(E9&gt;0,G9/E9*100,0)</f>
        <v>0</v>
      </c>
      <c r="I9" s="5"/>
      <c r="J9" s="5"/>
      <c r="K9" s="5"/>
      <c r="L9" s="5"/>
      <c r="M9" s="5"/>
      <c r="N9" s="5"/>
      <c r="O9" s="6" t="n">
        <f aca="false">IF(N9&lt;&gt;0,IF(E9-N9&lt;&gt;0,(E9-(E9-N9))/(E9-N9)*100,0),0)</f>
        <v>0</v>
      </c>
      <c r="P9" s="5"/>
      <c r="Q9" s="5"/>
      <c r="R9" s="5"/>
      <c r="S9" s="5"/>
      <c r="T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9" t="n">
        <f aca="false">IF(E10&gt;0,G10/E10*100,0)</f>
        <v>0</v>
      </c>
      <c r="I10" s="8"/>
      <c r="J10" s="8"/>
      <c r="K10" s="8"/>
      <c r="L10" s="8"/>
      <c r="M10" s="8"/>
      <c r="N10" s="8"/>
      <c r="O10" s="9" t="n">
        <f aca="false">IF(N10&lt;&gt;0,IF(E10-N10&lt;&gt;0,(E10-(E10-N10))/(E10-N10)*100,0),0)</f>
        <v>0</v>
      </c>
      <c r="P10" s="8"/>
      <c r="Q10" s="8"/>
      <c r="R10" s="8"/>
      <c r="S10" s="8"/>
      <c r="T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6" t="n">
        <f aca="false">IF(E11&gt;0,G11/E11*100,0)</f>
        <v>0</v>
      </c>
      <c r="I11" s="5"/>
      <c r="J11" s="5"/>
      <c r="K11" s="5"/>
      <c r="L11" s="5"/>
      <c r="M11" s="5"/>
      <c r="N11" s="5"/>
      <c r="O11" s="6" t="n">
        <f aca="false">IF(N11&lt;&gt;0,IF(E11-N11&lt;&gt;0,(E11-(E11-N11))/(E11-N11)*100,0),0)</f>
        <v>0</v>
      </c>
      <c r="P11" s="5"/>
      <c r="Q11" s="5"/>
      <c r="R11" s="5"/>
      <c r="S11" s="5"/>
      <c r="T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9" t="n">
        <f aca="false">IF(E12&gt;0,G12/E12*100,0)</f>
        <v>0</v>
      </c>
      <c r="I12" s="8"/>
      <c r="J12" s="8"/>
      <c r="K12" s="8"/>
      <c r="L12" s="8"/>
      <c r="M12" s="8"/>
      <c r="N12" s="8"/>
      <c r="O12" s="9" t="n">
        <f aca="false">IF(N12&lt;&gt;0,IF(E12-N12&lt;&gt;0,(E12-(E12-N12))/(E12-N12)*100,0),0)</f>
        <v>0</v>
      </c>
      <c r="P12" s="8"/>
      <c r="Q12" s="8"/>
      <c r="R12" s="8"/>
      <c r="S12" s="8"/>
      <c r="T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6" t="n">
        <f aca="false">IF(E13&gt;0,G13/E13*100,0)</f>
        <v>0</v>
      </c>
      <c r="I13" s="5"/>
      <c r="J13" s="5"/>
      <c r="K13" s="5"/>
      <c r="L13" s="5"/>
      <c r="M13" s="5"/>
      <c r="N13" s="5"/>
      <c r="O13" s="6" t="n">
        <f aca="false">IF(N13&lt;&gt;0,IF(E13-N13&lt;&gt;0,(E13-(E13-N13))/(E13-N13)*100,0),0)</f>
        <v>0</v>
      </c>
      <c r="P13" s="5"/>
      <c r="Q13" s="5"/>
      <c r="R13" s="5"/>
      <c r="S13" s="5"/>
      <c r="T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9" t="n">
        <f aca="false">IF(E14&gt;0,G14/E14*100,0)</f>
        <v>0</v>
      </c>
      <c r="I14" s="8"/>
      <c r="J14" s="8"/>
      <c r="K14" s="8"/>
      <c r="L14" s="8"/>
      <c r="M14" s="8"/>
      <c r="N14" s="8"/>
      <c r="O14" s="9" t="n">
        <f aca="false">IF(N14&lt;&gt;0,IF(E14-N14&lt;&gt;0,(E14-(E14-N14))/(E14-N14)*100,0),0)</f>
        <v>0</v>
      </c>
      <c r="P14" s="8"/>
      <c r="Q14" s="8"/>
      <c r="R14" s="8"/>
      <c r="S14" s="8"/>
      <c r="T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6" t="n">
        <f aca="false">IF(E15&gt;0,G15/E15*100,0)</f>
        <v>0</v>
      </c>
      <c r="I15" s="5"/>
      <c r="J15" s="5"/>
      <c r="K15" s="5"/>
      <c r="L15" s="5"/>
      <c r="M15" s="5"/>
      <c r="N15" s="5"/>
      <c r="O15" s="6" t="n">
        <f aca="false">IF(N15&lt;&gt;0,IF(E15-N15&lt;&gt;0,(E15-(E15-N15))/(E15-N15)*100,0),0)</f>
        <v>0</v>
      </c>
      <c r="P15" s="5"/>
      <c r="Q15" s="5"/>
      <c r="R15" s="5"/>
      <c r="S15" s="5"/>
      <c r="T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9" t="n">
        <f aca="false">IF(E16&gt;0,G16/E16*100,0)</f>
        <v>0</v>
      </c>
      <c r="I16" s="8"/>
      <c r="J16" s="8"/>
      <c r="K16" s="8"/>
      <c r="L16" s="8"/>
      <c r="M16" s="8"/>
      <c r="N16" s="8"/>
      <c r="O16" s="9" t="n">
        <f aca="false">IF(N16&lt;&gt;0,IF(E16-N16&lt;&gt;0,(E16-(E16-N16))/(E16-N16)*100,0),0)</f>
        <v>0</v>
      </c>
      <c r="P16" s="8"/>
      <c r="Q16" s="8"/>
      <c r="R16" s="8"/>
      <c r="S16" s="8"/>
      <c r="T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6" t="n">
        <f aca="false">IF(E17&gt;0,G17/E17*100,0)</f>
        <v>0</v>
      </c>
      <c r="I17" s="5"/>
      <c r="J17" s="5"/>
      <c r="K17" s="5"/>
      <c r="L17" s="5"/>
      <c r="M17" s="5"/>
      <c r="N17" s="5"/>
      <c r="O17" s="6" t="n">
        <f aca="false">IF(N17&lt;&gt;0,IF(E17-N17&lt;&gt;0,(E17-(E17-N17))/(E17-N17)*100,0),0)</f>
        <v>0</v>
      </c>
      <c r="P17" s="5"/>
      <c r="Q17" s="5"/>
      <c r="R17" s="5"/>
      <c r="S17" s="5"/>
      <c r="T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9" t="n">
        <f aca="false">IF(E18&gt;0,G18/E18*100,0)</f>
        <v>0</v>
      </c>
      <c r="I18" s="8"/>
      <c r="J18" s="8"/>
      <c r="K18" s="8"/>
      <c r="L18" s="8"/>
      <c r="M18" s="8"/>
      <c r="N18" s="8"/>
      <c r="O18" s="9" t="n">
        <f aca="false">IF(N18&lt;&gt;0,IF(E18-N18&lt;&gt;0,(E18-(E18-N18))/(E18-N18)*100,0),0)</f>
        <v>0</v>
      </c>
      <c r="P18" s="8"/>
      <c r="Q18" s="8"/>
      <c r="R18" s="8"/>
      <c r="S18" s="8"/>
      <c r="T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6" t="n">
        <f aca="false">IF(E19&gt;0,G19/E19*100,0)</f>
        <v>0</v>
      </c>
      <c r="I19" s="5"/>
      <c r="J19" s="5"/>
      <c r="K19" s="5"/>
      <c r="L19" s="5"/>
      <c r="M19" s="5"/>
      <c r="N19" s="5"/>
      <c r="O19" s="6" t="n">
        <f aca="false">IF(N19&lt;&gt;0,IF(E19-N19&lt;&gt;0,(E19-(E19-N19))/(E19-N19)*100,0),0)</f>
        <v>0</v>
      </c>
      <c r="P19" s="5"/>
      <c r="Q19" s="5"/>
      <c r="R19" s="5"/>
      <c r="S19" s="5"/>
      <c r="T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9" t="n">
        <f aca="false">IF(E20&gt;0,G20/E20*100,0)</f>
        <v>0</v>
      </c>
      <c r="I20" s="8"/>
      <c r="J20" s="8"/>
      <c r="K20" s="8"/>
      <c r="L20" s="8"/>
      <c r="M20" s="8"/>
      <c r="N20" s="8"/>
      <c r="O20" s="9" t="n">
        <f aca="false">IF(N20&lt;&gt;0,IF(E20-N20&lt;&gt;0,(E20-(E20-N20))/(E20-N20)*100,0),0)</f>
        <v>0</v>
      </c>
      <c r="P20" s="8"/>
      <c r="Q20" s="8"/>
      <c r="R20" s="8"/>
      <c r="S20" s="8"/>
      <c r="T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6" t="n">
        <f aca="false">IF(E21&gt;0,G21/E21*100,0)</f>
        <v>0</v>
      </c>
      <c r="I21" s="5"/>
      <c r="J21" s="5"/>
      <c r="K21" s="5"/>
      <c r="L21" s="5"/>
      <c r="M21" s="5"/>
      <c r="N21" s="5"/>
      <c r="O21" s="6" t="n">
        <f aca="false">IF(N21&lt;&gt;0,IF(E21-N21&lt;&gt;0,(E21-(E21-N21))/(E21-N21)*100,0),0)</f>
        <v>0</v>
      </c>
      <c r="P21" s="5"/>
      <c r="Q21" s="5"/>
      <c r="R21" s="5"/>
      <c r="S21" s="5"/>
      <c r="T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9" t="n">
        <f aca="false">IF(E22&gt;0,G22/E22*100,0)</f>
        <v>0</v>
      </c>
      <c r="I22" s="8"/>
      <c r="J22" s="8"/>
      <c r="K22" s="8"/>
      <c r="L22" s="8"/>
      <c r="M22" s="8"/>
      <c r="N22" s="8"/>
      <c r="O22" s="9" t="n">
        <f aca="false">IF(N22&lt;&gt;0,IF(E22-N22&lt;&gt;0,(E22-(E22-N22))/(E22-N22)*100,0),0)</f>
        <v>0</v>
      </c>
      <c r="P22" s="8"/>
      <c r="Q22" s="8"/>
      <c r="R22" s="8"/>
      <c r="S22" s="8"/>
      <c r="T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6" t="n">
        <f aca="false">IF(E23&gt;0,G23/E23*100,0)</f>
        <v>0</v>
      </c>
      <c r="I23" s="5"/>
      <c r="J23" s="5"/>
      <c r="K23" s="5"/>
      <c r="L23" s="5"/>
      <c r="M23" s="5"/>
      <c r="N23" s="5"/>
      <c r="O23" s="6" t="n">
        <f aca="false">IF(N23&lt;&gt;0,IF(E23-N23&lt;&gt;0,(E23-(E23-N23))/(E23-N23)*100,0),0)</f>
        <v>0</v>
      </c>
      <c r="P23" s="5"/>
      <c r="Q23" s="5"/>
      <c r="R23" s="5"/>
      <c r="S23" s="5"/>
      <c r="T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9" t="n">
        <f aca="false">IF(E24&gt;0,G24/E24*100,0)</f>
        <v>0</v>
      </c>
      <c r="I24" s="8"/>
      <c r="J24" s="8"/>
      <c r="K24" s="8"/>
      <c r="L24" s="8"/>
      <c r="M24" s="8"/>
      <c r="N24" s="8"/>
      <c r="O24" s="9" t="n">
        <f aca="false">IF(N24&lt;&gt;0,IF(E24-N24&lt;&gt;0,(E24-(E24-N24))/(E24-N24)*100,0),0)</f>
        <v>0</v>
      </c>
      <c r="P24" s="8"/>
      <c r="Q24" s="8"/>
      <c r="R24" s="8"/>
      <c r="S24" s="8"/>
      <c r="T24" s="8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24"/>
    <col collapsed="false" customWidth="true" hidden="false" outlineLevel="0" max="17" min="17" style="0" width="22"/>
    <col collapsed="false" customWidth="true" hidden="false" outlineLevel="0" max="18" min="18" style="0" width="14"/>
  </cols>
  <sheetData>
    <row r="1" customFormat="false" ht="30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4.7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10" t="s">
        <v>2</v>
      </c>
      <c r="B4" s="10" t="s">
        <v>3</v>
      </c>
      <c r="C4" s="10" t="s">
        <v>5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4" t="n">
        <f aca="false">SUM(D5:N5)</f>
        <v>0</v>
      </c>
      <c r="P5" s="4" t="n">
        <f aca="false">COUNTIF(D5:N5,"&gt;0")</f>
        <v>0</v>
      </c>
      <c r="Q5" s="5"/>
      <c r="R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 t="n">
        <f aca="false">SUM(D6:N6)</f>
        <v>0</v>
      </c>
      <c r="P6" s="7" t="n">
        <f aca="false">COUNTIF(D6:N6,"&gt;0")</f>
        <v>0</v>
      </c>
      <c r="Q6" s="8"/>
      <c r="R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 t="n">
        <f aca="false">SUM(D7:N7)</f>
        <v>0</v>
      </c>
      <c r="P7" s="4" t="n">
        <f aca="false">COUNTIF(D7:N7,"&gt;0")</f>
        <v>0</v>
      </c>
      <c r="Q7" s="5"/>
      <c r="R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 t="n">
        <f aca="false">SUM(D8:N8)</f>
        <v>0</v>
      </c>
      <c r="P8" s="7" t="n">
        <f aca="false">COUNTIF(D8:N8,"&gt;0")</f>
        <v>0</v>
      </c>
      <c r="Q8" s="8"/>
      <c r="R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4" t="n">
        <f aca="false">SUM(D9:N9)</f>
        <v>0</v>
      </c>
      <c r="P9" s="4" t="n">
        <f aca="false">COUNTIF(D9:N9,"&gt;0")</f>
        <v>0</v>
      </c>
      <c r="Q9" s="5"/>
      <c r="R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7" t="n">
        <f aca="false">SUM(D10:N10)</f>
        <v>0</v>
      </c>
      <c r="P10" s="7" t="n">
        <f aca="false">COUNTIF(D10:N10,"&gt;0")</f>
        <v>0</v>
      </c>
      <c r="Q10" s="8"/>
      <c r="R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4" t="n">
        <f aca="false">SUM(D11:N11)</f>
        <v>0</v>
      </c>
      <c r="P11" s="4" t="n">
        <f aca="false">COUNTIF(D11:N11,"&gt;0")</f>
        <v>0</v>
      </c>
      <c r="Q11" s="5"/>
      <c r="R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 t="n">
        <f aca="false">SUM(D12:N12)</f>
        <v>0</v>
      </c>
      <c r="P12" s="7" t="n">
        <f aca="false">COUNTIF(D12:N12,"&gt;0")</f>
        <v>0</v>
      </c>
      <c r="Q12" s="8"/>
      <c r="R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4" t="n">
        <f aca="false">SUM(D13:N13)</f>
        <v>0</v>
      </c>
      <c r="P13" s="4" t="n">
        <f aca="false">COUNTIF(D13:N13,"&gt;0")</f>
        <v>0</v>
      </c>
      <c r="Q13" s="5"/>
      <c r="R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7" t="n">
        <f aca="false">SUM(D14:N14)</f>
        <v>0</v>
      </c>
      <c r="P14" s="7" t="n">
        <f aca="false">COUNTIF(D14:N14,"&gt;0")</f>
        <v>0</v>
      </c>
      <c r="Q14" s="8"/>
      <c r="R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" t="n">
        <f aca="false">SUM(D15:N15)</f>
        <v>0</v>
      </c>
      <c r="P15" s="4" t="n">
        <f aca="false">COUNTIF(D15:N15,"&gt;0")</f>
        <v>0</v>
      </c>
      <c r="Q15" s="5"/>
      <c r="R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7" t="n">
        <f aca="false">SUM(D16:N16)</f>
        <v>0</v>
      </c>
      <c r="P16" s="7" t="n">
        <f aca="false">COUNTIF(D16:N16,"&gt;0")</f>
        <v>0</v>
      </c>
      <c r="Q16" s="8"/>
      <c r="R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4" t="n">
        <f aca="false">SUM(D17:N17)</f>
        <v>0</v>
      </c>
      <c r="P17" s="4" t="n">
        <f aca="false">COUNTIF(D17:N17,"&gt;0")</f>
        <v>0</v>
      </c>
      <c r="Q17" s="5"/>
      <c r="R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7" t="n">
        <f aca="false">SUM(D18:N18)</f>
        <v>0</v>
      </c>
      <c r="P18" s="7" t="n">
        <f aca="false">COUNTIF(D18:N18,"&gt;0")</f>
        <v>0</v>
      </c>
      <c r="Q18" s="8"/>
      <c r="R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4" t="n">
        <f aca="false">SUM(D19:N19)</f>
        <v>0</v>
      </c>
      <c r="P19" s="4" t="n">
        <f aca="false">COUNTIF(D19:N19,"&gt;0")</f>
        <v>0</v>
      </c>
      <c r="Q19" s="5"/>
      <c r="R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7" t="n">
        <f aca="false">SUM(D20:N20)</f>
        <v>0</v>
      </c>
      <c r="P20" s="7" t="n">
        <f aca="false">COUNTIF(D20:N20,"&gt;0")</f>
        <v>0</v>
      </c>
      <c r="Q20" s="8"/>
      <c r="R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4" t="n">
        <f aca="false">SUM(D21:N21)</f>
        <v>0</v>
      </c>
      <c r="P21" s="4" t="n">
        <f aca="false">COUNTIF(D21:N21,"&gt;0")</f>
        <v>0</v>
      </c>
      <c r="Q21" s="5"/>
      <c r="R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7" t="n">
        <f aca="false">SUM(D22:N22)</f>
        <v>0</v>
      </c>
      <c r="P22" s="7" t="n">
        <f aca="false">COUNTIF(D22:N22,"&gt;0")</f>
        <v>0</v>
      </c>
      <c r="Q22" s="8"/>
      <c r="R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4" t="n">
        <f aca="false">SUM(D23:N23)</f>
        <v>0</v>
      </c>
      <c r="P23" s="4" t="n">
        <f aca="false">COUNTIF(D23:N23,"&gt;0")</f>
        <v>0</v>
      </c>
      <c r="Q23" s="5"/>
      <c r="R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7" t="n">
        <f aca="false">SUM(D24:N24)</f>
        <v>0</v>
      </c>
      <c r="P24" s="7" t="n">
        <f aca="false">COUNTIF(D24:N24,"&gt;0")</f>
        <v>0</v>
      </c>
      <c r="Q24" s="8"/>
      <c r="R24" s="8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3593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24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1" t="s">
        <v>2</v>
      </c>
      <c r="B4" s="11" t="s">
        <v>3</v>
      </c>
      <c r="C4" s="11" t="s">
        <v>5</v>
      </c>
      <c r="D4" s="11" t="s">
        <v>40</v>
      </c>
      <c r="E4" s="11" t="s">
        <v>41</v>
      </c>
      <c r="F4" s="11" t="s">
        <v>42</v>
      </c>
      <c r="G4" s="11" t="s">
        <v>43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35</v>
      </c>
      <c r="M4" s="11" t="s">
        <v>48</v>
      </c>
      <c r="N4" s="11" t="s">
        <v>49</v>
      </c>
      <c r="O4" s="11" t="s">
        <v>50</v>
      </c>
      <c r="P4" s="11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4" t="n">
        <f aca="false">SUM(D5:K5)</f>
        <v>0</v>
      </c>
      <c r="M5" s="6" t="n">
        <f aca="false">IF(L5&gt;0,D5/L5*100,0)</f>
        <v>0</v>
      </c>
      <c r="N5" s="6" t="n">
        <f aca="false">IF(L5&gt;0,(L5-D5)/L5*100,0)</f>
        <v>0</v>
      </c>
      <c r="O5" s="4" t="n">
        <f aca="false">COUNTIF(D5:K5,"&gt;0")</f>
        <v>0</v>
      </c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7" t="n">
        <f aca="false">SUM(D6:K6)</f>
        <v>0</v>
      </c>
      <c r="M6" s="9" t="n">
        <f aca="false">IF(L6&gt;0,D6/L6*100,0)</f>
        <v>0</v>
      </c>
      <c r="N6" s="9" t="n">
        <f aca="false">IF(L6&gt;0,(L6-D6)/L6*100,0)</f>
        <v>0</v>
      </c>
      <c r="O6" s="7" t="n">
        <f aca="false">COUNTIF(D6:K6,"&gt;0")</f>
        <v>0</v>
      </c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4" t="n">
        <f aca="false">SUM(D7:K7)</f>
        <v>0</v>
      </c>
      <c r="M7" s="6" t="n">
        <f aca="false">IF(L7&gt;0,D7/L7*100,0)</f>
        <v>0</v>
      </c>
      <c r="N7" s="6" t="n">
        <f aca="false">IF(L7&gt;0,(L7-D7)/L7*100,0)</f>
        <v>0</v>
      </c>
      <c r="O7" s="4" t="n">
        <f aca="false">COUNTIF(D7:K7,"&gt;0")</f>
        <v>0</v>
      </c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7" t="n">
        <f aca="false">SUM(D8:K8)</f>
        <v>0</v>
      </c>
      <c r="M8" s="9" t="n">
        <f aca="false">IF(L8&gt;0,D8/L8*100,0)</f>
        <v>0</v>
      </c>
      <c r="N8" s="9" t="n">
        <f aca="false">IF(L8&gt;0,(L8-D8)/L8*100,0)</f>
        <v>0</v>
      </c>
      <c r="O8" s="7" t="n">
        <f aca="false">COUNTIF(D8:K8,"&gt;0")</f>
        <v>0</v>
      </c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4" t="n">
        <f aca="false">SUM(D9:K9)</f>
        <v>0</v>
      </c>
      <c r="M9" s="6" t="n">
        <f aca="false">IF(L9&gt;0,D9/L9*100,0)</f>
        <v>0</v>
      </c>
      <c r="N9" s="6" t="n">
        <f aca="false">IF(L9&gt;0,(L9-D9)/L9*100,0)</f>
        <v>0</v>
      </c>
      <c r="O9" s="4" t="n">
        <f aca="false">COUNTIF(D9:K9,"&gt;0")</f>
        <v>0</v>
      </c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7" t="n">
        <f aca="false">SUM(D10:K10)</f>
        <v>0</v>
      </c>
      <c r="M10" s="9" t="n">
        <f aca="false">IF(L10&gt;0,D10/L10*100,0)</f>
        <v>0</v>
      </c>
      <c r="N10" s="9" t="n">
        <f aca="false">IF(L10&gt;0,(L10-D10)/L10*100,0)</f>
        <v>0</v>
      </c>
      <c r="O10" s="7" t="n">
        <f aca="false">COUNTIF(D10:K10,"&gt;0")</f>
        <v>0</v>
      </c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4" t="n">
        <f aca="false">SUM(D11:K11)</f>
        <v>0</v>
      </c>
      <c r="M11" s="6" t="n">
        <f aca="false">IF(L11&gt;0,D11/L11*100,0)</f>
        <v>0</v>
      </c>
      <c r="N11" s="6" t="n">
        <f aca="false">IF(L11&gt;0,(L11-D11)/L11*100,0)</f>
        <v>0</v>
      </c>
      <c r="O11" s="4" t="n">
        <f aca="false">COUNTIF(D11:K11,"&gt;0")</f>
        <v>0</v>
      </c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7" t="n">
        <f aca="false">SUM(D12:K12)</f>
        <v>0</v>
      </c>
      <c r="M12" s="9" t="n">
        <f aca="false">IF(L12&gt;0,D12/L12*100,0)</f>
        <v>0</v>
      </c>
      <c r="N12" s="9" t="n">
        <f aca="false">IF(L12&gt;0,(L12-D12)/L12*100,0)</f>
        <v>0</v>
      </c>
      <c r="O12" s="7" t="n">
        <f aca="false">COUNTIF(D12:K12,"&gt;0")</f>
        <v>0</v>
      </c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4" t="n">
        <f aca="false">SUM(D13:K13)</f>
        <v>0</v>
      </c>
      <c r="M13" s="6" t="n">
        <f aca="false">IF(L13&gt;0,D13/L13*100,0)</f>
        <v>0</v>
      </c>
      <c r="N13" s="6" t="n">
        <f aca="false">IF(L13&gt;0,(L13-D13)/L13*100,0)</f>
        <v>0</v>
      </c>
      <c r="O13" s="4" t="n">
        <f aca="false">COUNTIF(D13:K13,"&gt;0")</f>
        <v>0</v>
      </c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7" t="n">
        <f aca="false">SUM(D14:K14)</f>
        <v>0</v>
      </c>
      <c r="M14" s="9" t="n">
        <f aca="false">IF(L14&gt;0,D14/L14*100,0)</f>
        <v>0</v>
      </c>
      <c r="N14" s="9" t="n">
        <f aca="false">IF(L14&gt;0,(L14-D14)/L14*100,0)</f>
        <v>0</v>
      </c>
      <c r="O14" s="7" t="n">
        <f aca="false">COUNTIF(D14:K14,"&gt;0")</f>
        <v>0</v>
      </c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4" t="n">
        <f aca="false">SUM(D15:K15)</f>
        <v>0</v>
      </c>
      <c r="M15" s="6" t="n">
        <f aca="false">IF(L15&gt;0,D15/L15*100,0)</f>
        <v>0</v>
      </c>
      <c r="N15" s="6" t="n">
        <f aca="false">IF(L15&gt;0,(L15-D15)/L15*100,0)</f>
        <v>0</v>
      </c>
      <c r="O15" s="4" t="n">
        <f aca="false">COUNTIF(D15:K15,"&gt;0")</f>
        <v>0</v>
      </c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7" t="n">
        <f aca="false">SUM(D16:K16)</f>
        <v>0</v>
      </c>
      <c r="M16" s="9" t="n">
        <f aca="false">IF(L16&gt;0,D16/L16*100,0)</f>
        <v>0</v>
      </c>
      <c r="N16" s="9" t="n">
        <f aca="false">IF(L16&gt;0,(L16-D16)/L16*100,0)</f>
        <v>0</v>
      </c>
      <c r="O16" s="7" t="n">
        <f aca="false">COUNTIF(D16:K16,"&gt;0")</f>
        <v>0</v>
      </c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4" t="n">
        <f aca="false">SUM(D17:K17)</f>
        <v>0</v>
      </c>
      <c r="M17" s="6" t="n">
        <f aca="false">IF(L17&gt;0,D17/L17*100,0)</f>
        <v>0</v>
      </c>
      <c r="N17" s="6" t="n">
        <f aca="false">IF(L17&gt;0,(L17-D17)/L17*100,0)</f>
        <v>0</v>
      </c>
      <c r="O17" s="4" t="n">
        <f aca="false">COUNTIF(D17:K17,"&gt;0")</f>
        <v>0</v>
      </c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7" t="n">
        <f aca="false">SUM(D18:K18)</f>
        <v>0</v>
      </c>
      <c r="M18" s="9" t="n">
        <f aca="false">IF(L18&gt;0,D18/L18*100,0)</f>
        <v>0</v>
      </c>
      <c r="N18" s="9" t="n">
        <f aca="false">IF(L18&gt;0,(L18-D18)/L18*100,0)</f>
        <v>0</v>
      </c>
      <c r="O18" s="7" t="n">
        <f aca="false">COUNTIF(D18:K18,"&gt;0")</f>
        <v>0</v>
      </c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4" t="n">
        <f aca="false">SUM(D19:K19)</f>
        <v>0</v>
      </c>
      <c r="M19" s="6" t="n">
        <f aca="false">IF(L19&gt;0,D19/L19*100,0)</f>
        <v>0</v>
      </c>
      <c r="N19" s="6" t="n">
        <f aca="false">IF(L19&gt;0,(L19-D19)/L19*100,0)</f>
        <v>0</v>
      </c>
      <c r="O19" s="4" t="n">
        <f aca="false">COUNTIF(D19:K19,"&gt;0")</f>
        <v>0</v>
      </c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7" t="n">
        <f aca="false">SUM(D20:K20)</f>
        <v>0</v>
      </c>
      <c r="M20" s="9" t="n">
        <f aca="false">IF(L20&gt;0,D20/L20*100,0)</f>
        <v>0</v>
      </c>
      <c r="N20" s="9" t="n">
        <f aca="false">IF(L20&gt;0,(L20-D20)/L20*100,0)</f>
        <v>0</v>
      </c>
      <c r="O20" s="7" t="n">
        <f aca="false">COUNTIF(D20:K20,"&gt;0")</f>
        <v>0</v>
      </c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4" t="n">
        <f aca="false">SUM(D21:K21)</f>
        <v>0</v>
      </c>
      <c r="M21" s="6" t="n">
        <f aca="false">IF(L21&gt;0,D21/L21*100,0)</f>
        <v>0</v>
      </c>
      <c r="N21" s="6" t="n">
        <f aca="false">IF(L21&gt;0,(L21-D21)/L21*100,0)</f>
        <v>0</v>
      </c>
      <c r="O21" s="4" t="n">
        <f aca="false">COUNTIF(D21:K21,"&gt;0")</f>
        <v>0</v>
      </c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7" t="n">
        <f aca="false">SUM(D22:K22)</f>
        <v>0</v>
      </c>
      <c r="M22" s="9" t="n">
        <f aca="false">IF(L22&gt;0,D22/L22*100,0)</f>
        <v>0</v>
      </c>
      <c r="N22" s="9" t="n">
        <f aca="false">IF(L22&gt;0,(L22-D22)/L22*100,0)</f>
        <v>0</v>
      </c>
      <c r="O22" s="7" t="n">
        <f aca="false">COUNTIF(D22:K22,"&gt;0")</f>
        <v>0</v>
      </c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4" t="n">
        <f aca="false">SUM(D23:K23)</f>
        <v>0</v>
      </c>
      <c r="M23" s="6" t="n">
        <f aca="false">IF(L23&gt;0,D23/L23*100,0)</f>
        <v>0</v>
      </c>
      <c r="N23" s="6" t="n">
        <f aca="false">IF(L23&gt;0,(L23-D23)/L23*100,0)</f>
        <v>0</v>
      </c>
      <c r="O23" s="4" t="n">
        <f aca="false">COUNTIF(D23:K23,"&gt;0")</f>
        <v>0</v>
      </c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7" t="n">
        <f aca="false">SUM(D24:K24)</f>
        <v>0</v>
      </c>
      <c r="M24" s="9" t="n">
        <f aca="false">IF(L24&gt;0,D24/L24*100,0)</f>
        <v>0</v>
      </c>
      <c r="N24" s="9" t="n">
        <f aca="false">IF(L24&gt;0,(L24-D24)/L24*100,0)</f>
        <v>0</v>
      </c>
      <c r="O24" s="7" t="n">
        <f aca="false">COUNTIF(D24:K24,"&gt;0")</f>
        <v>0</v>
      </c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7" min="5" style="0" width="24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12" t="s">
        <v>2</v>
      </c>
      <c r="B4" s="12" t="s">
        <v>3</v>
      </c>
      <c r="C4" s="12" t="s">
        <v>5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35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20</v>
      </c>
      <c r="N4" s="12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4" t="n">
        <f aca="false">SUM(D5:G5)</f>
        <v>0</v>
      </c>
      <c r="I5" s="6" t="n">
        <f aca="false">IF(H5&gt;0,(D5+E5)/H5*100,0)</f>
        <v>0</v>
      </c>
      <c r="J5" s="5"/>
      <c r="K5" s="5"/>
      <c r="L5" s="5"/>
      <c r="M5" s="5"/>
      <c r="N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7" t="n">
        <f aca="false">SUM(D6:G6)</f>
        <v>0</v>
      </c>
      <c r="I6" s="9" t="n">
        <f aca="false">IF(H6&gt;0,(D6+E6)/H6*100,0)</f>
        <v>0</v>
      </c>
      <c r="J6" s="8"/>
      <c r="K6" s="8"/>
      <c r="L6" s="8"/>
      <c r="M6" s="8"/>
      <c r="N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4" t="n">
        <f aca="false">SUM(D7:G7)</f>
        <v>0</v>
      </c>
      <c r="I7" s="6" t="n">
        <f aca="false">IF(H7&gt;0,(D7+E7)/H7*100,0)</f>
        <v>0</v>
      </c>
      <c r="J7" s="5"/>
      <c r="K7" s="5"/>
      <c r="L7" s="5"/>
      <c r="M7" s="5"/>
      <c r="N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7" t="n">
        <f aca="false">SUM(D8:G8)</f>
        <v>0</v>
      </c>
      <c r="I8" s="9" t="n">
        <f aca="false">IF(H8&gt;0,(D8+E8)/H8*100,0)</f>
        <v>0</v>
      </c>
      <c r="J8" s="8"/>
      <c r="K8" s="8"/>
      <c r="L8" s="8"/>
      <c r="M8" s="8"/>
      <c r="N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4" t="n">
        <f aca="false">SUM(D9:G9)</f>
        <v>0</v>
      </c>
      <c r="I9" s="6" t="n">
        <f aca="false">IF(H9&gt;0,(D9+E9)/H9*100,0)</f>
        <v>0</v>
      </c>
      <c r="J9" s="5"/>
      <c r="K9" s="5"/>
      <c r="L9" s="5"/>
      <c r="M9" s="5"/>
      <c r="N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7" t="n">
        <f aca="false">SUM(D10:G10)</f>
        <v>0</v>
      </c>
      <c r="I10" s="9" t="n">
        <f aca="false">IF(H10&gt;0,(D10+E10)/H10*100,0)</f>
        <v>0</v>
      </c>
      <c r="J10" s="8"/>
      <c r="K10" s="8"/>
      <c r="L10" s="8"/>
      <c r="M10" s="8"/>
      <c r="N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4" t="n">
        <f aca="false">SUM(D11:G11)</f>
        <v>0</v>
      </c>
      <c r="I11" s="6" t="n">
        <f aca="false">IF(H11&gt;0,(D11+E11)/H11*100,0)</f>
        <v>0</v>
      </c>
      <c r="J11" s="5"/>
      <c r="K11" s="5"/>
      <c r="L11" s="5"/>
      <c r="M11" s="5"/>
      <c r="N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7" t="n">
        <f aca="false">SUM(D12:G12)</f>
        <v>0</v>
      </c>
      <c r="I12" s="9" t="n">
        <f aca="false">IF(H12&gt;0,(D12+E12)/H12*100,0)</f>
        <v>0</v>
      </c>
      <c r="J12" s="8"/>
      <c r="K12" s="8"/>
      <c r="L12" s="8"/>
      <c r="M12" s="8"/>
      <c r="N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4" t="n">
        <f aca="false">SUM(D13:G13)</f>
        <v>0</v>
      </c>
      <c r="I13" s="6" t="n">
        <f aca="false">IF(H13&gt;0,(D13+E13)/H13*100,0)</f>
        <v>0</v>
      </c>
      <c r="J13" s="5"/>
      <c r="K13" s="5"/>
      <c r="L13" s="5"/>
      <c r="M13" s="5"/>
      <c r="N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7" t="n">
        <f aca="false">SUM(D14:G14)</f>
        <v>0</v>
      </c>
      <c r="I14" s="9" t="n">
        <f aca="false">IF(H14&gt;0,(D14+E14)/H14*100,0)</f>
        <v>0</v>
      </c>
      <c r="J14" s="8"/>
      <c r="K14" s="8"/>
      <c r="L14" s="8"/>
      <c r="M14" s="8"/>
      <c r="N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4" t="n">
        <f aca="false">SUM(D15:G15)</f>
        <v>0</v>
      </c>
      <c r="I15" s="6" t="n">
        <f aca="false">IF(H15&gt;0,(D15+E15)/H15*100,0)</f>
        <v>0</v>
      </c>
      <c r="J15" s="5"/>
      <c r="K15" s="5"/>
      <c r="L15" s="5"/>
      <c r="M15" s="5"/>
      <c r="N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7" t="n">
        <f aca="false">SUM(D16:G16)</f>
        <v>0</v>
      </c>
      <c r="I16" s="9" t="n">
        <f aca="false">IF(H16&gt;0,(D16+E16)/H16*100,0)</f>
        <v>0</v>
      </c>
      <c r="J16" s="8"/>
      <c r="K16" s="8"/>
      <c r="L16" s="8"/>
      <c r="M16" s="8"/>
      <c r="N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4" t="n">
        <f aca="false">SUM(D17:G17)</f>
        <v>0</v>
      </c>
      <c r="I17" s="6" t="n">
        <f aca="false">IF(H17&gt;0,(D17+E17)/H17*100,0)</f>
        <v>0</v>
      </c>
      <c r="J17" s="5"/>
      <c r="K17" s="5"/>
      <c r="L17" s="5"/>
      <c r="M17" s="5"/>
      <c r="N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7" t="n">
        <f aca="false">SUM(D18:G18)</f>
        <v>0</v>
      </c>
      <c r="I18" s="9" t="n">
        <f aca="false">IF(H18&gt;0,(D18+E18)/H18*100,0)</f>
        <v>0</v>
      </c>
      <c r="J18" s="8"/>
      <c r="K18" s="8"/>
      <c r="L18" s="8"/>
      <c r="M18" s="8"/>
      <c r="N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4" t="n">
        <f aca="false">SUM(D19:G19)</f>
        <v>0</v>
      </c>
      <c r="I19" s="6" t="n">
        <f aca="false">IF(H19&gt;0,(D19+E19)/H19*100,0)</f>
        <v>0</v>
      </c>
      <c r="J19" s="5"/>
      <c r="K19" s="5"/>
      <c r="L19" s="5"/>
      <c r="M19" s="5"/>
      <c r="N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7" t="n">
        <f aca="false">SUM(D20:G20)</f>
        <v>0</v>
      </c>
      <c r="I20" s="9" t="n">
        <f aca="false">IF(H20&gt;0,(D20+E20)/H20*100,0)</f>
        <v>0</v>
      </c>
      <c r="J20" s="8"/>
      <c r="K20" s="8"/>
      <c r="L20" s="8"/>
      <c r="M20" s="8"/>
      <c r="N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4" t="n">
        <f aca="false">SUM(D21:G21)</f>
        <v>0</v>
      </c>
      <c r="I21" s="6" t="n">
        <f aca="false">IF(H21&gt;0,(D21+E21)/H21*100,0)</f>
        <v>0</v>
      </c>
      <c r="J21" s="5"/>
      <c r="K21" s="5"/>
      <c r="L21" s="5"/>
      <c r="M21" s="5"/>
      <c r="N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7" t="n">
        <f aca="false">SUM(D22:G22)</f>
        <v>0</v>
      </c>
      <c r="I22" s="9" t="n">
        <f aca="false">IF(H22&gt;0,(D22+E22)/H22*100,0)</f>
        <v>0</v>
      </c>
      <c r="J22" s="8"/>
      <c r="K22" s="8"/>
      <c r="L22" s="8"/>
      <c r="M22" s="8"/>
      <c r="N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4" t="n">
        <f aca="false">SUM(D23:G23)</f>
        <v>0</v>
      </c>
      <c r="I23" s="6" t="n">
        <f aca="false">IF(H23&gt;0,(D23+E23)/H23*100,0)</f>
        <v>0</v>
      </c>
      <c r="J23" s="5"/>
      <c r="K23" s="5"/>
      <c r="L23" s="5"/>
      <c r="M23" s="5"/>
      <c r="N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7" t="n">
        <f aca="false">SUM(D24:G24)</f>
        <v>0</v>
      </c>
      <c r="I24" s="9" t="n">
        <f aca="false">IF(H24&gt;0,(D24+E24)/H24*100,0)</f>
        <v>0</v>
      </c>
      <c r="J24" s="8"/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24"/>
    <col collapsed="false" customWidth="true" hidden="false" outlineLevel="0" max="14" min="14" style="0" width="22"/>
    <col collapsed="false" customWidth="true" hidden="false" outlineLevel="0" max="15" min="15" style="0" width="24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13" t="s">
        <v>2</v>
      </c>
      <c r="B4" s="13" t="s">
        <v>3</v>
      </c>
      <c r="C4" s="13" t="s">
        <v>4</v>
      </c>
      <c r="D4" s="13" t="s">
        <v>5</v>
      </c>
      <c r="E4" s="13" t="s">
        <v>63</v>
      </c>
      <c r="F4" s="13" t="s">
        <v>64</v>
      </c>
      <c r="G4" s="13" t="s">
        <v>65</v>
      </c>
      <c r="H4" s="13" t="s">
        <v>66</v>
      </c>
      <c r="I4" s="13" t="s">
        <v>67</v>
      </c>
      <c r="J4" s="13" t="s">
        <v>68</v>
      </c>
      <c r="K4" s="13" t="s">
        <v>69</v>
      </c>
      <c r="L4" s="13" t="s">
        <v>70</v>
      </c>
      <c r="M4" s="13" t="s">
        <v>71</v>
      </c>
      <c r="N4" s="13" t="s">
        <v>72</v>
      </c>
      <c r="O4" s="13" t="s">
        <v>73</v>
      </c>
      <c r="P4" s="13" t="s">
        <v>21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4" t="n">
        <f aca="false">IF(N5&gt;0,N5-E5,0)</f>
        <v>0</v>
      </c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 t="n">
        <f aca="false">IF(N6&gt;0,N6-E6,0)</f>
        <v>0</v>
      </c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 t="n">
        <f aca="false">IF(N7&gt;0,N7-E7,0)</f>
        <v>0</v>
      </c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 t="n">
        <f aca="false">IF(N8&gt;0,N8-E8,0)</f>
        <v>0</v>
      </c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4" t="n">
        <f aca="false">IF(N9&gt;0,N9-E9,0)</f>
        <v>0</v>
      </c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7" t="n">
        <f aca="false">IF(N10&gt;0,N10-E10,0)</f>
        <v>0</v>
      </c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4" t="n">
        <f aca="false">IF(N11&gt;0,N11-E11,0)</f>
        <v>0</v>
      </c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 t="n">
        <f aca="false">IF(N12&gt;0,N12-E12,0)</f>
        <v>0</v>
      </c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4" t="n">
        <f aca="false">IF(N13&gt;0,N13-E13,0)</f>
        <v>0</v>
      </c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7" t="n">
        <f aca="false">IF(N14&gt;0,N14-E14,0)</f>
        <v>0</v>
      </c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" t="n">
        <f aca="false">IF(N15&gt;0,N15-E15,0)</f>
        <v>0</v>
      </c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7" t="n">
        <f aca="false">IF(N16&gt;0,N16-E16,0)</f>
        <v>0</v>
      </c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4" t="n">
        <f aca="false">IF(N17&gt;0,N17-E17,0)</f>
        <v>0</v>
      </c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7" t="n">
        <f aca="false">IF(N18&gt;0,N18-E18,0)</f>
        <v>0</v>
      </c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4" t="n">
        <f aca="false">IF(N19&gt;0,N19-E19,0)</f>
        <v>0</v>
      </c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7" t="n">
        <f aca="false">IF(N20&gt;0,N20-E20,0)</f>
        <v>0</v>
      </c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4" t="n">
        <f aca="false">IF(N21&gt;0,N21-E21,0)</f>
        <v>0</v>
      </c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7" t="n">
        <f aca="false">IF(N22&gt;0,N22-E22,0)</f>
        <v>0</v>
      </c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4" t="n">
        <f aca="false">IF(N23&gt;0,N23-E23,0)</f>
        <v>0</v>
      </c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7" t="n">
        <f aca="false">IF(N24&gt;0,N24-E24,0)</f>
        <v>0</v>
      </c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8" min="4" style="0" width="12"/>
    <col collapsed="false" customWidth="true" hidden="false" outlineLevel="0" max="10" min="9" style="0" width="14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4" t="s">
        <v>2</v>
      </c>
      <c r="B4" s="14" t="s">
        <v>3</v>
      </c>
      <c r="C4" s="14" t="s">
        <v>76</v>
      </c>
      <c r="D4" s="14" t="s">
        <v>77</v>
      </c>
      <c r="E4" s="14" t="s">
        <v>78</v>
      </c>
      <c r="F4" s="14" t="s">
        <v>79</v>
      </c>
      <c r="G4" s="14" t="s">
        <v>80</v>
      </c>
      <c r="H4" s="14" t="s">
        <v>81</v>
      </c>
      <c r="I4" s="14" t="s">
        <v>82</v>
      </c>
      <c r="J4" s="14" t="s">
        <v>83</v>
      </c>
      <c r="K4" s="14" t="s">
        <v>84</v>
      </c>
      <c r="L4" s="14" t="s">
        <v>85</v>
      </c>
      <c r="M4" s="14" t="s">
        <v>86</v>
      </c>
      <c r="N4" s="14" t="s">
        <v>87</v>
      </c>
      <c r="O4" s="14" t="s">
        <v>20</v>
      </c>
      <c r="P4" s="14" t="s">
        <v>21</v>
      </c>
    </row>
    <row r="5" customFormat="false" ht="23.85" hidden="false" customHeight="false" outlineLevel="0" collapsed="false">
      <c r="A5" s="4" t="n">
        <v>1</v>
      </c>
      <c r="B5" s="5"/>
      <c r="C5" s="15" t="s">
        <v>6</v>
      </c>
      <c r="D5" s="5"/>
      <c r="E5" s="5"/>
      <c r="F5" s="5"/>
      <c r="G5" s="5"/>
      <c r="H5" s="5"/>
      <c r="I5" s="16" t="n">
        <f aca="false">H5-D5</f>
        <v>0</v>
      </c>
      <c r="J5" s="16" t="n">
        <f aca="false">IF(COUNTA(D5:H5)&gt;0,AVERAGE(D5:H5),0)</f>
        <v>0</v>
      </c>
      <c r="K5" s="16" t="n">
        <f aca="false">MAX(D5:H5)</f>
        <v>0</v>
      </c>
      <c r="L5" s="16" t="n">
        <f aca="false">MIN(D5:H5)</f>
        <v>0</v>
      </c>
      <c r="M5" s="5"/>
      <c r="N5" s="5"/>
      <c r="O5" s="5"/>
      <c r="P5" s="5"/>
    </row>
    <row r="6" customFormat="false" ht="23.85" hidden="false" customHeight="false" outlineLevel="0" collapsed="false">
      <c r="A6" s="7" t="n">
        <v>2</v>
      </c>
      <c r="B6" s="8"/>
      <c r="C6" s="17" t="s">
        <v>11</v>
      </c>
      <c r="D6" s="8"/>
      <c r="E6" s="8"/>
      <c r="F6" s="8"/>
      <c r="G6" s="8"/>
      <c r="H6" s="8"/>
      <c r="I6" s="18" t="n">
        <f aca="false">H6-D6</f>
        <v>0</v>
      </c>
      <c r="J6" s="18" t="n">
        <f aca="false">IF(COUNTA(D6:H6)&gt;0,AVERAGE(D6:H6),0)</f>
        <v>0</v>
      </c>
      <c r="K6" s="18" t="n">
        <f aca="false">MAX(D6:H6)</f>
        <v>0</v>
      </c>
      <c r="L6" s="18" t="n">
        <f aca="false">MIN(D6:H6)</f>
        <v>0</v>
      </c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15" t="s">
        <v>88</v>
      </c>
      <c r="D7" s="5"/>
      <c r="E7" s="5"/>
      <c r="F7" s="5"/>
      <c r="G7" s="5"/>
      <c r="H7" s="5"/>
      <c r="I7" s="16" t="n">
        <f aca="false">H7-D7</f>
        <v>0</v>
      </c>
      <c r="J7" s="16" t="n">
        <f aca="false">IF(COUNTA(D7:H7)&gt;0,AVERAGE(D7:H7),0)</f>
        <v>0</v>
      </c>
      <c r="K7" s="16" t="n">
        <f aca="false">MAX(D7:H7)</f>
        <v>0</v>
      </c>
      <c r="L7" s="16" t="n">
        <f aca="false">MIN(D7:H7)</f>
        <v>0</v>
      </c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17" t="s">
        <v>36</v>
      </c>
      <c r="D8" s="8"/>
      <c r="E8" s="8"/>
      <c r="F8" s="8"/>
      <c r="G8" s="8"/>
      <c r="H8" s="8"/>
      <c r="I8" s="18" t="n">
        <f aca="false">H8-D8</f>
        <v>0</v>
      </c>
      <c r="J8" s="18" t="n">
        <f aca="false">IF(COUNTA(D8:H8)&gt;0,AVERAGE(D8:H8),0)</f>
        <v>0</v>
      </c>
      <c r="K8" s="18" t="n">
        <f aca="false">MAX(D8:H8)</f>
        <v>0</v>
      </c>
      <c r="L8" s="18" t="n">
        <f aca="false">MIN(D8:H8)</f>
        <v>0</v>
      </c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15" t="s">
        <v>50</v>
      </c>
      <c r="D9" s="5"/>
      <c r="E9" s="5"/>
      <c r="F9" s="5"/>
      <c r="G9" s="5"/>
      <c r="H9" s="5"/>
      <c r="I9" s="16" t="n">
        <f aca="false">H9-D9</f>
        <v>0</v>
      </c>
      <c r="J9" s="16" t="n">
        <f aca="false">IF(COUNTA(D9:H9)&gt;0,AVERAGE(D9:H9),0)</f>
        <v>0</v>
      </c>
      <c r="K9" s="16" t="n">
        <f aca="false">MAX(D9:H9)</f>
        <v>0</v>
      </c>
      <c r="L9" s="16" t="n">
        <f aca="false">MIN(D9:H9)</f>
        <v>0</v>
      </c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17" t="s">
        <v>89</v>
      </c>
      <c r="D10" s="8"/>
      <c r="E10" s="8"/>
      <c r="F10" s="8"/>
      <c r="G10" s="8"/>
      <c r="H10" s="8"/>
      <c r="I10" s="18" t="n">
        <f aca="false">H10-D10</f>
        <v>0</v>
      </c>
      <c r="J10" s="18" t="n">
        <f aca="false">IF(COUNTA(D10:H10)&gt;0,AVERAGE(D10:H10),0)</f>
        <v>0</v>
      </c>
      <c r="K10" s="18" t="n">
        <f aca="false">MAX(D10:H10)</f>
        <v>0</v>
      </c>
      <c r="L10" s="18" t="n">
        <f aca="false">MIN(D10:H10)</f>
        <v>0</v>
      </c>
      <c r="M10" s="8"/>
      <c r="N10" s="8"/>
      <c r="O10" s="8"/>
      <c r="P10" s="8"/>
    </row>
    <row r="11" customFormat="false" ht="23.85" hidden="false" customHeight="false" outlineLevel="0" collapsed="false">
      <c r="A11" s="4" t="n">
        <v>7</v>
      </c>
      <c r="B11" s="5"/>
      <c r="C11" s="15" t="s">
        <v>14</v>
      </c>
      <c r="D11" s="5"/>
      <c r="E11" s="5"/>
      <c r="F11" s="5"/>
      <c r="G11" s="5"/>
      <c r="H11" s="5"/>
      <c r="I11" s="16" t="n">
        <f aca="false">H11-D11</f>
        <v>0</v>
      </c>
      <c r="J11" s="16" t="n">
        <f aca="false">IF(COUNTA(D11:H11)&gt;0,AVERAGE(D11:H11),0)</f>
        <v>0</v>
      </c>
      <c r="K11" s="16" t="n">
        <f aca="false">MAX(D11:H11)</f>
        <v>0</v>
      </c>
      <c r="L11" s="16" t="n">
        <f aca="false">MIN(D11:H11)</f>
        <v>0</v>
      </c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17" t="s">
        <v>90</v>
      </c>
      <c r="D12" s="8"/>
      <c r="E12" s="8"/>
      <c r="F12" s="8"/>
      <c r="G12" s="8"/>
      <c r="H12" s="8"/>
      <c r="I12" s="18" t="n">
        <f aca="false">H12-D12</f>
        <v>0</v>
      </c>
      <c r="J12" s="18" t="n">
        <f aca="false">IF(COUNTA(D12:H12)&gt;0,AVERAGE(D12:H12),0)</f>
        <v>0</v>
      </c>
      <c r="K12" s="18" t="n">
        <f aca="false">MAX(D12:H12)</f>
        <v>0</v>
      </c>
      <c r="L12" s="18" t="n">
        <f aca="false">MIN(D12:H12)</f>
        <v>0</v>
      </c>
      <c r="M12" s="8"/>
      <c r="N12" s="8"/>
      <c r="O12" s="8"/>
      <c r="P12" s="8"/>
    </row>
    <row r="13" customFormat="false" ht="23.85" hidden="false" customHeight="false" outlineLevel="0" collapsed="false">
      <c r="A13" s="4" t="n">
        <v>9</v>
      </c>
      <c r="B13" s="5"/>
      <c r="C13" s="15" t="s">
        <v>64</v>
      </c>
      <c r="D13" s="5"/>
      <c r="E13" s="5"/>
      <c r="F13" s="5"/>
      <c r="G13" s="5"/>
      <c r="H13" s="5"/>
      <c r="I13" s="16" t="n">
        <f aca="false">H13-D13</f>
        <v>0</v>
      </c>
      <c r="J13" s="16" t="n">
        <f aca="false">IF(COUNTA(D13:H13)&gt;0,AVERAGE(D13:H13),0)</f>
        <v>0</v>
      </c>
      <c r="K13" s="16" t="n">
        <f aca="false">MAX(D13:H13)</f>
        <v>0</v>
      </c>
      <c r="L13" s="16" t="n">
        <f aca="false">MIN(D13:H13)</f>
        <v>0</v>
      </c>
      <c r="M13" s="5"/>
      <c r="N13" s="5"/>
      <c r="O13" s="5"/>
      <c r="P13" s="5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2" min="10" style="0" width="14"/>
  </cols>
  <sheetData>
    <row r="1" customFormat="false" ht="30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9" t="s">
        <v>2</v>
      </c>
      <c r="B4" s="19" t="s">
        <v>93</v>
      </c>
      <c r="C4" s="19" t="s">
        <v>94</v>
      </c>
      <c r="D4" s="19" t="s">
        <v>95</v>
      </c>
      <c r="E4" s="19" t="s">
        <v>96</v>
      </c>
      <c r="F4" s="19" t="s">
        <v>97</v>
      </c>
      <c r="G4" s="19" t="s">
        <v>98</v>
      </c>
      <c r="H4" s="19" t="s">
        <v>99</v>
      </c>
      <c r="I4" s="19" t="s">
        <v>100</v>
      </c>
      <c r="J4" s="19" t="s">
        <v>101</v>
      </c>
      <c r="K4" s="19" t="s">
        <v>102</v>
      </c>
      <c r="L4" s="19" t="s">
        <v>21</v>
      </c>
    </row>
    <row r="5" customFormat="false" ht="35.05" hidden="false" customHeight="false" outlineLevel="0" collapsed="false">
      <c r="A5" s="4" t="n">
        <v>1</v>
      </c>
      <c r="B5" s="20" t="s">
        <v>103</v>
      </c>
      <c r="C5" s="21" t="s">
        <v>104</v>
      </c>
      <c r="D5" s="21" t="s">
        <v>105</v>
      </c>
      <c r="E5" s="4" t="s">
        <v>106</v>
      </c>
      <c r="F5" s="5"/>
      <c r="G5" s="5"/>
      <c r="H5" s="5"/>
      <c r="I5" s="5"/>
      <c r="J5" s="5"/>
      <c r="K5" s="5"/>
      <c r="L5" s="5"/>
    </row>
    <row r="6" customFormat="false" ht="35.05" hidden="false" customHeight="false" outlineLevel="0" collapsed="false">
      <c r="A6" s="7" t="n">
        <v>2</v>
      </c>
      <c r="B6" s="22" t="s">
        <v>107</v>
      </c>
      <c r="C6" s="23" t="s">
        <v>108</v>
      </c>
      <c r="D6" s="23" t="s">
        <v>109</v>
      </c>
      <c r="E6" s="7" t="s">
        <v>110</v>
      </c>
      <c r="F6" s="8"/>
      <c r="G6" s="8"/>
      <c r="H6" s="8"/>
      <c r="I6" s="8"/>
      <c r="J6" s="8"/>
      <c r="K6" s="8"/>
      <c r="L6" s="8"/>
    </row>
    <row r="7" customFormat="false" ht="35.05" hidden="false" customHeight="false" outlineLevel="0" collapsed="false">
      <c r="A7" s="4" t="n">
        <v>3</v>
      </c>
      <c r="B7" s="20" t="s">
        <v>111</v>
      </c>
      <c r="C7" s="21" t="s">
        <v>112</v>
      </c>
      <c r="D7" s="21" t="s">
        <v>113</v>
      </c>
      <c r="E7" s="4" t="s">
        <v>114</v>
      </c>
      <c r="F7" s="5"/>
      <c r="G7" s="5"/>
      <c r="H7" s="5"/>
      <c r="I7" s="5"/>
      <c r="J7" s="5"/>
      <c r="K7" s="5"/>
      <c r="L7" s="5"/>
    </row>
    <row r="8" customFormat="false" ht="35.05" hidden="false" customHeight="false" outlineLevel="0" collapsed="false">
      <c r="A8" s="7" t="n">
        <v>4</v>
      </c>
      <c r="B8" s="22" t="s">
        <v>115</v>
      </c>
      <c r="C8" s="23" t="s">
        <v>116</v>
      </c>
      <c r="D8" s="23" t="s">
        <v>117</v>
      </c>
      <c r="E8" s="7" t="s">
        <v>118</v>
      </c>
      <c r="F8" s="8"/>
      <c r="G8" s="8"/>
      <c r="H8" s="8"/>
      <c r="I8" s="8"/>
      <c r="J8" s="8"/>
      <c r="K8" s="8"/>
      <c r="L8" s="8"/>
    </row>
    <row r="9" customFormat="false" ht="35.05" hidden="false" customHeight="false" outlineLevel="0" collapsed="false">
      <c r="A9" s="4" t="n">
        <v>5</v>
      </c>
      <c r="B9" s="20" t="s">
        <v>119</v>
      </c>
      <c r="C9" s="21" t="s">
        <v>120</v>
      </c>
      <c r="D9" s="21" t="s">
        <v>121</v>
      </c>
      <c r="E9" s="4" t="s">
        <v>122</v>
      </c>
      <c r="F9" s="5"/>
      <c r="G9" s="5"/>
      <c r="H9" s="5"/>
      <c r="I9" s="5"/>
      <c r="J9" s="5"/>
      <c r="K9" s="5"/>
      <c r="L9" s="5"/>
    </row>
    <row r="10" customFormat="false" ht="23.85" hidden="false" customHeight="false" outlineLevel="0" collapsed="false">
      <c r="A10" s="7" t="n">
        <v>6</v>
      </c>
      <c r="B10" s="22" t="s">
        <v>123</v>
      </c>
      <c r="C10" s="23" t="s">
        <v>124</v>
      </c>
      <c r="D10" s="23" t="s">
        <v>125</v>
      </c>
      <c r="E10" s="7" t="s">
        <v>126</v>
      </c>
      <c r="F10" s="8"/>
      <c r="G10" s="8"/>
      <c r="H10" s="8"/>
      <c r="I10" s="8"/>
      <c r="J10" s="8"/>
      <c r="K10" s="8"/>
      <c r="L10" s="8"/>
    </row>
    <row r="11" customFormat="false" ht="35.05" hidden="false" customHeight="false" outlineLevel="0" collapsed="false">
      <c r="A11" s="4" t="n">
        <v>7</v>
      </c>
      <c r="B11" s="20" t="s">
        <v>127</v>
      </c>
      <c r="C11" s="21" t="s">
        <v>128</v>
      </c>
      <c r="D11" s="21" t="s">
        <v>129</v>
      </c>
      <c r="E11" s="4" t="s">
        <v>130</v>
      </c>
      <c r="F11" s="5"/>
      <c r="G11" s="5"/>
      <c r="H11" s="5"/>
      <c r="I11" s="5"/>
      <c r="J11" s="5"/>
      <c r="K11" s="5"/>
      <c r="L11" s="5"/>
    </row>
    <row r="12" customFormat="false" ht="35.05" hidden="false" customHeight="false" outlineLevel="0" collapsed="false">
      <c r="A12" s="7" t="n">
        <v>8</v>
      </c>
      <c r="B12" s="22" t="s">
        <v>131</v>
      </c>
      <c r="C12" s="23" t="s">
        <v>132</v>
      </c>
      <c r="D12" s="23" t="s">
        <v>133</v>
      </c>
      <c r="E12" s="7" t="s">
        <v>134</v>
      </c>
      <c r="F12" s="8"/>
      <c r="G12" s="8"/>
      <c r="H12" s="8"/>
      <c r="I12" s="8"/>
      <c r="J12" s="8"/>
      <c r="K12" s="8"/>
      <c r="L12" s="8"/>
    </row>
    <row r="13" customFormat="false" ht="35.05" hidden="false" customHeight="false" outlineLevel="0" collapsed="false">
      <c r="A13" s="4" t="n">
        <v>9</v>
      </c>
      <c r="B13" s="20" t="s">
        <v>135</v>
      </c>
      <c r="C13" s="21" t="s">
        <v>136</v>
      </c>
      <c r="D13" s="21" t="s">
        <v>137</v>
      </c>
      <c r="E13" s="4" t="s">
        <v>138</v>
      </c>
      <c r="F13" s="5"/>
      <c r="G13" s="5"/>
      <c r="H13" s="5"/>
      <c r="I13" s="5"/>
      <c r="J13" s="5"/>
      <c r="K13" s="5"/>
      <c r="L13" s="5"/>
    </row>
    <row r="14" customFormat="false" ht="35.05" hidden="false" customHeight="false" outlineLevel="0" collapsed="false">
      <c r="A14" s="7" t="n">
        <v>10</v>
      </c>
      <c r="B14" s="22" t="s">
        <v>139</v>
      </c>
      <c r="C14" s="23" t="s">
        <v>140</v>
      </c>
      <c r="D14" s="23" t="s">
        <v>141</v>
      </c>
      <c r="E14" s="7" t="s">
        <v>142</v>
      </c>
      <c r="F14" s="8"/>
      <c r="G14" s="8"/>
      <c r="H14" s="8"/>
      <c r="I14" s="8"/>
      <c r="J14" s="8"/>
      <c r="K14" s="8"/>
      <c r="L14" s="8"/>
    </row>
    <row r="15" customFormat="false" ht="35.05" hidden="false" customHeight="false" outlineLevel="0" collapsed="false">
      <c r="A15" s="4" t="n">
        <v>11</v>
      </c>
      <c r="B15" s="20" t="s">
        <v>143</v>
      </c>
      <c r="C15" s="21" t="s">
        <v>144</v>
      </c>
      <c r="D15" s="21" t="s">
        <v>145</v>
      </c>
      <c r="E15" s="4" t="s">
        <v>146</v>
      </c>
      <c r="F15" s="5"/>
      <c r="G15" s="5"/>
      <c r="H15" s="5"/>
      <c r="I15" s="5"/>
      <c r="J15" s="5"/>
      <c r="K15" s="5"/>
      <c r="L15" s="5"/>
    </row>
    <row r="16" customFormat="false" ht="35.05" hidden="false" customHeight="false" outlineLevel="0" collapsed="false">
      <c r="A16" s="7" t="n">
        <v>12</v>
      </c>
      <c r="B16" s="22" t="s">
        <v>147</v>
      </c>
      <c r="C16" s="23" t="s">
        <v>148</v>
      </c>
      <c r="D16" s="23" t="s">
        <v>149</v>
      </c>
      <c r="E16" s="7" t="s">
        <v>150</v>
      </c>
      <c r="F16" s="8"/>
      <c r="G16" s="8"/>
      <c r="H16" s="8"/>
      <c r="I16" s="8"/>
      <c r="J16" s="8"/>
      <c r="K16" s="8"/>
      <c r="L16" s="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151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2" t="s">
        <v>152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153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</row>
    <row r="5" customFormat="false" ht="57.45" hidden="false" customHeight="false" outlineLevel="0" collapsed="false">
      <c r="A5" s="24" t="s">
        <v>159</v>
      </c>
      <c r="B5" s="25" t="s">
        <v>160</v>
      </c>
      <c r="C5" s="25" t="s">
        <v>161</v>
      </c>
      <c r="D5" s="25" t="s">
        <v>162</v>
      </c>
      <c r="E5" s="25" t="s">
        <v>163</v>
      </c>
      <c r="F5" s="25" t="s">
        <v>164</v>
      </c>
    </row>
    <row r="6" customFormat="false" ht="57.45" hidden="false" customHeight="false" outlineLevel="0" collapsed="false">
      <c r="A6" s="24" t="s">
        <v>165</v>
      </c>
      <c r="B6" s="25" t="s">
        <v>166</v>
      </c>
      <c r="C6" s="25" t="s">
        <v>161</v>
      </c>
      <c r="D6" s="25" t="s">
        <v>167</v>
      </c>
      <c r="E6" s="25" t="s">
        <v>168</v>
      </c>
      <c r="F6" s="25" t="s">
        <v>164</v>
      </c>
    </row>
    <row r="7" customFormat="false" ht="46.25" hidden="false" customHeight="false" outlineLevel="0" collapsed="false">
      <c r="A7" s="24" t="s">
        <v>169</v>
      </c>
      <c r="B7" s="25" t="s">
        <v>170</v>
      </c>
      <c r="C7" s="25" t="s">
        <v>161</v>
      </c>
      <c r="D7" s="25" t="s">
        <v>171</v>
      </c>
      <c r="E7" s="25" t="s">
        <v>172</v>
      </c>
      <c r="F7" s="25" t="s">
        <v>164</v>
      </c>
    </row>
    <row r="8" customFormat="false" ht="46.25" hidden="false" customHeight="false" outlineLevel="0" collapsed="false">
      <c r="A8" s="24" t="s">
        <v>173</v>
      </c>
      <c r="B8" s="25" t="s">
        <v>174</v>
      </c>
      <c r="C8" s="25" t="s">
        <v>161</v>
      </c>
      <c r="D8" s="25" t="s">
        <v>175</v>
      </c>
      <c r="E8" s="25" t="s">
        <v>176</v>
      </c>
      <c r="F8" s="25" t="s">
        <v>164</v>
      </c>
    </row>
    <row r="9" customFormat="false" ht="57.45" hidden="false" customHeight="false" outlineLevel="0" collapsed="false">
      <c r="A9" s="24" t="s">
        <v>177</v>
      </c>
      <c r="B9" s="25" t="s">
        <v>178</v>
      </c>
      <c r="C9" s="25" t="s">
        <v>161</v>
      </c>
      <c r="D9" s="25" t="s">
        <v>179</v>
      </c>
      <c r="E9" s="25" t="s">
        <v>180</v>
      </c>
      <c r="F9" s="25" t="s">
        <v>164</v>
      </c>
    </row>
    <row r="12" customFormat="false" ht="24.75" hidden="false" customHeight="true" outlineLevel="0" collapsed="false">
      <c r="A12" s="2" t="s">
        <v>181</v>
      </c>
      <c r="B12" s="2"/>
      <c r="C12" s="2"/>
      <c r="D12" s="2"/>
      <c r="E12" s="2"/>
      <c r="F12" s="2"/>
    </row>
    <row r="13" customFormat="false" ht="15" hidden="false" customHeight="true" outlineLevel="0" collapsed="false">
      <c r="A13" s="26" t="s">
        <v>182</v>
      </c>
      <c r="B13" s="26"/>
      <c r="C13" s="26"/>
      <c r="D13" s="26"/>
      <c r="E13" s="26"/>
      <c r="F13" s="26"/>
    </row>
    <row r="14" customFormat="false" ht="23.85" hidden="false" customHeight="true" outlineLevel="0" collapsed="false">
      <c r="A14" s="26" t="s">
        <v>183</v>
      </c>
      <c r="B14" s="26"/>
      <c r="C14" s="26"/>
      <c r="D14" s="26"/>
      <c r="E14" s="26"/>
      <c r="F14" s="26"/>
    </row>
    <row r="15" customFormat="false" ht="23.85" hidden="false" customHeight="true" outlineLevel="0" collapsed="false">
      <c r="A15" s="26" t="s">
        <v>184</v>
      </c>
      <c r="B15" s="26"/>
      <c r="C15" s="26"/>
      <c r="D15" s="26"/>
      <c r="E15" s="26"/>
      <c r="F15" s="26"/>
    </row>
    <row r="16" customFormat="false" ht="23.85" hidden="false" customHeight="true" outlineLevel="0" collapsed="false">
      <c r="A16" s="26" t="s">
        <v>185</v>
      </c>
      <c r="B16" s="26"/>
      <c r="C16" s="26"/>
      <c r="D16" s="26"/>
      <c r="E16" s="26"/>
      <c r="F16" s="26"/>
    </row>
    <row r="17" customFormat="false" ht="23.85" hidden="false" customHeight="true" outlineLevel="0" collapsed="false">
      <c r="A17" s="26" t="s">
        <v>186</v>
      </c>
      <c r="B17" s="26"/>
      <c r="C17" s="26"/>
      <c r="D17" s="26"/>
      <c r="E17" s="26"/>
      <c r="F17" s="26"/>
    </row>
    <row r="18" customFormat="false" ht="23.85" hidden="false" customHeight="true" outlineLevel="0" collapsed="false">
      <c r="A18" s="26" t="s">
        <v>187</v>
      </c>
      <c r="B18" s="26"/>
      <c r="C18" s="26"/>
      <c r="D18" s="26"/>
      <c r="E18" s="26"/>
      <c r="F18" s="26"/>
    </row>
    <row r="19" customFormat="false" ht="23.85" hidden="false" customHeight="true" outlineLevel="0" collapsed="false">
      <c r="A19" s="26" t="s">
        <v>188</v>
      </c>
      <c r="B19" s="26"/>
      <c r="C19" s="26"/>
      <c r="D19" s="26"/>
      <c r="E19" s="26"/>
      <c r="F19" s="26"/>
    </row>
    <row r="20" customFormat="false" ht="15" hidden="false" customHeight="true" outlineLevel="0" collapsed="false">
      <c r="A20" s="26" t="s">
        <v>189</v>
      </c>
      <c r="B20" s="26"/>
      <c r="C20" s="26"/>
      <c r="D20" s="26"/>
      <c r="E20" s="26"/>
      <c r="F20" s="26"/>
    </row>
    <row r="21" customFormat="false" ht="23.85" hidden="false" customHeight="true" outlineLevel="0" collapsed="false">
      <c r="A21" s="26" t="s">
        <v>190</v>
      </c>
      <c r="B21" s="26"/>
      <c r="C21" s="26"/>
      <c r="D21" s="26"/>
      <c r="E21" s="26"/>
      <c r="F21" s="26"/>
    </row>
    <row r="22" customFormat="false" ht="23.85" hidden="false" customHeight="true" outlineLevel="0" collapsed="false">
      <c r="A22" s="26" t="s">
        <v>191</v>
      </c>
      <c r="B22" s="26"/>
      <c r="C22" s="26"/>
      <c r="D22" s="26"/>
      <c r="E22" s="26"/>
      <c r="F22" s="26"/>
    </row>
    <row r="23" customFormat="false" ht="23.85" hidden="false" customHeight="true" outlineLevel="0" collapsed="false">
      <c r="A23" s="26" t="s">
        <v>192</v>
      </c>
      <c r="B23" s="26"/>
      <c r="C23" s="26"/>
      <c r="D23" s="26"/>
      <c r="E23" s="26"/>
      <c r="F23" s="26"/>
    </row>
    <row r="24" customFormat="false" ht="23.85" hidden="false" customHeight="true" outlineLevel="0" collapsed="false">
      <c r="A24" s="26" t="s">
        <v>193</v>
      </c>
      <c r="B24" s="26"/>
      <c r="C24" s="26"/>
      <c r="D24" s="26"/>
      <c r="E24" s="26"/>
      <c r="F24" s="26"/>
    </row>
    <row r="25" customFormat="false" ht="23.85" hidden="false" customHeight="true" outlineLevel="0" collapsed="false">
      <c r="A25" s="26" t="s">
        <v>194</v>
      </c>
      <c r="B25" s="26"/>
      <c r="C25" s="26"/>
      <c r="D25" s="26"/>
      <c r="E25" s="26"/>
      <c r="F25" s="26"/>
    </row>
    <row r="26" customFormat="false" ht="23.85" hidden="false" customHeight="true" outlineLevel="0" collapsed="false">
      <c r="A26" s="26" t="s">
        <v>195</v>
      </c>
      <c r="B26" s="26"/>
      <c r="C26" s="26"/>
      <c r="D26" s="26"/>
      <c r="E26" s="26"/>
      <c r="F26" s="26"/>
    </row>
    <row r="28" customFormat="false" ht="24.75" hidden="false" customHeight="true" outlineLevel="0" collapsed="false">
      <c r="A28" s="2" t="s">
        <v>196</v>
      </c>
      <c r="B28" s="2"/>
      <c r="C28" s="2"/>
      <c r="D28" s="2"/>
      <c r="E28" s="2"/>
      <c r="F28" s="2"/>
    </row>
    <row r="29" customFormat="false" ht="15" hidden="false" customHeight="true" outlineLevel="0" collapsed="false">
      <c r="A29" s="26" t="s">
        <v>197</v>
      </c>
      <c r="B29" s="26"/>
      <c r="C29" s="26"/>
      <c r="D29" s="26"/>
      <c r="E29" s="26"/>
      <c r="F29" s="26"/>
    </row>
    <row r="30" customFormat="false" ht="15" hidden="false" customHeight="true" outlineLevel="0" collapsed="false">
      <c r="A30" s="26" t="s">
        <v>198</v>
      </c>
      <c r="B30" s="26"/>
      <c r="C30" s="26"/>
      <c r="D30" s="26"/>
      <c r="E30" s="26"/>
      <c r="F30" s="26"/>
    </row>
    <row r="31" customFormat="false" ht="15" hidden="false" customHeight="true" outlineLevel="0" collapsed="false">
      <c r="A31" s="26" t="s">
        <v>199</v>
      </c>
      <c r="B31" s="26"/>
      <c r="C31" s="26"/>
      <c r="D31" s="26"/>
      <c r="E31" s="26"/>
      <c r="F31" s="26"/>
    </row>
    <row r="32" customFormat="false" ht="15" hidden="false" customHeight="true" outlineLevel="0" collapsed="false">
      <c r="A32" s="26" t="s">
        <v>200</v>
      </c>
      <c r="B32" s="26"/>
      <c r="C32" s="26"/>
      <c r="D32" s="26"/>
      <c r="E32" s="26"/>
      <c r="F32" s="26"/>
    </row>
    <row r="33" customFormat="false" ht="15" hidden="false" customHeight="true" outlineLevel="0" collapsed="false">
      <c r="A33" s="26" t="s">
        <v>201</v>
      </c>
      <c r="B33" s="26"/>
      <c r="C33" s="26"/>
      <c r="D33" s="26"/>
      <c r="E33" s="26"/>
      <c r="F33" s="26"/>
    </row>
    <row r="34" customFormat="false" ht="15" hidden="false" customHeight="true" outlineLevel="0" collapsed="false">
      <c r="A34" s="26" t="s">
        <v>202</v>
      </c>
      <c r="B34" s="26"/>
      <c r="C34" s="26"/>
      <c r="D34" s="26"/>
      <c r="E34" s="26"/>
      <c r="F34" s="26"/>
    </row>
    <row r="35" customFormat="false" ht="15" hidden="false" customHeight="true" outlineLevel="0" collapsed="false">
      <c r="A35" s="26" t="s">
        <v>203</v>
      </c>
      <c r="B35" s="26"/>
      <c r="C35" s="26"/>
      <c r="D35" s="26"/>
      <c r="E35" s="26"/>
      <c r="F35" s="26"/>
    </row>
    <row r="36" customFormat="false" ht="15" hidden="false" customHeight="true" outlineLevel="0" collapsed="false">
      <c r="A36" s="26" t="s">
        <v>204</v>
      </c>
      <c r="B36" s="26"/>
      <c r="C36" s="26"/>
      <c r="D36" s="26"/>
      <c r="E36" s="26"/>
      <c r="F36" s="26"/>
    </row>
    <row r="37" customFormat="false" ht="15" hidden="false" customHeight="true" outlineLevel="0" collapsed="false">
      <c r="A37" s="26" t="s">
        <v>205</v>
      </c>
      <c r="B37" s="26"/>
      <c r="C37" s="26"/>
      <c r="D37" s="26"/>
      <c r="E37" s="26"/>
      <c r="F37" s="26"/>
    </row>
  </sheetData>
  <mergeCells count="27">
    <mergeCell ref="A1:F1"/>
    <mergeCell ref="A3:F3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2026-04-14T12:01:22Z</dcterms:created>
  <dc:creator>openpyxl</dc:creator>
  <dc:description/>
  <dc:language>en-US</dc:language>
  <cp:lastModifiedBy/>
  <dcterms:modified xsi:type="dcterms:W3CDTF">2026-04-14T12:01:22Z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