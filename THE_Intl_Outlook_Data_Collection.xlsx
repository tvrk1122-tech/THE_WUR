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ational Students" sheetId="1" state="visible" r:id="rId3"/>
    <sheet name="International Staff" sheetId="2" state="visible" r:id="rId4"/>
    <sheet name="Intl Co-authorship" sheetId="3" state="visible" r:id="rId5"/>
    <sheet name="Composite Intl Score" sheetId="4" state="visible" r:id="rId6"/>
    <sheet name="MoU &amp; Partnership Tracker" sheetId="5" state="visible" r:id="rId7"/>
    <sheet name="Year-on-Year Tracker" sheetId="6" state="visible" r:id="rId8"/>
    <sheet name="HEI Improvement Action Plan" sheetId="7" state="visible" r:id="rId9"/>
    <sheet name="Metadata &amp; Instruc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<sst xmlns="http://schemas.openxmlformats.org/spreadsheetml/2006/main" count="222" uniqueCount="177">
  <si>
    <t xml:space="preserve">THE International Outlook — International Students (Proportion of International to Domestic) — Weight: 2.5%</t>
  </si>
  <si>
    <t xml:space="preserve">International Student FTE / Total Student FTE | Measures Global Attractiveness &amp; Campus Diversity</t>
  </si>
  <si>
    <t xml:space="preserve">S.No.</t>
  </si>
  <si>
    <t xml:space="preserve">HEI Name</t>
  </si>
  <si>
    <t xml:space="preserve">Country</t>
  </si>
  <si>
    <t xml:space="preserve">Year</t>
  </si>
  <si>
    <t xml:space="preserve">Total Students (FTE)</t>
  </si>
  <si>
    <t xml:space="preserve">International Students (FTE)</t>
  </si>
  <si>
    <t xml:space="preserve">% International Students</t>
  </si>
  <si>
    <t xml:space="preserve">Score (0-100)</t>
  </si>
  <si>
    <t xml:space="preserve">UG International</t>
  </si>
  <si>
    <t xml:space="preserve">PG International</t>
  </si>
  <si>
    <t xml:space="preserve">PhD International</t>
  </si>
  <si>
    <t xml:space="preserve">Top Source Countries (No.)</t>
  </si>
  <si>
    <t xml:space="preserve">Scholarship for Intl Students (Y/N)</t>
  </si>
  <si>
    <t xml:space="preserve">Study Abroad Programmes</t>
  </si>
  <si>
    <t xml:space="preserve">Data Source</t>
  </si>
  <si>
    <t xml:space="preserve">Remarks</t>
  </si>
  <si>
    <t xml:space="preserve">THE International Outlook — International Staff (Proportion of International to Domestic) — Weight: 2.5%</t>
  </si>
  <si>
    <t xml:space="preserve">International Academic Staff FTE / Total Academic Staff FTE | Measures Faculty Diversity &amp; Global Talent Attraction</t>
  </si>
  <si>
    <t xml:space="preserve">Total Academic Staff (FTE)</t>
  </si>
  <si>
    <t xml:space="preserve">International Staff (FTE)</t>
  </si>
  <si>
    <t xml:space="preserve">% International Staff</t>
  </si>
  <si>
    <t xml:space="preserve">Visiting International Faculty</t>
  </si>
  <si>
    <t xml:space="preserve">International Research Fellows</t>
  </si>
  <si>
    <t xml:space="preserve">Nationalities Represented</t>
  </si>
  <si>
    <t xml:space="preserve">Joint/Dual Appointments</t>
  </si>
  <si>
    <t xml:space="preserve">Faculty Exchange Agreements</t>
  </si>
  <si>
    <t xml:space="preserve">Intl Recruitment Strategy (Y/N)</t>
  </si>
  <si>
    <t xml:space="preserve">THE International Outlook — International Co-authorship (Proportion with ≥1 International Co-author) — Weight: 2.5%</t>
  </si>
  <si>
    <t xml:space="preserve">Scopus Publications with ≥1 International Co-author / Total Publications | 5-Year Window | Measures Global Research Collaboration</t>
  </si>
  <si>
    <t xml:space="preserve">Total Scopus Publications (5-yr)</t>
  </si>
  <si>
    <t xml:space="preserve">Intl Co-authored Papers</t>
  </si>
  <si>
    <t xml:space="preserve">% Intl Co-authored</t>
  </si>
  <si>
    <t xml:space="preserve">Partner Countries (No.)</t>
  </si>
  <si>
    <t xml:space="preserve">Top Partner Institutions</t>
  </si>
  <si>
    <t xml:space="preserve">Joint Research Projects</t>
  </si>
  <si>
    <t xml:space="preserve">International Grants</t>
  </si>
  <si>
    <t xml:space="preserve">International MoUs Active</t>
  </si>
  <si>
    <t xml:space="preserve">Dual-Degree Programmes</t>
  </si>
  <si>
    <t xml:space="preserve">THE International Outlook — Composite Score Calculation (7.5% of Overall THE Rankings)</t>
  </si>
  <si>
    <t xml:space="preserve">International Students 2.5% | International Staff 2.5% | International Co-authorship 2.5% = 7.5% Total</t>
  </si>
  <si>
    <t xml:space="preserve">Intl Students Score (0-100)</t>
  </si>
  <si>
    <t xml:space="preserve">Intl Staff Score (0-100)</t>
  </si>
  <si>
    <t xml:space="preserve">Intl Co-auth Score (0-100)</t>
  </si>
  <si>
    <t xml:space="preserve">Wtd Students (2.5%)</t>
  </si>
  <si>
    <t xml:space="preserve">Wtd Staff (2.5%)</t>
  </si>
  <si>
    <t xml:space="preserve">Wtd Co-auth (2.5%)</t>
  </si>
  <si>
    <t xml:space="preserve">Total Intl Outlook (7.5%)</t>
  </si>
  <si>
    <t xml:space="preserve">Global Rank</t>
  </si>
  <si>
    <t xml:space="preserve">THE International Outlook — International MoU, Partnership &amp; Collaboration Tracker</t>
  </si>
  <si>
    <t xml:space="preserve">Track Active MoUs | Partner Institutions | Countries | Exchange | Joint Research | Dual Degrees | Funding</t>
  </si>
  <si>
    <t xml:space="preserve">Partner Institution</t>
  </si>
  <si>
    <t xml:space="preserve">MoU Type</t>
  </si>
  <si>
    <t xml:space="preserve">Date Signed</t>
  </si>
  <si>
    <t xml:space="preserve">Valid Until</t>
  </si>
  <si>
    <t xml:space="preserve">Status (Active/Expired)</t>
  </si>
  <si>
    <t xml:space="preserve">Student Exchange (No.)</t>
  </si>
  <si>
    <t xml:space="preserve">Faculty Exchange (No.)</t>
  </si>
  <si>
    <t xml:space="preserve">Joint Publications</t>
  </si>
  <si>
    <t xml:space="preserve">Joint Degrees (Y/N)</t>
  </si>
  <si>
    <t xml:space="preserve">Funding (INR Lakh)</t>
  </si>
  <si>
    <t xml:space="preserve">THE International Outlook — Year-on-Year Performance Tracker (5-Year Trend)</t>
  </si>
  <si>
    <t xml:space="preserve">Track Annual Scores &amp; Trends | Benchmark Against Peers | Identify Improvement Areas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</si>
  <si>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</si>
  <si>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</si>
  <si>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</si>
  <si>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</si>
  <si>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</si>
  <si>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</si>
  <si>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5-Yr Change</t>
  </si>
  <si>
    <t xml:space="preserve">5-Yr Avg</t>
  </si>
  <si>
    <t xml:space="preserve">Best</t>
  </si>
  <si>
    <t xml:space="preserve">Worst</t>
  </si>
  <si>
    <t xml:space="preserve">Trend (↑/↓/→)</t>
  </si>
  <si>
    <t xml:space="preserve">Peer Benchmark</t>
  </si>
  <si>
    <t xml:space="preserve">International Students (2.5%)</t>
  </si>
  <si>
    <t xml:space="preserve">International Staff (2.5%)</t>
  </si>
  <si>
    <t xml:space="preserve">International Co-authorship (2.5%)</t>
  </si>
  <si>
    <t xml:space="preserve">Composite International Outlook (7.5%)</t>
  </si>
  <si>
    <t xml:space="preserve">THE International Outlook — HEI Improvement Action Plan &amp; Evidence Matrix</t>
  </si>
  <si>
    <t xml:space="preserve">Targeted Actions to Improve Each International Indicator | Responsible | Timeline | Evidence | Status</t>
  </si>
  <si>
    <t xml:space="preserve">THE Indicator</t>
  </si>
  <si>
    <t xml:space="preserve">Current Gap / Issue</t>
  </si>
  <si>
    <t xml:space="preserve">Improvement Action</t>
  </si>
  <si>
    <t xml:space="preserve">Target Outcome</t>
  </si>
  <si>
    <t xml:space="preserve">Responsible Officer</t>
  </si>
  <si>
    <t xml:space="preserve">Timeline</t>
  </si>
  <si>
    <t xml:space="preserve">Evidence / Document</t>
  </si>
  <si>
    <t xml:space="preserve">Budget (INR Lakh)</t>
  </si>
  <si>
    <t xml:space="preserve">Status (✓/IP/✗)</t>
  </si>
  <si>
    <t xml:space="preserve">% Progress</t>
  </si>
  <si>
    <t xml:space="preserve">Intl Students (2.5%)</t>
  </si>
  <si>
    <t xml:space="preserve">Low international student enrollment</t>
  </si>
  <si>
    <t xml:space="preserve">Launch targeted international marketing; scholarship programmes; Study in India campaigns</t>
  </si>
  <si>
    <t xml:space="preserve">Intl students ≥5%</t>
  </si>
  <si>
    <t xml:space="preserve">Limited support infrastructure</t>
  </si>
  <si>
    <t xml:space="preserve">Establish International Student Office; visa support; housing; cultural integration programmes</t>
  </si>
  <si>
    <t xml:space="preserve">Office operational</t>
  </si>
  <si>
    <t xml:space="preserve">Few Study Abroad programmes</t>
  </si>
  <si>
    <t xml:space="preserve">Develop semester exchange, twinning, dual-degree programmes with foreign universities</t>
  </si>
  <si>
    <t xml:space="preserve">Programmes launched</t>
  </si>
  <si>
    <t xml:space="preserve">Intl Staff (2.5%)</t>
  </si>
  <si>
    <t xml:space="preserve">Very few international faculty</t>
  </si>
  <si>
    <t xml:space="preserve">Recruit international faculty via global job portals; offer competitive packages; housing support</t>
  </si>
  <si>
    <t xml:space="preserve">Intl staff ≥5%</t>
  </si>
  <si>
    <t xml:space="preserve">Limited visiting professor scheme</t>
  </si>
  <si>
    <t xml:space="preserve">Establish funded visiting/adjunct positions; GIAN scheme; sabbatical exchanges</t>
  </si>
  <si>
    <t xml:space="preserve">Visitors increasing</t>
  </si>
  <si>
    <t xml:space="preserve">No international research fellows</t>
  </si>
  <si>
    <t xml:space="preserve">Create international post-doc fellowships; joint supervision; dual-affiliation agreements</t>
  </si>
  <si>
    <t xml:space="preserve">Fellows recruited</t>
  </si>
  <si>
    <t xml:space="preserve">Intl Co-auth (2.5%)</t>
  </si>
  <si>
    <t xml:space="preserve">Low international co-authorship</t>
  </si>
  <si>
    <t xml:space="preserve">Identify international research partners; joint proposals; conference networking; seed grants</t>
  </si>
  <si>
    <t xml:space="preserve">Co-auth ≥25%</t>
  </si>
  <si>
    <t xml:space="preserve">Few international MoUs active</t>
  </si>
  <si>
    <t xml:space="preserve">Activate dormant MoUs; sign new agreements with ranked universities; track deliverables</t>
  </si>
  <si>
    <t xml:space="preserve">MoUs active ≥20</t>
  </si>
  <si>
    <t xml:space="preserve">Limited international grants</t>
  </si>
  <si>
    <t xml:space="preserve">Apply to bilateral (Indo-UK/EU/US/Japan) and multilateral (UNESCO/UNDP) research grants</t>
  </si>
  <si>
    <t xml:space="preserve">Grants secured</t>
  </si>
  <si>
    <t xml:space="preserve">Overall Intl Outlook</t>
  </si>
  <si>
    <t xml:space="preserve">No International Relations Office</t>
  </si>
  <si>
    <t xml:space="preserve">Establish International Relations &amp; Rankings Cell; assign coordinator; quarterly reviews</t>
  </si>
  <si>
    <t xml:space="preserve">IRO established</t>
  </si>
  <si>
    <t xml:space="preserve">Weak global visibility</t>
  </si>
  <si>
    <t xml:space="preserve">Participate in international fairs, THE events, QS conferences; media/social media outreach</t>
  </si>
  <si>
    <t xml:space="preserve">Visibility improved</t>
  </si>
  <si>
    <t xml:space="preserve">No internationalization strategy</t>
  </si>
  <si>
    <t xml:space="preserve">Develop comprehensive Internationalization Policy with targets, KPIs, budget, and governance</t>
  </si>
  <si>
    <t xml:space="preserve">Strategy adopted</t>
  </si>
  <si>
    <t xml:space="preserve">THE World University Rankings — International Outlook — Metadata &amp; Instructions</t>
  </si>
  <si>
    <t xml:space="preserve">THE International Outlook Indicator Framework (7.5% of Overall Score)</t>
  </si>
  <si>
    <t xml:space="preserve">#</t>
  </si>
  <si>
    <t xml:space="preserve">Indicator</t>
  </si>
  <si>
    <t xml:space="preserve">Weight</t>
  </si>
  <si>
    <t xml:space="preserve">Description &amp; Calculation</t>
  </si>
  <si>
    <t xml:space="preserve">Key Data Points</t>
  </si>
  <si>
    <t xml:space="preserve">Freq.</t>
  </si>
  <si>
    <t xml:space="preserve">International Students</t>
  </si>
  <si>
    <t xml:space="preserve">2.5%</t>
  </si>
  <si>
    <t xml:space="preserve">International student FTE as proportion of total student FTE. Measures global attractiveness and campus diversity. Higher % = more internationally appealing institution.</t>
  </si>
  <si>
    <t xml:space="preserve">Total students FTE, international students FTE, % international, UG/PG/PhD breakdown, source countries, scholarships</t>
  </si>
  <si>
    <t xml:space="preserve">Annual</t>
  </si>
  <si>
    <t xml:space="preserve">International Staff</t>
  </si>
  <si>
    <t xml:space="preserve">International academic staff FTE as proportion of total academic staff FTE. Measures faculty diversity and ability to attract global talent. Includes permanent and visiting.</t>
  </si>
  <si>
    <t xml:space="preserve">Total staff FTE, international staff FTE, % international, visiting faculty, research fellows, nationalities, exchange agreements</t>
  </si>
  <si>
    <t xml:space="preserve">International Co-authorship</t>
  </si>
  <si>
    <t xml:space="preserve">Proportion of Scopus-indexed publications with at least one international co-author. 5-year window. Measures depth of global research collaboration networks.</t>
  </si>
  <si>
    <t xml:space="preserve">Total Scopus publications (5-yr), intl co-authored papers, % intl, partner countries, joint projects, MoUs, dual degrees</t>
  </si>
  <si>
    <t xml:space="preserve">—</t>
  </si>
  <si>
    <t xml:space="preserve">Composite Intl Score</t>
  </si>
  <si>
    <t xml:space="preserve">7.5%</t>
  </si>
  <si>
    <t xml:space="preserve">Weighted sum: Students(2.5%) + Staff(2.5%) + Co-authorship(2.5%). Accounts for 7.5% of the overall THE World University Rankings score.</t>
  </si>
  <si>
    <t xml:space="preserve">All 3 component scores, weighted calculations, composite score</t>
  </si>
  <si>
    <t xml:space="preserve">Data Collection Instructions</t>
  </si>
  <si>
    <t xml:space="preserve">1. Blue font = INPUT. Black font = AUTO-CALCULATED — do NOT overwrite formulas.</t>
  </si>
  <si>
    <t xml:space="preserve">2. International Students: Count students with foreign nationality/passport. Include full-time and convert part-time to FTE. Exclude online-only foreign students.</t>
  </si>
  <si>
    <t xml:space="preserve">3. International Staff: Count academic staff with foreign nationality/passport on institutional payroll. Include visiting professors with ≥1 semester appointment. Convert part-time to FTE.</t>
  </si>
  <si>
    <t xml:space="preserve">4. International Co-authorship: Count Scopus-indexed publications with ≥1 author from a foreign institution. 5-year rolling window. Verify affiliations in Scopus author profiles.</t>
  </si>
  <si>
    <t xml:space="preserve">5. Indian HEI Context: India typically has low international student/staff ratios compared to global peers. Key strategies include ICCR scholarships, Study in India programme, GIAN scheme, bilateral MoUs.</t>
  </si>
  <si>
    <t xml:space="preserve">6. GIAN (Global Initiative of Academic Networks): MoE programme bringing international faculty to Indian HEIs for short courses. Counts toward international staff engagement.</t>
  </si>
  <si>
    <t xml:space="preserve">7. Study in India: MoE initiative to attract international students with fee waivers and scholarships. Target countries: Africa, SAARC, ASEAN, Central Asia.</t>
  </si>
  <si>
    <t xml:space="preserve">8. MoU Tracker: Use sheet 5 to record all international partnerships — partner institution, country, type, dates, exchange numbers, joint publications, joint projects, funding.</t>
  </si>
  <si>
    <t xml:space="preserve">9. Composite Score: Auto-calculated: 2.5% + 2.5% + 2.5% = 7.5% of total THE World University Rankings.</t>
  </si>
  <si>
    <t xml:space="preserve">10. Action Plan: 12 pre-filled targeted actions covering all 3 indicators + overall internationalization strategy.</t>
  </si>
  <si>
    <t xml:space="preserve">11. Key Indian programmes: ICCR scholarships, GIAN, Study in India, SPARC (international research), Bilateral S&amp;T agreements (Indo-UK/EU/US/Japan/Australia).</t>
  </si>
  <si>
    <t xml:space="preserve">12. Scopus Affiliation: Ensure all international co-authors have correct institutional affiliations in Scopus. Missing/incorrect affiliations lose credit for HEI.</t>
  </si>
  <si>
    <t xml:space="preserve">13. Validate: AISHE (international student data), NIRF, institutional MoU register, Scopus, THE data portal, ICCR, MoE Study in India dashboard.</t>
  </si>
  <si>
    <t xml:space="preserve">THE Overall Rankings Pillar Structure (for context)</t>
  </si>
  <si>
    <t xml:space="preserve">• TEACHING (The Learning Environment) — 30%: Reputation (15%) + Staff:Student (4.5%) + Doct:Bachelor (2.25%) + Doct:Staff (6%) + Income:Staff (2.25%)</t>
  </si>
  <si>
    <t xml:space="preserve">• RESEARCH ENVIRONMENT — 30%: Reputation (18%) + Research Income (6%) + Research Productivity (6%)</t>
  </si>
  <si>
    <t xml:space="preserve">• RESEARCH QUALITY — 30%: Citation Impact/FWCI (15%) + Research Strength (5%) + Research Excellence (5%) + Research Influence (5%)</t>
  </si>
  <si>
    <t xml:space="preserve">• INTERNATIONAL OUTLOOK — 7.5%: International Students (2.5%) + International Staff (2.5%) + International Co-authorship (2.5%)</t>
  </si>
  <si>
    <t xml:space="preserve">• INDUSTRY — 2.5%: Industry Income from Knowledge Transfer (2.5%)</t>
  </si>
  <si>
    <t xml:space="preserve">• TOTAL = 100% — Teaching 30% + Research Environment 30% + Research Quality 30% + International 7.5% + Industry 2.5%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</si>
</sst>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277BD"/>
        <bgColor rgb="FF0288D1"/>
      </patternFill>
    </fill>
    <fill>
      <patternFill patternType="solid">
        <fgColor rgb="FF0288D1"/>
        <bgColor rgb="FF0277B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01579B"/>
        <bgColor rgb="FF006064"/>
      </patternFill>
    </fill>
    <fill>
      <patternFill patternType="solid">
        <fgColor rgb="FF006064"/>
        <bgColor rgb="FF00695C"/>
      </patternFill>
    </fill>
    <fill>
      <patternFill patternType="solid">
        <fgColor rgb="FF00695C"/>
        <bgColor rgb="FF006064"/>
      </patternFill>
    </fill>
    <fill>
      <patternFill patternType="solid">
        <fgColor rgb="FFE65100"/>
        <bgColor rgb="FF993300"/>
      </patternFill>
    </fill>
    <fill>
      <patternFill patternType="solid">
        <fgColor rgb="FF37474F"/>
        <bgColor rgb="FF404040"/>
      </patternFill>
    </fill>
    <fill>
      <patternFill patternType="solid">
        <fgColor rgb="FF004D40"/>
        <bgColor rgb="FF0060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B4B4B4"/>
      <rgbColor rgb="FF808080"/>
      <rgbColor rgb="FF9999FF"/>
      <rgbColor rgb="FF993366"/>
      <rgbColor rgb="FFF2F2F2"/>
      <rgbColor rgb="FFCCFFFF"/>
      <rgbColor rgb="FF660066"/>
      <rgbColor rgb="FFFF8080"/>
      <rgbColor rgb="FF0277BD"/>
      <rgbColor rgb="FFCCCCFF"/>
      <rgbColor rgb="FF000080"/>
      <rgbColor rgb="FFFF00FF"/>
      <rgbColor rgb="FFFFFF00"/>
      <rgbColor rgb="FF00FFFF"/>
      <rgbColor rgb="FF800080"/>
      <rgbColor rgb="FF800000"/>
      <rgbColor rgb="FF00606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0288D1"/>
      <rgbColor rgb="FF33CCCC"/>
      <rgbColor rgb="FF99CC00"/>
      <rgbColor rgb="FFFFCC00"/>
      <rgbColor rgb="FFFF9900"/>
      <rgbColor rgb="FFE65100"/>
      <rgbColor rgb="FF01579B"/>
      <rgbColor rgb="FF969696"/>
      <rgbColor rgb="FF004D40"/>
      <rgbColor rgb="FF339966"/>
      <rgbColor rgb="FF003300"/>
      <rgbColor rgb="FF333300"/>
      <rgbColor rgb="FF993300"/>
      <rgbColor rgb="FF993366"/>
      <rgbColor rgb="FF37474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77BD"/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11" min="9" style="0" width="20"/>
    <col collapsed="false" customWidth="true" hidden="false" outlineLevel="0" max="12" min="12" style="0" width="24"/>
    <col collapsed="false" customWidth="true" hidden="false" outlineLevel="0" max="13" min="13" style="0" width="26"/>
    <col collapsed="false" customWidth="true" hidden="false" outlineLevel="0" max="14" min="14" style="0" width="24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6" t="n">
        <f aca="false">IF(E5&gt;0,F5/E5*100,0)</f>
        <v>0</v>
      </c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9" t="n">
        <f aca="false">IF(E6&gt;0,F6/E6*100,0)</f>
        <v>0</v>
      </c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6" t="n">
        <f aca="false">IF(E7&gt;0,F7/E7*100,0)</f>
        <v>0</v>
      </c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9" t="n">
        <f aca="false">IF(E8&gt;0,F8/E8*100,0)</f>
        <v>0</v>
      </c>
      <c r="H8" s="8"/>
      <c r="I8" s="8"/>
      <c r="J8" s="8"/>
      <c r="K8" s="8"/>
      <c r="L8" s="8"/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6" t="n">
        <f aca="false">IF(E9&gt;0,F9/E9*100,0)</f>
        <v>0</v>
      </c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9" t="n">
        <f aca="false">IF(E10&gt;0,F10/E10*100,0)</f>
        <v>0</v>
      </c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6" t="n">
        <f aca="false">IF(E11&gt;0,F11/E11*100,0)</f>
        <v>0</v>
      </c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9" t="n">
        <f aca="false">IF(E12&gt;0,F12/E12*100,0)</f>
        <v>0</v>
      </c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6" t="n">
        <f aca="false">IF(E13&gt;0,F13/E13*100,0)</f>
        <v>0</v>
      </c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9" t="n">
        <f aca="false">IF(E14&gt;0,F14/E14*100,0)</f>
        <v>0</v>
      </c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6" t="n">
        <f aca="false">IF(E15&gt;0,F15/E15*100,0)</f>
        <v>0</v>
      </c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9" t="n">
        <f aca="false">IF(E16&gt;0,F16/E16*100,0)</f>
        <v>0</v>
      </c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6" t="n">
        <f aca="false">IF(E17&gt;0,F17/E17*100,0)</f>
        <v>0</v>
      </c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9" t="n">
        <f aca="false">IF(E18&gt;0,F18/E18*100,0)</f>
        <v>0</v>
      </c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6" t="n">
        <f aca="false">IF(E19&gt;0,F19/E19*100,0)</f>
        <v>0</v>
      </c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9" t="n">
        <f aca="false">IF(E20&gt;0,F20/E20*100,0)</f>
        <v>0</v>
      </c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6" t="n">
        <f aca="false">IF(E21&gt;0,F21/E21*100,0)</f>
        <v>0</v>
      </c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9" t="n">
        <f aca="false">IF(E22&gt;0,F22/E22*100,0)</f>
        <v>0</v>
      </c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6" t="n">
        <f aca="false">IF(E23&gt;0,F23/E23*100,0)</f>
        <v>0</v>
      </c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9" t="n">
        <f aca="false">IF(E24&gt;0,F24/E24*100,0)</f>
        <v>0</v>
      </c>
      <c r="H24" s="8"/>
      <c r="I24" s="8"/>
      <c r="J24" s="8"/>
      <c r="K24" s="8"/>
      <c r="L24" s="8"/>
      <c r="M24" s="8"/>
      <c r="N24" s="8"/>
      <c r="O24" s="8"/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579B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24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11" min="9" style="0" width="24"/>
    <col collapsed="false" customWidth="true" hidden="false" outlineLevel="0" max="12" min="12" style="0" width="22"/>
    <col collapsed="false" customWidth="true" hidden="false" outlineLevel="0" max="13" min="13" style="0" width="24"/>
    <col collapsed="false" customWidth="true" hidden="false" outlineLevel="0" max="14" min="14" style="0" width="26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10" t="s">
        <v>2</v>
      </c>
      <c r="B4" s="10" t="s">
        <v>3</v>
      </c>
      <c r="C4" s="10" t="s">
        <v>4</v>
      </c>
      <c r="D4" s="10" t="s">
        <v>5</v>
      </c>
      <c r="E4" s="10" t="s">
        <v>20</v>
      </c>
      <c r="F4" s="10" t="s">
        <v>21</v>
      </c>
      <c r="G4" s="10" t="s">
        <v>22</v>
      </c>
      <c r="H4" s="10" t="s">
        <v>9</v>
      </c>
      <c r="I4" s="10" t="s">
        <v>23</v>
      </c>
      <c r="J4" s="10" t="s">
        <v>24</v>
      </c>
      <c r="K4" s="10" t="s">
        <v>25</v>
      </c>
      <c r="L4" s="10" t="s">
        <v>26</v>
      </c>
      <c r="M4" s="10" t="s">
        <v>27</v>
      </c>
      <c r="N4" s="10" t="s">
        <v>28</v>
      </c>
      <c r="O4" s="10" t="s">
        <v>16</v>
      </c>
      <c r="P4" s="10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6" t="n">
        <f aca="false">IF(E5&gt;0,F5/E5*100,0)</f>
        <v>0</v>
      </c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9" t="n">
        <f aca="false">IF(E6&gt;0,F6/E6*100,0)</f>
        <v>0</v>
      </c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6" t="n">
        <f aca="false">IF(E7&gt;0,F7/E7*100,0)</f>
        <v>0</v>
      </c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9" t="n">
        <f aca="false">IF(E8&gt;0,F8/E8*100,0)</f>
        <v>0</v>
      </c>
      <c r="H8" s="8"/>
      <c r="I8" s="8"/>
      <c r="J8" s="8"/>
      <c r="K8" s="8"/>
      <c r="L8" s="8"/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6" t="n">
        <f aca="false">IF(E9&gt;0,F9/E9*100,0)</f>
        <v>0</v>
      </c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9" t="n">
        <f aca="false">IF(E10&gt;0,F10/E10*100,0)</f>
        <v>0</v>
      </c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6" t="n">
        <f aca="false">IF(E11&gt;0,F11/E11*100,0)</f>
        <v>0</v>
      </c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9" t="n">
        <f aca="false">IF(E12&gt;0,F12/E12*100,0)</f>
        <v>0</v>
      </c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6" t="n">
        <f aca="false">IF(E13&gt;0,F13/E13*100,0)</f>
        <v>0</v>
      </c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9" t="n">
        <f aca="false">IF(E14&gt;0,F14/E14*100,0)</f>
        <v>0</v>
      </c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6" t="n">
        <f aca="false">IF(E15&gt;0,F15/E15*100,0)</f>
        <v>0</v>
      </c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9" t="n">
        <f aca="false">IF(E16&gt;0,F16/E16*100,0)</f>
        <v>0</v>
      </c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6" t="n">
        <f aca="false">IF(E17&gt;0,F17/E17*100,0)</f>
        <v>0</v>
      </c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9" t="n">
        <f aca="false">IF(E18&gt;0,F18/E18*100,0)</f>
        <v>0</v>
      </c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6" t="n">
        <f aca="false">IF(E19&gt;0,F19/E19*100,0)</f>
        <v>0</v>
      </c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9" t="n">
        <f aca="false">IF(E20&gt;0,F20/E20*100,0)</f>
        <v>0</v>
      </c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6" t="n">
        <f aca="false">IF(E21&gt;0,F21/E21*100,0)</f>
        <v>0</v>
      </c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9" t="n">
        <f aca="false">IF(E22&gt;0,F22/E22*100,0)</f>
        <v>0</v>
      </c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6" t="n">
        <f aca="false">IF(E23&gt;0,F23/E23*100,0)</f>
        <v>0</v>
      </c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9" t="n">
        <f aca="false">IF(E24&gt;0,F24/E24*100,0)</f>
        <v>0</v>
      </c>
      <c r="H24" s="8"/>
      <c r="I24" s="8"/>
      <c r="J24" s="8"/>
      <c r="K24" s="8"/>
      <c r="L24" s="8"/>
      <c r="M24" s="8"/>
      <c r="N24" s="8"/>
      <c r="O24" s="8"/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4" min="11" style="0" width="22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11" t="s">
        <v>2</v>
      </c>
      <c r="B4" s="11" t="s">
        <v>3</v>
      </c>
      <c r="C4" s="11" t="s">
        <v>4</v>
      </c>
      <c r="D4" s="11" t="s">
        <v>5</v>
      </c>
      <c r="E4" s="11" t="s">
        <v>31</v>
      </c>
      <c r="F4" s="11" t="s">
        <v>32</v>
      </c>
      <c r="G4" s="11" t="s">
        <v>33</v>
      </c>
      <c r="H4" s="11" t="s">
        <v>9</v>
      </c>
      <c r="I4" s="11" t="s">
        <v>34</v>
      </c>
      <c r="J4" s="11" t="s">
        <v>35</v>
      </c>
      <c r="K4" s="11" t="s">
        <v>36</v>
      </c>
      <c r="L4" s="11" t="s">
        <v>37</v>
      </c>
      <c r="M4" s="11" t="s">
        <v>38</v>
      </c>
      <c r="N4" s="11" t="s">
        <v>39</v>
      </c>
      <c r="O4" s="11" t="s">
        <v>16</v>
      </c>
      <c r="P4" s="11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6" t="n">
        <f aca="false">IF(E5&gt;0,F5/E5*100,0)</f>
        <v>0</v>
      </c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9" t="n">
        <f aca="false">IF(E6&gt;0,F6/E6*100,0)</f>
        <v>0</v>
      </c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6" t="n">
        <f aca="false">IF(E7&gt;0,F7/E7*100,0)</f>
        <v>0</v>
      </c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9" t="n">
        <f aca="false">IF(E8&gt;0,F8/E8*100,0)</f>
        <v>0</v>
      </c>
      <c r="H8" s="8"/>
      <c r="I8" s="8"/>
      <c r="J8" s="8"/>
      <c r="K8" s="8"/>
      <c r="L8" s="8"/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6" t="n">
        <f aca="false">IF(E9&gt;0,F9/E9*100,0)</f>
        <v>0</v>
      </c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9" t="n">
        <f aca="false">IF(E10&gt;0,F10/E10*100,0)</f>
        <v>0</v>
      </c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6" t="n">
        <f aca="false">IF(E11&gt;0,F11/E11*100,0)</f>
        <v>0</v>
      </c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9" t="n">
        <f aca="false">IF(E12&gt;0,F12/E12*100,0)</f>
        <v>0</v>
      </c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6" t="n">
        <f aca="false">IF(E13&gt;0,F13/E13*100,0)</f>
        <v>0</v>
      </c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9" t="n">
        <f aca="false">IF(E14&gt;0,F14/E14*100,0)</f>
        <v>0</v>
      </c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6" t="n">
        <f aca="false">IF(E15&gt;0,F15/E15*100,0)</f>
        <v>0</v>
      </c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9" t="n">
        <f aca="false">IF(E16&gt;0,F16/E16*100,0)</f>
        <v>0</v>
      </c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6" t="n">
        <f aca="false">IF(E17&gt;0,F17/E17*100,0)</f>
        <v>0</v>
      </c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9" t="n">
        <f aca="false">IF(E18&gt;0,F18/E18*100,0)</f>
        <v>0</v>
      </c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6" t="n">
        <f aca="false">IF(E19&gt;0,F19/E19*100,0)</f>
        <v>0</v>
      </c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9" t="n">
        <f aca="false">IF(E20&gt;0,F20/E20*100,0)</f>
        <v>0</v>
      </c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6" t="n">
        <f aca="false">IF(E21&gt;0,F21/E21*100,0)</f>
        <v>0</v>
      </c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9" t="n">
        <f aca="false">IF(E22&gt;0,F22/E22*100,0)</f>
        <v>0</v>
      </c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6" t="n">
        <f aca="false">IF(E23&gt;0,F23/E23*100,0)</f>
        <v>0</v>
      </c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9" t="n">
        <f aca="false">IF(E24&gt;0,F24/E24*100,0)</f>
        <v>0</v>
      </c>
      <c r="H24" s="8"/>
      <c r="I24" s="8"/>
      <c r="J24" s="8"/>
      <c r="K24" s="8"/>
      <c r="L24" s="8"/>
      <c r="M24" s="8"/>
      <c r="N24" s="8"/>
      <c r="O24" s="8"/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24"/>
    <col collapsed="false" customWidth="true" hidden="false" outlineLevel="0" max="8" min="8" style="0" width="22"/>
    <col collapsed="false" customWidth="true" hidden="false" outlineLevel="0" max="10" min="9" style="0" width="20"/>
    <col collapsed="false" customWidth="true" hidden="false" outlineLevel="0" max="11" min="11" style="0" width="24"/>
    <col collapsed="false" customWidth="true" hidden="false" outlineLevel="0" max="12" min="12" style="0" width="16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12" t="s">
        <v>2</v>
      </c>
      <c r="B4" s="12" t="s">
        <v>3</v>
      </c>
      <c r="C4" s="12" t="s">
        <v>4</v>
      </c>
      <c r="D4" s="12" t="s">
        <v>5</v>
      </c>
      <c r="E4" s="12" t="s">
        <v>42</v>
      </c>
      <c r="F4" s="12" t="s">
        <v>43</v>
      </c>
      <c r="G4" s="12" t="s">
        <v>44</v>
      </c>
      <c r="H4" s="12" t="s">
        <v>45</v>
      </c>
      <c r="I4" s="12" t="s">
        <v>46</v>
      </c>
      <c r="J4" s="12" t="s">
        <v>47</v>
      </c>
      <c r="K4" s="12" t="s">
        <v>48</v>
      </c>
      <c r="L4" s="12" t="s">
        <v>49</v>
      </c>
      <c r="M4" s="12" t="s">
        <v>16</v>
      </c>
      <c r="N4" s="12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13" t="n">
        <f aca="false">E5*0.025</f>
        <v>0</v>
      </c>
      <c r="I5" s="13" t="n">
        <f aca="false">F5*0.025</f>
        <v>0</v>
      </c>
      <c r="J5" s="13" t="n">
        <f aca="false">G5*0.025</f>
        <v>0</v>
      </c>
      <c r="K5" s="13" t="n">
        <f aca="false">H5+I5+J5</f>
        <v>0</v>
      </c>
      <c r="L5" s="5"/>
      <c r="M5" s="5"/>
      <c r="N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14" t="n">
        <f aca="false">E6*0.025</f>
        <v>0</v>
      </c>
      <c r="I6" s="14" t="n">
        <f aca="false">F6*0.025</f>
        <v>0</v>
      </c>
      <c r="J6" s="14" t="n">
        <f aca="false">G6*0.025</f>
        <v>0</v>
      </c>
      <c r="K6" s="14" t="n">
        <f aca="false">H6+I6+J6</f>
        <v>0</v>
      </c>
      <c r="L6" s="8"/>
      <c r="M6" s="8"/>
      <c r="N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13" t="n">
        <f aca="false">E7*0.025</f>
        <v>0</v>
      </c>
      <c r="I7" s="13" t="n">
        <f aca="false">F7*0.025</f>
        <v>0</v>
      </c>
      <c r="J7" s="13" t="n">
        <f aca="false">G7*0.025</f>
        <v>0</v>
      </c>
      <c r="K7" s="13" t="n">
        <f aca="false">H7+I7+J7</f>
        <v>0</v>
      </c>
      <c r="L7" s="5"/>
      <c r="M7" s="5"/>
      <c r="N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14" t="n">
        <f aca="false">E8*0.025</f>
        <v>0</v>
      </c>
      <c r="I8" s="14" t="n">
        <f aca="false">F8*0.025</f>
        <v>0</v>
      </c>
      <c r="J8" s="14" t="n">
        <f aca="false">G8*0.025</f>
        <v>0</v>
      </c>
      <c r="K8" s="14" t="n">
        <f aca="false">H8+I8+J8</f>
        <v>0</v>
      </c>
      <c r="L8" s="8"/>
      <c r="M8" s="8"/>
      <c r="N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13" t="n">
        <f aca="false">E9*0.025</f>
        <v>0</v>
      </c>
      <c r="I9" s="13" t="n">
        <f aca="false">F9*0.025</f>
        <v>0</v>
      </c>
      <c r="J9" s="13" t="n">
        <f aca="false">G9*0.025</f>
        <v>0</v>
      </c>
      <c r="K9" s="13" t="n">
        <f aca="false">H9+I9+J9</f>
        <v>0</v>
      </c>
      <c r="L9" s="5"/>
      <c r="M9" s="5"/>
      <c r="N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14" t="n">
        <f aca="false">E10*0.025</f>
        <v>0</v>
      </c>
      <c r="I10" s="14" t="n">
        <f aca="false">F10*0.025</f>
        <v>0</v>
      </c>
      <c r="J10" s="14" t="n">
        <f aca="false">G10*0.025</f>
        <v>0</v>
      </c>
      <c r="K10" s="14" t="n">
        <f aca="false">H10+I10+J10</f>
        <v>0</v>
      </c>
      <c r="L10" s="8"/>
      <c r="M10" s="8"/>
      <c r="N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13" t="n">
        <f aca="false">E11*0.025</f>
        <v>0</v>
      </c>
      <c r="I11" s="13" t="n">
        <f aca="false">F11*0.025</f>
        <v>0</v>
      </c>
      <c r="J11" s="13" t="n">
        <f aca="false">G11*0.025</f>
        <v>0</v>
      </c>
      <c r="K11" s="13" t="n">
        <f aca="false">H11+I11+J11</f>
        <v>0</v>
      </c>
      <c r="L11" s="5"/>
      <c r="M11" s="5"/>
      <c r="N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14" t="n">
        <f aca="false">E12*0.025</f>
        <v>0</v>
      </c>
      <c r="I12" s="14" t="n">
        <f aca="false">F12*0.025</f>
        <v>0</v>
      </c>
      <c r="J12" s="14" t="n">
        <f aca="false">G12*0.025</f>
        <v>0</v>
      </c>
      <c r="K12" s="14" t="n">
        <f aca="false">H12+I12+J12</f>
        <v>0</v>
      </c>
      <c r="L12" s="8"/>
      <c r="M12" s="8"/>
      <c r="N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13" t="n">
        <f aca="false">E13*0.025</f>
        <v>0</v>
      </c>
      <c r="I13" s="13" t="n">
        <f aca="false">F13*0.025</f>
        <v>0</v>
      </c>
      <c r="J13" s="13" t="n">
        <f aca="false">G13*0.025</f>
        <v>0</v>
      </c>
      <c r="K13" s="13" t="n">
        <f aca="false">H13+I13+J13</f>
        <v>0</v>
      </c>
      <c r="L13" s="5"/>
      <c r="M13" s="5"/>
      <c r="N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14" t="n">
        <f aca="false">E14*0.025</f>
        <v>0</v>
      </c>
      <c r="I14" s="14" t="n">
        <f aca="false">F14*0.025</f>
        <v>0</v>
      </c>
      <c r="J14" s="14" t="n">
        <f aca="false">G14*0.025</f>
        <v>0</v>
      </c>
      <c r="K14" s="14" t="n">
        <f aca="false">H14+I14+J14</f>
        <v>0</v>
      </c>
      <c r="L14" s="8"/>
      <c r="M14" s="8"/>
      <c r="N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13" t="n">
        <f aca="false">E15*0.025</f>
        <v>0</v>
      </c>
      <c r="I15" s="13" t="n">
        <f aca="false">F15*0.025</f>
        <v>0</v>
      </c>
      <c r="J15" s="13" t="n">
        <f aca="false">G15*0.025</f>
        <v>0</v>
      </c>
      <c r="K15" s="13" t="n">
        <f aca="false">H15+I15+J15</f>
        <v>0</v>
      </c>
      <c r="L15" s="5"/>
      <c r="M15" s="5"/>
      <c r="N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14" t="n">
        <f aca="false">E16*0.025</f>
        <v>0</v>
      </c>
      <c r="I16" s="14" t="n">
        <f aca="false">F16*0.025</f>
        <v>0</v>
      </c>
      <c r="J16" s="14" t="n">
        <f aca="false">G16*0.025</f>
        <v>0</v>
      </c>
      <c r="K16" s="14" t="n">
        <f aca="false">H16+I16+J16</f>
        <v>0</v>
      </c>
      <c r="L16" s="8"/>
      <c r="M16" s="8"/>
      <c r="N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13" t="n">
        <f aca="false">E17*0.025</f>
        <v>0</v>
      </c>
      <c r="I17" s="13" t="n">
        <f aca="false">F17*0.025</f>
        <v>0</v>
      </c>
      <c r="J17" s="13" t="n">
        <f aca="false">G17*0.025</f>
        <v>0</v>
      </c>
      <c r="K17" s="13" t="n">
        <f aca="false">H17+I17+J17</f>
        <v>0</v>
      </c>
      <c r="L17" s="5"/>
      <c r="M17" s="5"/>
      <c r="N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14" t="n">
        <f aca="false">E18*0.025</f>
        <v>0</v>
      </c>
      <c r="I18" s="14" t="n">
        <f aca="false">F18*0.025</f>
        <v>0</v>
      </c>
      <c r="J18" s="14" t="n">
        <f aca="false">G18*0.025</f>
        <v>0</v>
      </c>
      <c r="K18" s="14" t="n">
        <f aca="false">H18+I18+J18</f>
        <v>0</v>
      </c>
      <c r="L18" s="8"/>
      <c r="M18" s="8"/>
      <c r="N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13" t="n">
        <f aca="false">E19*0.025</f>
        <v>0</v>
      </c>
      <c r="I19" s="13" t="n">
        <f aca="false">F19*0.025</f>
        <v>0</v>
      </c>
      <c r="J19" s="13" t="n">
        <f aca="false">G19*0.025</f>
        <v>0</v>
      </c>
      <c r="K19" s="13" t="n">
        <f aca="false">H19+I19+J19</f>
        <v>0</v>
      </c>
      <c r="L19" s="5"/>
      <c r="M19" s="5"/>
      <c r="N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14" t="n">
        <f aca="false">E20*0.025</f>
        <v>0</v>
      </c>
      <c r="I20" s="14" t="n">
        <f aca="false">F20*0.025</f>
        <v>0</v>
      </c>
      <c r="J20" s="14" t="n">
        <f aca="false">G20*0.025</f>
        <v>0</v>
      </c>
      <c r="K20" s="14" t="n">
        <f aca="false">H20+I20+J20</f>
        <v>0</v>
      </c>
      <c r="L20" s="8"/>
      <c r="M20" s="8"/>
      <c r="N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13" t="n">
        <f aca="false">E21*0.025</f>
        <v>0</v>
      </c>
      <c r="I21" s="13" t="n">
        <f aca="false">F21*0.025</f>
        <v>0</v>
      </c>
      <c r="J21" s="13" t="n">
        <f aca="false">G21*0.025</f>
        <v>0</v>
      </c>
      <c r="K21" s="13" t="n">
        <f aca="false">H21+I21+J21</f>
        <v>0</v>
      </c>
      <c r="L21" s="5"/>
      <c r="M21" s="5"/>
      <c r="N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14" t="n">
        <f aca="false">E22*0.025</f>
        <v>0</v>
      </c>
      <c r="I22" s="14" t="n">
        <f aca="false">F22*0.025</f>
        <v>0</v>
      </c>
      <c r="J22" s="14" t="n">
        <f aca="false">G22*0.025</f>
        <v>0</v>
      </c>
      <c r="K22" s="14" t="n">
        <f aca="false">H22+I22+J22</f>
        <v>0</v>
      </c>
      <c r="L22" s="8"/>
      <c r="M22" s="8"/>
      <c r="N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13" t="n">
        <f aca="false">E23*0.025</f>
        <v>0</v>
      </c>
      <c r="I23" s="13" t="n">
        <f aca="false">F23*0.025</f>
        <v>0</v>
      </c>
      <c r="J23" s="13" t="n">
        <f aca="false">G23*0.025</f>
        <v>0</v>
      </c>
      <c r="K23" s="13" t="n">
        <f aca="false">H23+I23+J23</f>
        <v>0</v>
      </c>
      <c r="L23" s="5"/>
      <c r="M23" s="5"/>
      <c r="N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14" t="n">
        <f aca="false">E24*0.025</f>
        <v>0</v>
      </c>
      <c r="I24" s="14" t="n">
        <f aca="false">F24*0.025</f>
        <v>0</v>
      </c>
      <c r="J24" s="14" t="n">
        <f aca="false">G24*0.025</f>
        <v>0</v>
      </c>
      <c r="K24" s="14" t="n">
        <f aca="false">H24+I24+J24</f>
        <v>0</v>
      </c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22"/>
    <col collapsed="false" customWidth="true" hidden="false" outlineLevel="0" max="11" min="9" style="0" width="20"/>
    <col collapsed="false" customWidth="true" hidden="false" outlineLevel="0" max="12" min="12" style="0" width="22"/>
    <col collapsed="false" customWidth="true" hidden="false" outlineLevel="0" max="14" min="13" style="0" width="20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15" t="s">
        <v>2</v>
      </c>
      <c r="B4" s="15" t="s">
        <v>3</v>
      </c>
      <c r="C4" s="15" t="s">
        <v>52</v>
      </c>
      <c r="D4" s="15" t="s">
        <v>4</v>
      </c>
      <c r="E4" s="15" t="s">
        <v>53</v>
      </c>
      <c r="F4" s="15" t="s">
        <v>54</v>
      </c>
      <c r="G4" s="15" t="s">
        <v>55</v>
      </c>
      <c r="H4" s="15" t="s">
        <v>56</v>
      </c>
      <c r="I4" s="15" t="s">
        <v>57</v>
      </c>
      <c r="J4" s="15" t="s">
        <v>58</v>
      </c>
      <c r="K4" s="15" t="s">
        <v>59</v>
      </c>
      <c r="L4" s="15" t="s">
        <v>36</v>
      </c>
      <c r="M4" s="15" t="s">
        <v>60</v>
      </c>
      <c r="N4" s="15" t="s">
        <v>61</v>
      </c>
      <c r="O4" s="15" t="s">
        <v>16</v>
      </c>
      <c r="P4" s="15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15" hidden="false" customHeight="false" outlineLevel="0" collapsed="false">
      <c r="A25" s="4" t="n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customFormat="false" ht="15" hidden="false" customHeight="false" outlineLevel="0" collapsed="false">
      <c r="A26" s="7" t="n">
        <v>22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15" hidden="false" customHeight="false" outlineLevel="0" collapsed="false">
      <c r="A27" s="4" t="n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customFormat="false" ht="15" hidden="false" customHeight="false" outlineLevel="0" collapsed="false">
      <c r="A28" s="7" t="n">
        <v>24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15" hidden="false" customHeight="false" outlineLevel="0" collapsed="false">
      <c r="A29" s="4" t="n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customFormat="false" ht="15" hidden="false" customHeight="false" outlineLevel="0" collapsed="false">
      <c r="A30" s="7" t="n">
        <v>26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15" hidden="false" customHeight="false" outlineLevel="0" collapsed="false">
      <c r="A31" s="4" t="n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customFormat="false" ht="15" hidden="false" customHeight="false" outlineLevel="0" collapsed="false">
      <c r="A32" s="7" t="n">
        <v>28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customFormat="false" ht="15" hidden="false" customHeight="false" outlineLevel="0" collapsed="false">
      <c r="A33" s="4" t="n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customFormat="false" ht="15" hidden="false" customHeight="false" outlineLevel="0" collapsed="false">
      <c r="A34" s="7" t="n">
        <v>30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8"/>
    <col collapsed="false" customWidth="true" hidden="false" outlineLevel="0" max="8" min="4" style="0" width="12"/>
    <col collapsed="false" customWidth="true" hidden="false" outlineLevel="0" max="10" min="9" style="0" width="14"/>
    <col collapsed="false" customWidth="true" hidden="false" outlineLevel="0" max="12" min="11" style="0" width="12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6" t="s">
        <v>2</v>
      </c>
      <c r="B4" s="16" t="s">
        <v>3</v>
      </c>
      <c r="C4" s="16" t="s">
        <v>64</v>
      </c>
      <c r="D4" s="16" t="s">
        <v>65</v>
      </c>
      <c r="E4" s="16" t="s">
        <v>66</v>
      </c>
      <c r="F4" s="16" t="s">
        <v>67</v>
      </c>
      <c r="G4" s="16" t="s">
        <v>68</v>
      </c>
      <c r="H4" s="16" t="s">
        <v>69</v>
      </c>
      <c r="I4" s="16" t="s">
        <v>70</v>
      </c>
      <c r="J4" s="16" t="s">
        <v>71</v>
      </c>
      <c r="K4" s="16" t="s">
        <v>72</v>
      </c>
      <c r="L4" s="16" t="s">
        <v>73</v>
      </c>
      <c r="M4" s="16" t="s">
        <v>74</v>
      </c>
      <c r="N4" s="16" t="s">
        <v>75</v>
      </c>
      <c r="O4" s="16" t="s">
        <v>16</v>
      </c>
      <c r="P4" s="16" t="s">
        <v>17</v>
      </c>
    </row>
    <row r="5" customFormat="false" ht="15" hidden="false" customHeight="false" outlineLevel="0" collapsed="false">
      <c r="A5" s="4" t="n">
        <v>1</v>
      </c>
      <c r="B5" s="5"/>
      <c r="C5" s="17" t="s">
        <v>76</v>
      </c>
      <c r="D5" s="5"/>
      <c r="E5" s="5"/>
      <c r="F5" s="5"/>
      <c r="G5" s="5"/>
      <c r="H5" s="5"/>
      <c r="I5" s="18" t="n">
        <f aca="false">H5-D5</f>
        <v>0</v>
      </c>
      <c r="J5" s="18" t="n">
        <f aca="false">IF(COUNTA(D5:H5)&gt;0,AVERAGE(D5:H5),0)</f>
        <v>0</v>
      </c>
      <c r="K5" s="18" t="n">
        <f aca="false">MAX(D5:H5)</f>
        <v>0</v>
      </c>
      <c r="L5" s="18" t="n">
        <f aca="false">MIN(D5:H5)</f>
        <v>0</v>
      </c>
      <c r="M5" s="5"/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19" t="s">
        <v>77</v>
      </c>
      <c r="D6" s="8"/>
      <c r="E6" s="8"/>
      <c r="F6" s="8"/>
      <c r="G6" s="8"/>
      <c r="H6" s="8"/>
      <c r="I6" s="20" t="n">
        <f aca="false">H6-D6</f>
        <v>0</v>
      </c>
      <c r="J6" s="20" t="n">
        <f aca="false">IF(COUNTA(D6:H6)&gt;0,AVERAGE(D6:H6),0)</f>
        <v>0</v>
      </c>
      <c r="K6" s="20" t="n">
        <f aca="false">MAX(D6:H6)</f>
        <v>0</v>
      </c>
      <c r="L6" s="20" t="n">
        <f aca="false">MIN(D6:H6)</f>
        <v>0</v>
      </c>
      <c r="M6" s="8"/>
      <c r="N6" s="8"/>
      <c r="O6" s="8"/>
      <c r="P6" s="8"/>
    </row>
    <row r="7" customFormat="false" ht="23.85" hidden="false" customHeight="false" outlineLevel="0" collapsed="false">
      <c r="A7" s="4" t="n">
        <v>3</v>
      </c>
      <c r="B7" s="5"/>
      <c r="C7" s="17" t="s">
        <v>78</v>
      </c>
      <c r="D7" s="5"/>
      <c r="E7" s="5"/>
      <c r="F7" s="5"/>
      <c r="G7" s="5"/>
      <c r="H7" s="5"/>
      <c r="I7" s="18" t="n">
        <f aca="false">H7-D7</f>
        <v>0</v>
      </c>
      <c r="J7" s="18" t="n">
        <f aca="false">IF(COUNTA(D7:H7)&gt;0,AVERAGE(D7:H7),0)</f>
        <v>0</v>
      </c>
      <c r="K7" s="18" t="n">
        <f aca="false">MAX(D7:H7)</f>
        <v>0</v>
      </c>
      <c r="L7" s="18" t="n">
        <f aca="false">MIN(D7:H7)</f>
        <v>0</v>
      </c>
      <c r="M7" s="5"/>
      <c r="N7" s="5"/>
      <c r="O7" s="5"/>
      <c r="P7" s="5"/>
    </row>
    <row r="8" customFormat="false" ht="23.85" hidden="false" customHeight="false" outlineLevel="0" collapsed="false">
      <c r="A8" s="7" t="n">
        <v>4</v>
      </c>
      <c r="B8" s="8"/>
      <c r="C8" s="19" t="s">
        <v>79</v>
      </c>
      <c r="D8" s="8"/>
      <c r="E8" s="8"/>
      <c r="F8" s="8"/>
      <c r="G8" s="8"/>
      <c r="H8" s="8"/>
      <c r="I8" s="20" t="n">
        <f aca="false">H8-D8</f>
        <v>0</v>
      </c>
      <c r="J8" s="20" t="n">
        <f aca="false">IF(COUNTA(D8:H8)&gt;0,AVERAGE(D8:H8),0)</f>
        <v>0</v>
      </c>
      <c r="K8" s="20" t="n">
        <f aca="false">MAX(D8:H8)</f>
        <v>0</v>
      </c>
      <c r="L8" s="20" t="n">
        <f aca="false">MIN(D8:H8)</f>
        <v>0</v>
      </c>
      <c r="M8" s="8"/>
      <c r="N8" s="8"/>
      <c r="O8" s="8"/>
      <c r="P8" s="8"/>
    </row>
    <row r="9" customFormat="false" ht="15" hidden="false" customHeight="false" outlineLevel="0" collapsed="false">
      <c r="A9" s="4" t="n">
        <v>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7" t="n">
        <v>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4" t="n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" t="n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4" t="n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40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2" min="11" style="0" width="14"/>
  </cols>
  <sheetData>
    <row r="1" customFormat="false" ht="30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.75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21" t="s">
        <v>2</v>
      </c>
      <c r="B4" s="21" t="s">
        <v>82</v>
      </c>
      <c r="C4" s="21" t="s">
        <v>83</v>
      </c>
      <c r="D4" s="21" t="s">
        <v>84</v>
      </c>
      <c r="E4" s="21" t="s">
        <v>85</v>
      </c>
      <c r="F4" s="21" t="s">
        <v>86</v>
      </c>
      <c r="G4" s="21" t="s">
        <v>87</v>
      </c>
      <c r="H4" s="21" t="s">
        <v>88</v>
      </c>
      <c r="I4" s="21" t="s">
        <v>89</v>
      </c>
      <c r="J4" s="21" t="s">
        <v>90</v>
      </c>
      <c r="K4" s="21" t="s">
        <v>91</v>
      </c>
      <c r="L4" s="21" t="s">
        <v>17</v>
      </c>
    </row>
    <row r="5" customFormat="false" ht="35.05" hidden="false" customHeight="false" outlineLevel="0" collapsed="false">
      <c r="A5" s="4" t="n">
        <v>1</v>
      </c>
      <c r="B5" s="22" t="s">
        <v>92</v>
      </c>
      <c r="C5" s="23" t="s">
        <v>93</v>
      </c>
      <c r="D5" s="23" t="s">
        <v>94</v>
      </c>
      <c r="E5" s="4" t="s">
        <v>95</v>
      </c>
      <c r="F5" s="5"/>
      <c r="G5" s="5"/>
      <c r="H5" s="5"/>
      <c r="I5" s="5"/>
      <c r="J5" s="5"/>
      <c r="K5" s="5"/>
      <c r="L5" s="5"/>
    </row>
    <row r="6" customFormat="false" ht="35.05" hidden="false" customHeight="false" outlineLevel="0" collapsed="false">
      <c r="A6" s="7" t="n">
        <v>2</v>
      </c>
      <c r="B6" s="24" t="s">
        <v>92</v>
      </c>
      <c r="C6" s="25" t="s">
        <v>96</v>
      </c>
      <c r="D6" s="25" t="s">
        <v>97</v>
      </c>
      <c r="E6" s="7" t="s">
        <v>98</v>
      </c>
      <c r="F6" s="8"/>
      <c r="G6" s="8"/>
      <c r="H6" s="8"/>
      <c r="I6" s="8"/>
      <c r="J6" s="8"/>
      <c r="K6" s="8"/>
      <c r="L6" s="8"/>
    </row>
    <row r="7" customFormat="false" ht="35.05" hidden="false" customHeight="false" outlineLevel="0" collapsed="false">
      <c r="A7" s="4" t="n">
        <v>3</v>
      </c>
      <c r="B7" s="22" t="s">
        <v>92</v>
      </c>
      <c r="C7" s="23" t="s">
        <v>99</v>
      </c>
      <c r="D7" s="23" t="s">
        <v>100</v>
      </c>
      <c r="E7" s="4" t="s">
        <v>101</v>
      </c>
      <c r="F7" s="5"/>
      <c r="G7" s="5"/>
      <c r="H7" s="5"/>
      <c r="I7" s="5"/>
      <c r="J7" s="5"/>
      <c r="K7" s="5"/>
      <c r="L7" s="5"/>
    </row>
    <row r="8" customFormat="false" ht="35.05" hidden="false" customHeight="false" outlineLevel="0" collapsed="false">
      <c r="A8" s="7" t="n">
        <v>4</v>
      </c>
      <c r="B8" s="24" t="s">
        <v>102</v>
      </c>
      <c r="C8" s="25" t="s">
        <v>103</v>
      </c>
      <c r="D8" s="25" t="s">
        <v>104</v>
      </c>
      <c r="E8" s="7" t="s">
        <v>105</v>
      </c>
      <c r="F8" s="8"/>
      <c r="G8" s="8"/>
      <c r="H8" s="8"/>
      <c r="I8" s="8"/>
      <c r="J8" s="8"/>
      <c r="K8" s="8"/>
      <c r="L8" s="8"/>
    </row>
    <row r="9" customFormat="false" ht="23.85" hidden="false" customHeight="false" outlineLevel="0" collapsed="false">
      <c r="A9" s="4" t="n">
        <v>5</v>
      </c>
      <c r="B9" s="22" t="s">
        <v>102</v>
      </c>
      <c r="C9" s="23" t="s">
        <v>106</v>
      </c>
      <c r="D9" s="23" t="s">
        <v>107</v>
      </c>
      <c r="E9" s="4" t="s">
        <v>108</v>
      </c>
      <c r="F9" s="5"/>
      <c r="G9" s="5"/>
      <c r="H9" s="5"/>
      <c r="I9" s="5"/>
      <c r="J9" s="5"/>
      <c r="K9" s="5"/>
      <c r="L9" s="5"/>
    </row>
    <row r="10" customFormat="false" ht="23.85" hidden="false" customHeight="false" outlineLevel="0" collapsed="false">
      <c r="A10" s="7" t="n">
        <v>6</v>
      </c>
      <c r="B10" s="24" t="s">
        <v>102</v>
      </c>
      <c r="C10" s="25" t="s">
        <v>109</v>
      </c>
      <c r="D10" s="25" t="s">
        <v>110</v>
      </c>
      <c r="E10" s="7" t="s">
        <v>111</v>
      </c>
      <c r="F10" s="8"/>
      <c r="G10" s="8"/>
      <c r="H10" s="8"/>
      <c r="I10" s="8"/>
      <c r="J10" s="8"/>
      <c r="K10" s="8"/>
      <c r="L10" s="8"/>
    </row>
    <row r="11" customFormat="false" ht="35.05" hidden="false" customHeight="false" outlineLevel="0" collapsed="false">
      <c r="A11" s="4" t="n">
        <v>7</v>
      </c>
      <c r="B11" s="22" t="s">
        <v>112</v>
      </c>
      <c r="C11" s="23" t="s">
        <v>113</v>
      </c>
      <c r="D11" s="23" t="s">
        <v>114</v>
      </c>
      <c r="E11" s="4" t="s">
        <v>115</v>
      </c>
      <c r="F11" s="5"/>
      <c r="G11" s="5"/>
      <c r="H11" s="5"/>
      <c r="I11" s="5"/>
      <c r="J11" s="5"/>
      <c r="K11" s="5"/>
      <c r="L11" s="5"/>
    </row>
    <row r="12" customFormat="false" ht="35.05" hidden="false" customHeight="false" outlineLevel="0" collapsed="false">
      <c r="A12" s="7" t="n">
        <v>8</v>
      </c>
      <c r="B12" s="24" t="s">
        <v>112</v>
      </c>
      <c r="C12" s="25" t="s">
        <v>116</v>
      </c>
      <c r="D12" s="25" t="s">
        <v>117</v>
      </c>
      <c r="E12" s="7" t="s">
        <v>118</v>
      </c>
      <c r="F12" s="8"/>
      <c r="G12" s="8"/>
      <c r="H12" s="8"/>
      <c r="I12" s="8"/>
      <c r="J12" s="8"/>
      <c r="K12" s="8"/>
      <c r="L12" s="8"/>
    </row>
    <row r="13" customFormat="false" ht="35.05" hidden="false" customHeight="false" outlineLevel="0" collapsed="false">
      <c r="A13" s="4" t="n">
        <v>9</v>
      </c>
      <c r="B13" s="22" t="s">
        <v>112</v>
      </c>
      <c r="C13" s="23" t="s">
        <v>119</v>
      </c>
      <c r="D13" s="23" t="s">
        <v>120</v>
      </c>
      <c r="E13" s="4" t="s">
        <v>121</v>
      </c>
      <c r="F13" s="5"/>
      <c r="G13" s="5"/>
      <c r="H13" s="5"/>
      <c r="I13" s="5"/>
      <c r="J13" s="5"/>
      <c r="K13" s="5"/>
      <c r="L13" s="5"/>
    </row>
    <row r="14" customFormat="false" ht="35.05" hidden="false" customHeight="false" outlineLevel="0" collapsed="false">
      <c r="A14" s="7" t="n">
        <v>10</v>
      </c>
      <c r="B14" s="24" t="s">
        <v>122</v>
      </c>
      <c r="C14" s="25" t="s">
        <v>123</v>
      </c>
      <c r="D14" s="25" t="s">
        <v>124</v>
      </c>
      <c r="E14" s="7" t="s">
        <v>125</v>
      </c>
      <c r="F14" s="8"/>
      <c r="G14" s="8"/>
      <c r="H14" s="8"/>
      <c r="I14" s="8"/>
      <c r="J14" s="8"/>
      <c r="K14" s="8"/>
      <c r="L14" s="8"/>
    </row>
    <row r="15" customFormat="false" ht="35.05" hidden="false" customHeight="false" outlineLevel="0" collapsed="false">
      <c r="A15" s="4" t="n">
        <v>11</v>
      </c>
      <c r="B15" s="22" t="s">
        <v>122</v>
      </c>
      <c r="C15" s="23" t="s">
        <v>126</v>
      </c>
      <c r="D15" s="23" t="s">
        <v>127</v>
      </c>
      <c r="E15" s="4" t="s">
        <v>128</v>
      </c>
      <c r="F15" s="5"/>
      <c r="G15" s="5"/>
      <c r="H15" s="5"/>
      <c r="I15" s="5"/>
      <c r="J15" s="5"/>
      <c r="K15" s="5"/>
      <c r="L15" s="5"/>
    </row>
    <row r="16" customFormat="false" ht="35.05" hidden="false" customHeight="false" outlineLevel="0" collapsed="false">
      <c r="A16" s="7" t="n">
        <v>12</v>
      </c>
      <c r="B16" s="24" t="s">
        <v>122</v>
      </c>
      <c r="C16" s="25" t="s">
        <v>129</v>
      </c>
      <c r="D16" s="25" t="s">
        <v>130</v>
      </c>
      <c r="E16" s="7" t="s">
        <v>131</v>
      </c>
      <c r="F16" s="8"/>
      <c r="G16" s="8"/>
      <c r="H16" s="8"/>
      <c r="I16" s="8"/>
      <c r="J16" s="8"/>
      <c r="K16" s="8"/>
      <c r="L16" s="8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77BD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132</v>
      </c>
      <c r="B1" s="1"/>
      <c r="C1" s="1"/>
      <c r="D1" s="1"/>
      <c r="E1" s="1"/>
      <c r="F1" s="1"/>
    </row>
    <row r="3" customFormat="false" ht="24.75" hidden="false" customHeight="true" outlineLevel="0" collapsed="false">
      <c r="A3" s="2" t="s">
        <v>133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  <c r="F4" s="3" t="s">
        <v>139</v>
      </c>
    </row>
    <row r="5" customFormat="false" ht="46.25" hidden="false" customHeight="false" outlineLevel="0" collapsed="false">
      <c r="A5" s="26" t="n">
        <v>1</v>
      </c>
      <c r="B5" s="27" t="s">
        <v>140</v>
      </c>
      <c r="C5" s="27" t="s">
        <v>141</v>
      </c>
      <c r="D5" s="27" t="s">
        <v>142</v>
      </c>
      <c r="E5" s="27" t="s">
        <v>143</v>
      </c>
      <c r="F5" s="27" t="s">
        <v>144</v>
      </c>
    </row>
    <row r="6" customFormat="false" ht="57.45" hidden="false" customHeight="false" outlineLevel="0" collapsed="false">
      <c r="A6" s="26" t="n">
        <v>2</v>
      </c>
      <c r="B6" s="27" t="s">
        <v>145</v>
      </c>
      <c r="C6" s="27" t="s">
        <v>141</v>
      </c>
      <c r="D6" s="27" t="s">
        <v>146</v>
      </c>
      <c r="E6" s="27" t="s">
        <v>147</v>
      </c>
      <c r="F6" s="27" t="s">
        <v>144</v>
      </c>
    </row>
    <row r="7" customFormat="false" ht="46.25" hidden="false" customHeight="false" outlineLevel="0" collapsed="false">
      <c r="A7" s="26" t="n">
        <v>3</v>
      </c>
      <c r="B7" s="27" t="s">
        <v>148</v>
      </c>
      <c r="C7" s="27" t="s">
        <v>141</v>
      </c>
      <c r="D7" s="27" t="s">
        <v>149</v>
      </c>
      <c r="E7" s="27" t="s">
        <v>150</v>
      </c>
      <c r="F7" s="27" t="s">
        <v>144</v>
      </c>
    </row>
    <row r="8" customFormat="false" ht="35.05" hidden="false" customHeight="false" outlineLevel="0" collapsed="false">
      <c r="A8" s="26" t="s">
        <v>151</v>
      </c>
      <c r="B8" s="27" t="s">
        <v>152</v>
      </c>
      <c r="C8" s="27" t="s">
        <v>153</v>
      </c>
      <c r="D8" s="27" t="s">
        <v>154</v>
      </c>
      <c r="E8" s="27" t="s">
        <v>155</v>
      </c>
      <c r="F8" s="27" t="s">
        <v>144</v>
      </c>
    </row>
    <row r="11" customFormat="false" ht="24.75" hidden="false" customHeight="true" outlineLevel="0" collapsed="false">
      <c r="A11" s="2" t="s">
        <v>156</v>
      </c>
      <c r="B11" s="2"/>
      <c r="C11" s="2"/>
      <c r="D11" s="2"/>
      <c r="E11" s="2"/>
      <c r="F11" s="2"/>
    </row>
    <row r="12" customFormat="false" ht="15" hidden="false" customHeight="true" outlineLevel="0" collapsed="false">
      <c r="A12" s="28" t="s">
        <v>157</v>
      </c>
      <c r="B12" s="28"/>
      <c r="C12" s="28"/>
      <c r="D12" s="28"/>
      <c r="E12" s="28"/>
      <c r="F12" s="28"/>
    </row>
    <row r="13" customFormat="false" ht="15" hidden="false" customHeight="true" outlineLevel="0" collapsed="false">
      <c r="A13" s="28" t="s">
        <v>158</v>
      </c>
      <c r="B13" s="28"/>
      <c r="C13" s="28"/>
      <c r="D13" s="28"/>
      <c r="E13" s="28"/>
      <c r="F13" s="28"/>
    </row>
    <row r="14" customFormat="false" ht="23.85" hidden="false" customHeight="true" outlineLevel="0" collapsed="false">
      <c r="A14" s="28" t="s">
        <v>159</v>
      </c>
      <c r="B14" s="28"/>
      <c r="C14" s="28"/>
      <c r="D14" s="28"/>
      <c r="E14" s="28"/>
      <c r="F14" s="28"/>
    </row>
    <row r="15" customFormat="false" ht="23.85" hidden="false" customHeight="true" outlineLevel="0" collapsed="false">
      <c r="A15" s="28" t="s">
        <v>160</v>
      </c>
      <c r="B15" s="28"/>
      <c r="C15" s="28"/>
      <c r="D15" s="28"/>
      <c r="E15" s="28"/>
      <c r="F15" s="28"/>
    </row>
    <row r="16" customFormat="false" ht="23.85" hidden="false" customHeight="true" outlineLevel="0" collapsed="false">
      <c r="A16" s="28" t="s">
        <v>161</v>
      </c>
      <c r="B16" s="28"/>
      <c r="C16" s="28"/>
      <c r="D16" s="28"/>
      <c r="E16" s="28"/>
      <c r="F16" s="28"/>
    </row>
    <row r="17" customFormat="false" ht="23.85" hidden="false" customHeight="true" outlineLevel="0" collapsed="false">
      <c r="A17" s="28" t="s">
        <v>162</v>
      </c>
      <c r="B17" s="28"/>
      <c r="C17" s="28"/>
      <c r="D17" s="28"/>
      <c r="E17" s="28"/>
      <c r="F17" s="28"/>
    </row>
    <row r="18" customFormat="false" ht="15" hidden="false" customHeight="true" outlineLevel="0" collapsed="false">
      <c r="A18" s="28" t="s">
        <v>163</v>
      </c>
      <c r="B18" s="28"/>
      <c r="C18" s="28"/>
      <c r="D18" s="28"/>
      <c r="E18" s="28"/>
      <c r="F18" s="28"/>
    </row>
    <row r="19" customFormat="false" ht="23.85" hidden="false" customHeight="true" outlineLevel="0" collapsed="false">
      <c r="A19" s="28" t="s">
        <v>164</v>
      </c>
      <c r="B19" s="28"/>
      <c r="C19" s="28"/>
      <c r="D19" s="28"/>
      <c r="E19" s="28"/>
      <c r="F19" s="28"/>
    </row>
    <row r="20" customFormat="false" ht="15" hidden="false" customHeight="true" outlineLevel="0" collapsed="false">
      <c r="A20" s="28" t="s">
        <v>165</v>
      </c>
      <c r="B20" s="28"/>
      <c r="C20" s="28"/>
      <c r="D20" s="28"/>
      <c r="E20" s="28"/>
      <c r="F20" s="28"/>
    </row>
    <row r="21" customFormat="false" ht="15" hidden="false" customHeight="true" outlineLevel="0" collapsed="false">
      <c r="A21" s="28" t="s">
        <v>166</v>
      </c>
      <c r="B21" s="28"/>
      <c r="C21" s="28"/>
      <c r="D21" s="28"/>
      <c r="E21" s="28"/>
      <c r="F21" s="28"/>
    </row>
    <row r="22" customFormat="false" ht="23.85" hidden="false" customHeight="true" outlineLevel="0" collapsed="false">
      <c r="A22" s="28" t="s">
        <v>167</v>
      </c>
      <c r="B22" s="28"/>
      <c r="C22" s="28"/>
      <c r="D22" s="28"/>
      <c r="E22" s="28"/>
      <c r="F22" s="28"/>
    </row>
    <row r="23" customFormat="false" ht="15" hidden="false" customHeight="true" outlineLevel="0" collapsed="false">
      <c r="A23" s="28" t="s">
        <v>168</v>
      </c>
      <c r="B23" s="28"/>
      <c r="C23" s="28"/>
      <c r="D23" s="28"/>
      <c r="E23" s="28"/>
      <c r="F23" s="28"/>
    </row>
    <row r="24" customFormat="false" ht="15" hidden="false" customHeight="true" outlineLevel="0" collapsed="false">
      <c r="A24" s="28" t="s">
        <v>169</v>
      </c>
      <c r="B24" s="28"/>
      <c r="C24" s="28"/>
      <c r="D24" s="28"/>
      <c r="E24" s="28"/>
      <c r="F24" s="28"/>
    </row>
    <row r="26" customFormat="false" ht="24.75" hidden="false" customHeight="true" outlineLevel="0" collapsed="false">
      <c r="A26" s="2" t="s">
        <v>170</v>
      </c>
      <c r="B26" s="2"/>
      <c r="C26" s="2"/>
      <c r="D26" s="2"/>
      <c r="E26" s="2"/>
      <c r="F26" s="2"/>
    </row>
    <row r="27" customFormat="false" ht="15" hidden="false" customHeight="true" outlineLevel="0" collapsed="false">
      <c r="A27" s="28" t="s">
        <v>171</v>
      </c>
      <c r="B27" s="28"/>
      <c r="C27" s="28"/>
      <c r="D27" s="28"/>
      <c r="E27" s="28"/>
      <c r="F27" s="28"/>
    </row>
    <row r="28" customFormat="false" ht="15" hidden="false" customHeight="true" outlineLevel="0" collapsed="false">
      <c r="A28" s="28" t="s">
        <v>172</v>
      </c>
      <c r="B28" s="28"/>
      <c r="C28" s="28"/>
      <c r="D28" s="28"/>
      <c r="E28" s="28"/>
      <c r="F28" s="28"/>
    </row>
    <row r="29" customFormat="false" ht="15" hidden="false" customHeight="true" outlineLevel="0" collapsed="false">
      <c r="A29" s="28" t="s">
        <v>173</v>
      </c>
      <c r="B29" s="28"/>
      <c r="C29" s="28"/>
      <c r="D29" s="28"/>
      <c r="E29" s="28"/>
      <c r="F29" s="28"/>
    </row>
    <row r="30" customFormat="false" ht="15" hidden="false" customHeight="true" outlineLevel="0" collapsed="false">
      <c r="A30" s="28" t="s">
        <v>174</v>
      </c>
      <c r="B30" s="28"/>
      <c r="C30" s="28"/>
      <c r="D30" s="28"/>
      <c r="E30" s="28"/>
      <c r="F30" s="28"/>
    </row>
    <row r="31" customFormat="false" ht="15" hidden="false" customHeight="true" outlineLevel="0" collapsed="false">
      <c r="A31" s="28" t="s">
        <v>175</v>
      </c>
      <c r="B31" s="28"/>
      <c r="C31" s="28"/>
      <c r="D31" s="28"/>
      <c r="E31" s="28"/>
      <c r="F31" s="28"/>
    </row>
    <row r="32" customFormat="false" ht="15" hidden="false" customHeight="true" outlineLevel="0" collapsed="false">
      <c r="A32" s="28" t="s">
        <v>176</v>
      </c>
      <c r="B32" s="28"/>
      <c r="C32" s="28"/>
      <c r="D32" s="28"/>
      <c r="E32" s="28"/>
      <c r="F32" s="28"/>
    </row>
  </sheetData>
  <mergeCells count="23">
    <mergeCell ref="A1:F1"/>
    <mergeCell ref="A3:F3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6:F26"/>
    <mergeCell ref="A27:F27"/>
    <mergeCell ref="A28:F28"/>
    <mergeCell ref="A29:F29"/>
    <mergeCell ref="A30:F30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2026-04-13T12:24:42Z</dcterms:created>
  <dc:creator>openpyxl</dc:creator>
  <dc:description/>
  <dc:language>en-US</dc:language>
  <cp:lastModifiedBy/>
  <dcterms:modified xsi:type="dcterms:W3CDTF">2026-04-13T12:24:42Z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