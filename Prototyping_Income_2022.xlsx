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totyping_Income_Master" sheetId="1" r:id="rId1"/>
    <sheet name="Yearwise_Summary" sheetId="2" r:id="rId2"/>
    <sheet name="Departmentwise_Summary" sheetId="3" r:id="rId3"/>
    <sheet name="Clientwise_Summary" sheetId="4" r:id="rId4"/>
    <sheet name="Formulas" sheetId="5" r:id="rId5"/>
    <sheet name="Audit_Rules" sheetId="6" r:id="rId6"/>
    <sheet name="Compliance" sheetId="7" r:id="rId7"/>
    <sheet name="Dashboard_Notes" sheetId="8" r:id="rId8"/>
  </sheets>
  <calcPr calcId="124519" fullCalcOnLoad="1"/>
</workbook>
</file>

<file path=xl/sharedStrings.xml><?xml version="1.0" encoding="utf-8"?>
<sst xmlns="http://schemas.openxmlformats.org/spreadsheetml/2006/main" count="91" uniqueCount="81">
  <si>
    <t>Financial_Year (2022)</t>
  </si>
  <si>
    <t>Prototype_ID</t>
  </si>
  <si>
    <t>Prototype_Name</t>
  </si>
  <si>
    <t>Prototype_Category (3D_Printing/Mechanical/Electronics/Software/Composite/Other)</t>
  </si>
  <si>
    <t>Client_Organization</t>
  </si>
  <si>
    <t>Client_Type (Industry/Govt/Startup/International)</t>
  </si>
  <si>
    <t>Country_of_Client</t>
  </si>
  <si>
    <t>Department</t>
  </si>
  <si>
    <t>Faculty_in_Charge</t>
  </si>
  <si>
    <t>Student_Team_Involved (Yes/No)</t>
  </si>
  <si>
    <t>Team_Members</t>
  </si>
  <si>
    <t>Work_Order_No</t>
  </si>
  <si>
    <t>Prototype_Start_Date</t>
  </si>
  <si>
    <t>Prototype_End_Date</t>
  </si>
  <si>
    <t>Total_Billed_Amount</t>
  </si>
  <si>
    <t>Amount_Received</t>
  </si>
  <si>
    <t>Balance_Amount</t>
  </si>
  <si>
    <t>Prototype_Report_Issued (Yes/No)</t>
  </si>
  <si>
    <t>IP_Generated (Patent/Design/None)</t>
  </si>
  <si>
    <t>Evidence_File_Link</t>
  </si>
  <si>
    <t>Status (Completed/Ongoing)</t>
  </si>
  <si>
    <t>Remarks</t>
  </si>
  <si>
    <t>Financial_Year</t>
  </si>
  <si>
    <t>Total_Prototypes_Developed</t>
  </si>
  <si>
    <t>Total_Prototyping_Income</t>
  </si>
  <si>
    <t>Industry_Prototype_Income</t>
  </si>
  <si>
    <t>Startup_Prototype_Income</t>
  </si>
  <si>
    <t>Govt_Prototype_Income</t>
  </si>
  <si>
    <t>International_Prototype_Income</t>
  </si>
  <si>
    <t>Top_Client</t>
  </si>
  <si>
    <t>Department_with_Max_Prototyping</t>
  </si>
  <si>
    <t>Prototypes_Completed</t>
  </si>
  <si>
    <t>Total_Income</t>
  </si>
  <si>
    <t>Avg_Income_per_Prototype</t>
  </si>
  <si>
    <t>5Year_Trend (Manual Entry)</t>
  </si>
  <si>
    <t>Client_Type</t>
  </si>
  <si>
    <t>Country</t>
  </si>
  <si>
    <t>Total_Prototypes</t>
  </si>
  <si>
    <t>Highest_Value_Prototype</t>
  </si>
  <si>
    <t>Metric</t>
  </si>
  <si>
    <t>Formula</t>
  </si>
  <si>
    <t>Explanation</t>
  </si>
  <si>
    <t>Average Income per Prototype</t>
  </si>
  <si>
    <t>Client Contribution %</t>
  </si>
  <si>
    <t>Department Contribution %</t>
  </si>
  <si>
    <t>Shows income generated per prototype developed.</t>
  </si>
  <si>
    <t>Percentage share of each client's contribution.</t>
  </si>
  <si>
    <t>Department's share in total prototyping revenue.</t>
  </si>
  <si>
    <t>Rule</t>
  </si>
  <si>
    <t>Prototyping income must be classified separately from consultancy/testing/research income.</t>
  </si>
  <si>
    <t>Work order or client request documentation must be maintained.</t>
  </si>
  <si>
    <t>Prototype completion must include a prototype report.</t>
  </si>
  <si>
    <t>IP generation must be documented (if applicable).</t>
  </si>
  <si>
    <t>Only completed prototypes can be booked as income.</t>
  </si>
  <si>
    <t>International income may require PPP normalization in external reporting.</t>
  </si>
  <si>
    <t>Ensures correct income classification.</t>
  </si>
  <si>
    <t>Required for verification during audits.</t>
  </si>
  <si>
    <t>Confirms deliverable completion.</t>
  </si>
  <si>
    <t>Supports institutional IP filing systems.</t>
  </si>
  <si>
    <t>Avoids premature income reporting.</t>
  </si>
  <si>
    <t>Ensures comparability across countries.</t>
  </si>
  <si>
    <t>Requirement</t>
  </si>
  <si>
    <t>Evidence_Required</t>
  </si>
  <si>
    <t>Status</t>
  </si>
  <si>
    <t>Prototype list verified</t>
  </si>
  <si>
    <t>Client classification validated</t>
  </si>
  <si>
    <t>Prototype reports uploaded</t>
  </si>
  <si>
    <t>Work order &amp; invoice verified</t>
  </si>
  <si>
    <t>Yearwise reconciliation completed</t>
  </si>
  <si>
    <t>Notes</t>
  </si>
  <si>
    <t>Recommended Dashboards:</t>
  </si>
  <si>
    <t>• Prototyping Income Trend (2022)</t>
  </si>
  <si>
    <t>• Client Contribution Analysis</t>
  </si>
  <si>
    <t>• Departmentwise Prototyping Income</t>
  </si>
  <si>
    <t>• Prototype Category Distribution</t>
  </si>
  <si>
    <t>• High-Value Clients Bar Chart</t>
  </si>
  <si>
    <t>Insights:</t>
  </si>
  <si>
    <t>• Identifies top prototype clients and revenue sources.</t>
  </si>
  <si>
    <t>• Helps evaluate department strengths in prototyping.</t>
  </si>
  <si>
    <t>• Useful for innovation cell, incubation centre, and audit reporting.</t>
  </si>
  <si>
    <t>• Supports institutional strategies for strengthening prototyping services.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</si>
</sst>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7</v>
      </c>
      <c r="B1" s="1" t="s">
        <v>31</v>
      </c>
      <c r="C1" s="1" t="s">
        <v>32</v>
      </c>
      <c r="D1" s="1" t="s">
        <v>33</v>
      </c>
      <c r="E1" s="1" t="s">
        <v>29</v>
      </c>
      <c r="F1" s="1" t="s">
        <v>34</v>
      </c>
      <c r="G1" s="1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</v>
      </c>
      <c r="B1" s="1" t="s">
        <v>35</v>
      </c>
      <c r="C1" s="1" t="s">
        <v>36</v>
      </c>
      <c r="D1" s="1" t="s">
        <v>37</v>
      </c>
      <c r="E1" s="1" t="s">
        <v>32</v>
      </c>
      <c r="F1" s="1" t="s">
        <v>33</v>
      </c>
      <c r="G1" s="1" t="s">
        <v>38</v>
      </c>
      <c r="H1" s="1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39</v>
      </c>
      <c r="B1" s="1" t="s">
        <v>40</v>
      </c>
      <c r="C1" s="1" t="s">
        <v>41</v>
      </c>
    </row>
    <row r="2" spans="1:3">
      <c r="A2" t="s">
        <v>42</v>
      </c>
      <c r="B2">
        <f>Total_Income / Prototypes_Completed</f>
        <v>0</v>
      </c>
      <c r="C2" t="s">
        <v>45</v>
      </c>
    </row>
    <row r="3" spans="1:3">
      <c r="A3" t="s">
        <v>43</v>
      </c>
      <c r="B3">
        <f>Total_Income / SUM(All_Clients_Income)</f>
        <v>0</v>
      </c>
      <c r="C3" t="s">
        <v>46</v>
      </c>
    </row>
    <row r="4" spans="1:3">
      <c r="A4" t="s">
        <v>44</v>
      </c>
      <c r="B4">
        <f>Total_Income / SUM(All_Departments_Income)</f>
        <v>0</v>
      </c>
      <c r="C4" t="s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48</v>
      </c>
      <c r="B1" s="1" t="s">
        <v>41</v>
      </c>
    </row>
    <row r="2" spans="1:2">
      <c r="A2" t="s">
        <v>49</v>
      </c>
      <c r="B2" t="s">
        <v>55</v>
      </c>
    </row>
    <row r="3" spans="1:2">
      <c r="A3" t="s">
        <v>50</v>
      </c>
      <c r="B3" t="s">
        <v>56</v>
      </c>
    </row>
    <row r="4" spans="1:2">
      <c r="A4" t="s">
        <v>51</v>
      </c>
      <c r="B4" t="s">
        <v>57</v>
      </c>
    </row>
    <row r="5" spans="1:2">
      <c r="A5" t="s">
        <v>52</v>
      </c>
      <c r="B5" t="s">
        <v>58</v>
      </c>
    </row>
    <row r="6" spans="1:2">
      <c r="A6" t="s">
        <v>53</v>
      </c>
      <c r="B6" t="s">
        <v>59</v>
      </c>
    </row>
    <row r="7" spans="1:2">
      <c r="A7" t="s">
        <v>54</v>
      </c>
      <c r="B7" t="s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61</v>
      </c>
      <c r="B1" s="1" t="s">
        <v>62</v>
      </c>
      <c r="C1" s="1" t="s">
        <v>63</v>
      </c>
      <c r="D1" s="1" t="s">
        <v>21</v>
      </c>
    </row>
    <row r="2" spans="1:4">
      <c r="A2" t="s">
        <v>64</v>
      </c>
    </row>
    <row r="3" spans="1:4">
      <c r="A3" t="s">
        <v>65</v>
      </c>
    </row>
    <row r="4" spans="1:4">
      <c r="A4" t="s">
        <v>66</v>
      </c>
    </row>
    <row r="5" spans="1:4">
      <c r="A5" t="s">
        <v>67</v>
      </c>
    </row>
    <row r="6" spans="1:4">
      <c r="A6" t="s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FormatPr defaultRowHeight="15"/>
  <sheetData>
    <row r="1" spans="1:1">
      <c r="A1" s="1" t="s">
        <v>69</v>
      </c>
    </row>
    <row r="2" spans="1:1">
      <c r="A2" t="s">
        <v>70</v>
      </c>
    </row>
    <row r="3" spans="1:1">
      <c r="A3" t="s">
        <v>71</v>
      </c>
    </row>
    <row r="4" spans="1:1">
      <c r="A4" t="s">
        <v>72</v>
      </c>
    </row>
    <row r="5" spans="1:1">
      <c r="A5" t="s">
        <v>73</v>
      </c>
    </row>
    <row r="6" spans="1:1">
      <c r="A6" t="s">
        <v>74</v>
      </c>
    </row>
    <row r="7" spans="1:1">
      <c r="A7" t="s">
        <v>75</v>
      </c>
    </row>
    <row r="9" spans="1:1">
      <c r="A9" t="s">
        <v>76</v>
      </c>
    </row>
    <row r="10" spans="1:1">
      <c r="A10" t="s">
        <v>77</v>
      </c>
    </row>
    <row r="11" spans="1:1">
      <c r="A11" t="s">
        <v>78</v>
      </c>
    </row>
    <row r="12" spans="1:1">
      <c r="A12" t="s">
        <v>79</v>
      </c>
    </row>
    <row r="13" spans="1:1">
      <c r="A13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Prototyping_Income_Master</vt:lpstr>
      <vt:lpstr>Yearwise_Summary</vt:lpstr>
      <vt:lpstr>Departmentwise_Summary</vt:lpstr>
      <vt:lpstr>Clientwise_Summary</vt:lpstr>
      <vt:lpstr>Formulas</vt:lpstr>
      <vt:lpstr>Audit_Rules</vt:lpstr>
      <vt:lpstr>Compliance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2025-12-07T07:21:28Z</dcterms:created>
  <dcterms:modified xsi:type="dcterms:W3CDTF">2025-12-07T07:21:28Z</dcterms:modified>
</cp:coreProperties>
</file>