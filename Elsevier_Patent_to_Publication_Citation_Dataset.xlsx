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ent_Citation_Master" sheetId="1" r:id="rId1"/>
    <sheet name="University_Matched_Citations" sheetId="2" r:id="rId2"/>
    <sheet name="Patent_Office_Metadata" sheetId="3" r:id="rId3"/>
    <sheet name="Yearwise_Summary" sheetId="4" r:id="rId4"/>
    <sheet name="ASJC_Field_Summary" sheetId="5" r:id="rId5"/>
    <sheet name="Formulas" sheetId="6" r:id="rId6"/>
    <sheet name="Audit_Rules" sheetId="7" r:id="rId7"/>
    <sheet name="Compliance" sheetId="8" r:id="rId8"/>
    <sheet name="Dashboard_Notes" sheetId="9" r:id="rId9"/>
  </sheets>
  <calcPr calcId="124519" fullCalcOnLoad="1"/>
</workbook>
</file>

<file path=xl/sharedStrings.xml><?xml version="1.0" encoding="utf-8"?>
<sst xmlns="http://schemas.openxmlformats.org/spreadsheetml/2006/main" count="84" uniqueCount="72">
  <si>
    <t>Patent_ID</t>
  </si>
  <si>
    <t>Patent_Title</t>
  </si>
  <si>
    <t>Patent_Office</t>
  </si>
  <si>
    <t>Grant_Year</t>
  </si>
  <si>
    <t>Assignee_Organization</t>
  </si>
  <si>
    <t>Country</t>
  </si>
  <si>
    <t>Citing_Publication_DOI</t>
  </si>
  <si>
    <t>Citing_Publication_Title</t>
  </si>
  <si>
    <t>Citing_Author</t>
  </si>
  <si>
    <t>University_Affiliation</t>
  </si>
  <si>
    <t>ASJC_Code</t>
  </si>
  <si>
    <t>Publication_Year</t>
  </si>
  <si>
    <t>Citation_Type</t>
  </si>
  <si>
    <t>Patent_Link</t>
  </si>
  <si>
    <t>Publication_Link</t>
  </si>
  <si>
    <t>Remarks</t>
  </si>
  <si>
    <t>Matched_to_University</t>
  </si>
  <si>
    <t>Matching_Method</t>
  </si>
  <si>
    <t>Author_Affiliation_Extracted</t>
  </si>
  <si>
    <t>Confidence_Score</t>
  </si>
  <si>
    <t>Data_Source</t>
  </si>
  <si>
    <t>Coverage_Years</t>
  </si>
  <si>
    <t>Notes</t>
  </si>
  <si>
    <t>Year</t>
  </si>
  <si>
    <t>Total_Patent_Citations</t>
  </si>
  <si>
    <t>University_Matched_Citations</t>
  </si>
  <si>
    <t>Top_Patent_Office</t>
  </si>
  <si>
    <t>Top_Cited_ASJC_Field</t>
  </si>
  <si>
    <t>ASJC_Field_Name</t>
  </si>
  <si>
    <t>Patent_Citations_Count</t>
  </si>
  <si>
    <t>Top_Cited_Publication</t>
  </si>
  <si>
    <t>Metric</t>
  </si>
  <si>
    <t>Formula</t>
  </si>
  <si>
    <t>Explanation</t>
  </si>
  <si>
    <t>Match Rate</t>
  </si>
  <si>
    <t>ASJC Citation Share</t>
  </si>
  <si>
    <t>Patent Impact Score</t>
  </si>
  <si>
    <t>Shows accuracy of matching patent citations to university research.</t>
  </si>
  <si>
    <t>Indicates contribution of each subject area.</t>
  </si>
  <si>
    <t>Used by THE to compute patent-related impact.</t>
  </si>
  <si>
    <t>Rule</t>
  </si>
  <si>
    <t>Only granted patents considered</t>
  </si>
  <si>
    <t>Patent must cite valid publication</t>
  </si>
  <si>
    <t>Exclude preprints &amp; suspended journals</t>
  </si>
  <si>
    <t>Affiliation matching must use validated names</t>
  </si>
  <si>
    <t>Patent year must fall within THE window</t>
  </si>
  <si>
    <t>Fractional counting for multi-affiliation publications</t>
  </si>
  <si>
    <t>Ensures maturity of patent.</t>
  </si>
  <si>
    <t>Maintains data integrity.</t>
  </si>
  <si>
    <t>Prevents inclusion of invalid sources.</t>
  </si>
  <si>
    <t>Prevents false matches.</t>
  </si>
  <si>
    <t>Ensures evaluation period compliance.</t>
  </si>
  <si>
    <t>Prevents inflated citation credit.</t>
  </si>
  <si>
    <t>Requirement</t>
  </si>
  <si>
    <t>Evidence_Required</t>
  </si>
  <si>
    <t>Status</t>
  </si>
  <si>
    <t>Patent list verified</t>
  </si>
  <si>
    <t>Publication matching completed</t>
  </si>
  <si>
    <t>Affiliation matching verified</t>
  </si>
  <si>
    <t>ASJC mapping completed</t>
  </si>
  <si>
    <t>Invalid patents removed</t>
  </si>
  <si>
    <t>Suspended journals excluded</t>
  </si>
  <si>
    <t>Suggested Dashboards:</t>
  </si>
  <si>
    <t>• Patent citations trend</t>
  </si>
  <si>
    <t>• Top patent offices</t>
  </si>
  <si>
    <t>• ASJC field-wise patent impact</t>
  </si>
  <si>
    <t>• Match accuracy chart</t>
  </si>
  <si>
    <t>• Citation network visualization</t>
  </si>
  <si>
    <t>Insights:</t>
  </si>
  <si>
    <t>• Measures research commercialisation.</t>
  </si>
  <si>
    <t>• Shows innovation impact.</t>
  </si>
  <si>
    <t>• Supports THE Patents metric (2%).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</si>
</sst>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</v>
      </c>
      <c r="B1" s="1" t="s">
        <v>5</v>
      </c>
      <c r="C1" s="1" t="s">
        <v>20</v>
      </c>
      <c r="D1" s="1" t="s">
        <v>21</v>
      </c>
      <c r="E1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10</v>
      </c>
      <c r="B1" s="1" t="s">
        <v>28</v>
      </c>
      <c r="C1" s="1" t="s">
        <v>29</v>
      </c>
      <c r="D1" s="1" t="s">
        <v>30</v>
      </c>
      <c r="E1" s="1" t="s">
        <v>26</v>
      </c>
      <c r="F1" s="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34</v>
      </c>
      <c r="B2">
        <f>University_Matched_Citations / Total_Patent_Citations</f>
        <v>0</v>
      </c>
      <c r="C2" t="s">
        <v>37</v>
      </c>
    </row>
    <row r="3" spans="1:3">
      <c r="A3" t="s">
        <v>35</v>
      </c>
      <c r="B3">
        <f>ASJC_Field_Citations / SUM(All_ASJC_Field_Citations)</f>
        <v>0</v>
      </c>
      <c r="C3" t="s">
        <v>38</v>
      </c>
    </row>
    <row r="4" spans="1:3">
      <c r="A4" t="s">
        <v>36</v>
      </c>
      <c r="B4">
        <f>Patent_Citations / SQRT(Total_Staff)</f>
        <v>0</v>
      </c>
      <c r="C4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40</v>
      </c>
      <c r="B1" s="1" t="s">
        <v>33</v>
      </c>
    </row>
    <row r="2" spans="1:2">
      <c r="A2" t="s">
        <v>41</v>
      </c>
      <c r="B2" t="s">
        <v>47</v>
      </c>
    </row>
    <row r="3" spans="1:2">
      <c r="A3" t="s">
        <v>42</v>
      </c>
      <c r="B3" t="s">
        <v>48</v>
      </c>
    </row>
    <row r="4" spans="1:2">
      <c r="A4" t="s">
        <v>43</v>
      </c>
      <c r="B4" t="s">
        <v>49</v>
      </c>
    </row>
    <row r="5" spans="1:2">
      <c r="A5" t="s">
        <v>44</v>
      </c>
      <c r="B5" t="s">
        <v>50</v>
      </c>
    </row>
    <row r="6" spans="1:2">
      <c r="A6" t="s">
        <v>45</v>
      </c>
      <c r="B6" t="s">
        <v>51</v>
      </c>
    </row>
    <row r="7" spans="1:2">
      <c r="A7" t="s">
        <v>46</v>
      </c>
      <c r="B7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15</v>
      </c>
    </row>
    <row r="2" spans="1:4">
      <c r="A2" t="s">
        <v>56</v>
      </c>
    </row>
    <row r="3" spans="1:4">
      <c r="A3" t="s">
        <v>57</v>
      </c>
    </row>
    <row r="4" spans="1:4">
      <c r="A4" t="s">
        <v>58</v>
      </c>
    </row>
    <row r="5" spans="1:4">
      <c r="A5" t="s">
        <v>59</v>
      </c>
    </row>
    <row r="6" spans="1:4">
      <c r="A6" t="s">
        <v>60</v>
      </c>
    </row>
    <row r="7" spans="1:4">
      <c r="A7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22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Patent_Citation_Master</vt:lpstr>
      <vt:lpstr>University_Matched_Citations</vt:lpstr>
      <vt:lpstr>Patent_Office_Metadata</vt:lpstr>
      <vt:lpstr>Yearwise_Summary</vt:lpstr>
      <vt:lpstr>ASJC_Field_Summary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2025-12-07T11:09:39Z</dcterms:created>
  <dcterms:modified xsi:type="dcterms:W3CDTF">2025-12-07T11:09:39Z</dcterms:modified>
</cp:coreProperties>
</file>