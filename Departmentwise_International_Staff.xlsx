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pt_Staff_Master" sheetId="1" r:id="rId1"/>
    <sheet name="Dept_Summary" sheetId="2" r:id="rId2"/>
    <sheet name="Formulas" sheetId="3" r:id="rId3"/>
    <sheet name="THE_Rules" sheetId="4" r:id="rId4"/>
    <sheet name="Compliance" sheetId="5" r:id="rId5"/>
    <sheet name="Dashboard_Notes" sheetId="6" r:id="rId6"/>
  </sheets>
  <calcPr calcId="124519" fullCalcOnLoad="1"/>
</workbook>
</file>

<file path=xl/sharedStrings.xml><?xml version="1.0" encoding="utf-8"?>
<sst xmlns="http://schemas.openxmlformats.org/spreadsheetml/2006/main" count="76" uniqueCount="71">
  <si>
    <t>Academic_Year</t>
  </si>
  <si>
    <t>Department</t>
  </si>
  <si>
    <t>Staff_ID</t>
  </si>
  <si>
    <t>Staff_Name</t>
  </si>
  <si>
    <t>Gender</t>
  </si>
  <si>
    <t>Nationality</t>
  </si>
  <si>
    <t>Country_of_Origin</t>
  </si>
  <si>
    <t>Designation</t>
  </si>
  <si>
    <t>Role (Teaching/Research/Both)</t>
  </si>
  <si>
    <t>Employment_Type (Full-Time/Visiting)</t>
  </si>
  <si>
    <t>Visa_Type</t>
  </si>
  <si>
    <t>Contract_Start_Date</t>
  </si>
  <si>
    <t>Contract_End_Date</t>
  </si>
  <si>
    <t>Is_International (Yes/No)</t>
  </si>
  <si>
    <t>Evidence_File</t>
  </si>
  <si>
    <t>Remarks</t>
  </si>
  <si>
    <t>Total_Staff</t>
  </si>
  <si>
    <t>International_Staff</t>
  </si>
  <si>
    <t>International_Staff_Percentage</t>
  </si>
  <si>
    <t>Teaching_International_Staff</t>
  </si>
  <si>
    <t>Research_International_Staff</t>
  </si>
  <si>
    <t>FullTime_International</t>
  </si>
  <si>
    <t>Visiting_International</t>
  </si>
  <si>
    <t>Male_International</t>
  </si>
  <si>
    <t>Female_International</t>
  </si>
  <si>
    <t>Metric</t>
  </si>
  <si>
    <t>Formula</t>
  </si>
  <si>
    <t>Explanation</t>
  </si>
  <si>
    <t>International Staff %</t>
  </si>
  <si>
    <t>Male:Female Ratio (International)</t>
  </si>
  <si>
    <t>Teaching International %</t>
  </si>
  <si>
    <t>Research International %</t>
  </si>
  <si>
    <t>Full-Time International %</t>
  </si>
  <si>
    <t>Percentage of international staff per department.</t>
  </si>
  <si>
    <t>Gender diversity among international faculty.</t>
  </si>
  <si>
    <t>Teaching contribution of international talent.</t>
  </si>
  <si>
    <t>Research contribution of international staff.</t>
  </si>
  <si>
    <t>Full-time international staff share.</t>
  </si>
  <si>
    <t>Rule</t>
  </si>
  <si>
    <t>International staff must be defined by nationality.</t>
  </si>
  <si>
    <t>Department names must match the official institute list.</t>
  </si>
  <si>
    <t>Visiting staff counted only if contracted for a full semester/year.</t>
  </si>
  <si>
    <t>Passport/visa documentation is mandatory.</t>
  </si>
  <si>
    <t>Teaching vs Research roles must be accurately assigned.</t>
  </si>
  <si>
    <t>Only staff active within the reporting year should be counted.</t>
  </si>
  <si>
    <t>THE requires nationality-based staff classification.</t>
  </si>
  <si>
    <t>Ensures consistent reporting across all data systems.</t>
  </si>
  <si>
    <t>Prevents inflation of international staff count.</t>
  </si>
  <si>
    <t>Ensures correctness of international classification.</t>
  </si>
  <si>
    <t>Required for accurate category-specific reporting.</t>
  </si>
  <si>
    <t>Aligns with THE yearwise reporting guidelines.</t>
  </si>
  <si>
    <t>Requirement</t>
  </si>
  <si>
    <t>Evidence_Required</t>
  </si>
  <si>
    <t>Status</t>
  </si>
  <si>
    <t>Nationality verified</t>
  </si>
  <si>
    <t>Department mapping validated</t>
  </si>
  <si>
    <t>Visa/passport documents checked</t>
  </si>
  <si>
    <t>Teaching/Research roles verified</t>
  </si>
  <si>
    <t>Full-time vs visiting categorisation completed</t>
  </si>
  <si>
    <t>Notes</t>
  </si>
  <si>
    <t>Recommended Visualizations:</t>
  </si>
  <si>
    <t>• Departmentwise international staff strength</t>
  </si>
  <si>
    <t>• International staff % per department</t>
  </si>
  <si>
    <t>• Gender diversity in international staff</t>
  </si>
  <si>
    <t>• Teaching vs Research split</t>
  </si>
  <si>
    <t>• Full-time vs visiting breakdown</t>
  </si>
  <si>
    <t>Insights:</t>
  </si>
  <si>
    <t>• Identifies departments with strong international presence.</t>
  </si>
  <si>
    <t>• Helps HR in planning global recruitment.</t>
  </si>
  <si>
    <t>• Supports THE International Outlook submission.</t>
  </si>
  <si>
    <t>• Useful for NAAC, NIRF, QS academic audits.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</si>
</sst>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1</v>
      </c>
      <c r="B1" s="1" t="s">
        <v>0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f>International_Staff / Total_Staff</f>
        <v>0</v>
      </c>
      <c r="C2" t="s">
        <v>33</v>
      </c>
    </row>
    <row r="3" spans="1:3">
      <c r="A3" t="s">
        <v>29</v>
      </c>
      <c r="B3">
        <f>Male_International / Female_International</f>
        <v>0</v>
      </c>
      <c r="C3" t="s">
        <v>34</v>
      </c>
    </row>
    <row r="4" spans="1:3">
      <c r="A4" t="s">
        <v>30</v>
      </c>
      <c r="B4">
        <f>Teaching_International_Staff / International_Staff</f>
        <v>0</v>
      </c>
      <c r="C4" t="s">
        <v>35</v>
      </c>
    </row>
    <row r="5" spans="1:3">
      <c r="A5" t="s">
        <v>31</v>
      </c>
      <c r="B5">
        <f>Research_International_Staff / International_Staff</f>
        <v>0</v>
      </c>
      <c r="C5" t="s">
        <v>36</v>
      </c>
    </row>
    <row r="6" spans="1:3">
      <c r="A6" t="s">
        <v>32</v>
      </c>
      <c r="B6">
        <f>FullTime_International / International_Staff</f>
        <v>0</v>
      </c>
      <c r="C6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38</v>
      </c>
      <c r="B1" s="1" t="s">
        <v>27</v>
      </c>
    </row>
    <row r="2" spans="1:2">
      <c r="A2" t="s">
        <v>39</v>
      </c>
      <c r="B2" t="s">
        <v>45</v>
      </c>
    </row>
    <row r="3" spans="1:2">
      <c r="A3" t="s">
        <v>40</v>
      </c>
      <c r="B3" t="s">
        <v>46</v>
      </c>
    </row>
    <row r="4" spans="1:2">
      <c r="A4" t="s">
        <v>41</v>
      </c>
      <c r="B4" t="s">
        <v>47</v>
      </c>
    </row>
    <row r="5" spans="1:2">
      <c r="A5" t="s">
        <v>42</v>
      </c>
      <c r="B5" t="s">
        <v>48</v>
      </c>
    </row>
    <row r="6" spans="1:2">
      <c r="A6" t="s">
        <v>43</v>
      </c>
      <c r="B6" t="s">
        <v>49</v>
      </c>
    </row>
    <row r="7" spans="1:2">
      <c r="A7" t="s">
        <v>44</v>
      </c>
      <c r="B7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51</v>
      </c>
      <c r="B1" s="1" t="s">
        <v>52</v>
      </c>
      <c r="C1" s="1" t="s">
        <v>53</v>
      </c>
      <c r="D1" s="1" t="s">
        <v>15</v>
      </c>
    </row>
    <row r="2" spans="1:4">
      <c r="A2" t="s">
        <v>54</v>
      </c>
    </row>
    <row r="3" spans="1:4">
      <c r="A3" t="s">
        <v>55</v>
      </c>
    </row>
    <row r="4" spans="1:4">
      <c r="A4" t="s">
        <v>56</v>
      </c>
    </row>
    <row r="5" spans="1:4">
      <c r="A5" t="s">
        <v>57</v>
      </c>
    </row>
    <row r="6" spans="1:4">
      <c r="A6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pans="1:1">
      <c r="A1" s="1" t="s">
        <v>59</v>
      </c>
    </row>
    <row r="2" spans="1:1">
      <c r="A2" t="s">
        <v>60</v>
      </c>
    </row>
    <row r="3" spans="1:1">
      <c r="A3" t="s">
        <v>61</v>
      </c>
    </row>
    <row r="4" spans="1:1">
      <c r="A4" t="s">
        <v>62</v>
      </c>
    </row>
    <row r="5" spans="1:1">
      <c r="A5" t="s">
        <v>63</v>
      </c>
    </row>
    <row r="6" spans="1:1">
      <c r="A6" t="s">
        <v>64</v>
      </c>
    </row>
    <row r="7" spans="1:1">
      <c r="A7" t="s">
        <v>65</v>
      </c>
    </row>
    <row r="9" spans="1:1">
      <c r="A9" t="s">
        <v>66</v>
      </c>
    </row>
    <row r="10" spans="1:1">
      <c r="A10" t="s">
        <v>67</v>
      </c>
    </row>
    <row r="11" spans="1:1">
      <c r="A11" t="s">
        <v>68</v>
      </c>
    </row>
    <row r="12" spans="1:1">
      <c r="A12" t="s">
        <v>69</v>
      </c>
    </row>
    <row r="13" spans="1:1">
      <c r="A1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Dept_Staff_Master</vt:lpstr>
      <vt:lpstr>Dept_Summary</vt:lpstr>
      <vt:lpstr>Formulas</vt:lpstr>
      <vt:lpstr>THE_Rules</vt:lpstr>
      <vt:lpstr>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2025-12-07T04:59:29Z</dcterms:created>
  <dcterms:modified xsi:type="dcterms:W3CDTF">2025-12-07T04:59:29Z</dcterms:modified>
</cp:coreProperties>
</file>