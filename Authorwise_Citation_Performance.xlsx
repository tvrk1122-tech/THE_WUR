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hor_Citation_Master" sheetId="1" r:id="rId1"/>
    <sheet name="Citation_Formulas" sheetId="2" r:id="rId2"/>
    <sheet name="Dept_Author_Analytics" sheetId="3" r:id="rId3"/>
    <sheet name="THE_Normalisation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<sst xmlns="http://schemas.openxmlformats.org/spreadsheetml/2006/main" count="78" uniqueCount="72">
  <si>
    <t>Serial_No</t>
  </si>
  <si>
    <t>Author_ID</t>
  </si>
  <si>
    <t>Author_Name</t>
  </si>
  <si>
    <t>Department</t>
  </si>
  <si>
    <t>Designation</t>
  </si>
  <si>
    <t>ORCID</t>
  </si>
  <si>
    <t>Scopus_AuthorID</t>
  </si>
  <si>
    <t>Eligible_for_THE (Yes/No)</t>
  </si>
  <si>
    <t>FTE</t>
  </si>
  <si>
    <t>Total_Publications</t>
  </si>
  <si>
    <t>Total_Citations</t>
  </si>
  <si>
    <t>Average_Citations_per_Publication</t>
  </si>
  <si>
    <t>FWCI_Average</t>
  </si>
  <si>
    <t>Top10Percent_Publications</t>
  </si>
  <si>
    <t>Top1Percent_Publications</t>
  </si>
  <si>
    <t>h_index</t>
  </si>
  <si>
    <t>i10_index</t>
  </si>
  <si>
    <t>Scopus_Source_File</t>
  </si>
  <si>
    <t>Evidence_File</t>
  </si>
  <si>
    <t>Remarks</t>
  </si>
  <si>
    <t>Metric</t>
  </si>
  <si>
    <t>Formula</t>
  </si>
  <si>
    <t>Explanation</t>
  </si>
  <si>
    <t>Average Citations per Publication</t>
  </si>
  <si>
    <t>FWCI Average</t>
  </si>
  <si>
    <t>Top10% Contribution Rate</t>
  </si>
  <si>
    <t>Top1% Contribution Rate</t>
  </si>
  <si>
    <t>Normalized Citations per FTE</t>
  </si>
  <si>
    <t>Measures citation density across publications.</t>
  </si>
  <si>
    <t>FWCI shows global influence normalized by subject.</t>
  </si>
  <si>
    <t>Percentage of papers falling into the global Top 10%.</t>
  </si>
  <si>
    <t>Percentage of papers in the global elite Top 1%.</t>
  </si>
  <si>
    <t>Adjusts citation performance relative to staff workload.</t>
  </si>
  <si>
    <t>Total_Eligible_Authors</t>
  </si>
  <si>
    <t>Total_FTE</t>
  </si>
  <si>
    <t>Avg_Citations_per_Author</t>
  </si>
  <si>
    <t>Avg_Citations_per_FTE</t>
  </si>
  <si>
    <t>Avg_FWCI</t>
  </si>
  <si>
    <t>Total_Top10Percent</t>
  </si>
  <si>
    <t>Total_Top1Percent</t>
  </si>
  <si>
    <t>Rule</t>
  </si>
  <si>
    <t>Only full-time academic + research staff eligible for THE.</t>
  </si>
  <si>
    <t>Citation counts must match the frozen Scopus dataset.</t>
  </si>
  <si>
    <t>FWCI must be calculated using SciVal subject-normalised values.</t>
  </si>
  <si>
    <t>High-impact publications must be validated (Top10/Top1).</t>
  </si>
  <si>
    <t>Affiliation must be verified to avoid mis-attribution.</t>
  </si>
  <si>
    <t>FTE normalization required for fair comparison.</t>
  </si>
  <si>
    <t>THE excludes adjunct, visiting, or part-time staff.</t>
  </si>
  <si>
    <t>Ensures citation accuracy for ranking-year evaluation.</t>
  </si>
  <si>
    <t>FWCI drives Citation Impact (15%) and Research Quality metrics.</t>
  </si>
  <si>
    <t>Top10%/Top1% papers strongly influence Research Excellence.</t>
  </si>
  <si>
    <t>Affiliation errors lead to citation loss in ranking calculation.</t>
  </si>
  <si>
    <t>Productivity must be linked to actual workload.</t>
  </si>
  <si>
    <t>Requirement</t>
  </si>
  <si>
    <t>Evidence_Required</t>
  </si>
  <si>
    <t>Status</t>
  </si>
  <si>
    <t>ORCID/ScopusID verified for all authors</t>
  </si>
  <si>
    <t>Affiliation CHK (Matched/Unmatched)</t>
  </si>
  <si>
    <t>Citation counts validated with Scopus export</t>
  </si>
  <si>
    <t>FWCI validated using SciVal report</t>
  </si>
  <si>
    <t>Top10/Top1 classification complete</t>
  </si>
  <si>
    <t>Notes</t>
  </si>
  <si>
    <t>Suggested Visuals:</t>
  </si>
  <si>
    <t>• Author-wise citation ranking</t>
  </si>
  <si>
    <t>• FWCI distribution histogram</t>
  </si>
  <si>
    <t>• Top10% &amp; Top1% author contribution chart</t>
  </si>
  <si>
    <t>• Citations per FTE comparison</t>
  </si>
  <si>
    <t>Insights:</t>
  </si>
  <si>
    <t>• Identifies high-performing researchers.</t>
  </si>
  <si>
    <t>• Supports internal promotions and research incentives.</t>
  </si>
  <si>
    <t>• Helps departments plan citation improvement strategies.</t>
  </si>
  <si>
    <t>• Directly influences THE Research Quality (30%) score.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</si>
</sst>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>
        <f>Total_Citations / Total_Publications</f>
        <v>0</v>
      </c>
      <c r="C2" t="s">
        <v>28</v>
      </c>
    </row>
    <row r="3" spans="1:3">
      <c r="A3" t="s">
        <v>24</v>
      </c>
      <c r="B3">
        <f>AVERAGE(FWCI_List)</f>
        <v>0</v>
      </c>
      <c r="C3" t="s">
        <v>29</v>
      </c>
    </row>
    <row r="4" spans="1:3">
      <c r="A4" t="s">
        <v>25</v>
      </c>
      <c r="B4">
        <f>Top10Percent_Publications / Total_Publications</f>
        <v>0</v>
      </c>
      <c r="C4" t="s">
        <v>30</v>
      </c>
    </row>
    <row r="5" spans="1:3">
      <c r="A5" t="s">
        <v>26</v>
      </c>
      <c r="B5">
        <f>Top1Percent_Publications / Total_Publications</f>
        <v>0</v>
      </c>
      <c r="C5" t="s">
        <v>31</v>
      </c>
    </row>
    <row r="6" spans="1:3">
      <c r="A6" t="s">
        <v>27</v>
      </c>
      <c r="B6">
        <f>Total_Citations / FTE</f>
        <v>0</v>
      </c>
      <c r="C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3</v>
      </c>
      <c r="B1" s="1" t="s">
        <v>33</v>
      </c>
      <c r="C1" s="1" t="s">
        <v>34</v>
      </c>
      <c r="D1" s="1" t="s">
        <v>9</v>
      </c>
      <c r="E1" s="1" t="s">
        <v>10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40</v>
      </c>
      <c r="B1" s="1" t="s">
        <v>22</v>
      </c>
    </row>
    <row r="2" spans="1:2">
      <c r="A2" t="s">
        <v>41</v>
      </c>
      <c r="B2" t="s">
        <v>47</v>
      </c>
    </row>
    <row r="3" spans="1:2">
      <c r="A3" t="s">
        <v>42</v>
      </c>
      <c r="B3" t="s">
        <v>48</v>
      </c>
    </row>
    <row r="4" spans="1:2">
      <c r="A4" t="s">
        <v>43</v>
      </c>
      <c r="B4" t="s">
        <v>49</v>
      </c>
    </row>
    <row r="5" spans="1:2">
      <c r="A5" t="s">
        <v>44</v>
      </c>
      <c r="B5" t="s">
        <v>50</v>
      </c>
    </row>
    <row r="6" spans="1:2">
      <c r="A6" t="s">
        <v>45</v>
      </c>
      <c r="B6" t="s">
        <v>51</v>
      </c>
    </row>
    <row r="7" spans="1:2">
      <c r="A7" t="s">
        <v>46</v>
      </c>
      <c r="B7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19</v>
      </c>
    </row>
    <row r="2" spans="1:4">
      <c r="A2" t="s">
        <v>56</v>
      </c>
    </row>
    <row r="3" spans="1:4">
      <c r="A3" t="s">
        <v>57</v>
      </c>
    </row>
    <row r="4" spans="1:4">
      <c r="A4" t="s">
        <v>58</v>
      </c>
    </row>
    <row r="5" spans="1:4">
      <c r="A5" t="s">
        <v>59</v>
      </c>
    </row>
    <row r="6" spans="1:4">
      <c r="A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Author_Citation_Master</vt:lpstr>
      <vt:lpstr>Citation_Formulas</vt:lpstr>
      <vt:lpstr>Dept_Author_Analytics</vt:lpstr>
      <vt:lpstr>THE_Normalisation_Rules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2025-12-07T03:24:50Z</dcterms:created>
  <dcterms:modified xsi:type="dcterms:W3CDTF">2025-12-07T03:24:50Z</dcterms:modified>
</cp:coreProperties>
</file>